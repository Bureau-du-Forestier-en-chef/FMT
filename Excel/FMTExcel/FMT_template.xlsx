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D:\Excel\FMTExcel\"/>
    </mc:Choice>
  </mc:AlternateContent>
  <xr:revisionPtr revIDLastSave="0" documentId="13_ncr:1_{1A5C280A-D514-4DBF-BD2C-DCCCFCA98F4D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CHARGEMENT" sheetId="8" r:id="rId1"/>
    <sheet name="SCENARIOS" sheetId="5" r:id="rId2"/>
    <sheet name="THEME" sheetId="1" r:id="rId3"/>
    <sheet name="YIELDS" sheetId="2" r:id="rId4"/>
    <sheet name="YIELDS_youvert" sheetId="6" r:id="rId5"/>
    <sheet name="THEME_SPATIAUX" sheetId="7" r:id="rId6"/>
    <sheet name="ACTIONS" sheetId="3" r:id="rId7"/>
    <sheet name="OUTPUTS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5" l="1" a="1"/>
  <c r="A2" i="5" s="1"/>
  <c r="B2" i="7" a="1"/>
  <c r="B3" i="8" a="1"/>
  <c r="B2" i="7" l="1"/>
  <c r="B3" i="8"/>
  <c r="B2" i="5" a="1"/>
  <c r="B2" i="5" s="1"/>
  <c r="B2" i="1" a="1"/>
  <c r="B2" i="1" s="1"/>
  <c r="B2" i="3" l="1" a="1"/>
  <c r="B2" i="3" s="1"/>
  <c r="C2" i="3" a="1"/>
  <c r="C2" i="3" s="1"/>
  <c r="A2" i="3" a="1"/>
  <c r="A2" i="3" s="1"/>
  <c r="A2" i="2" a="1"/>
  <c r="A2" i="2" s="1"/>
  <c r="B2" i="2" a="1"/>
  <c r="C1" i="6" a="1"/>
  <c r="C1" i="6" s="1"/>
  <c r="B2" i="6" a="1"/>
  <c r="B2" i="6" s="1"/>
  <c r="A2" i="1" a="1"/>
  <c r="A2" i="1" s="1"/>
  <c r="D2" i="1" a="1"/>
  <c r="D2" i="1" s="1"/>
  <c r="C2" i="1" a="1"/>
  <c r="C2" i="1" s="1"/>
  <c r="D1" i="4" a="1"/>
  <c r="A2" i="4" a="1"/>
  <c r="C2" i="4" a="1"/>
  <c r="B2" i="2" l="1"/>
  <c r="C2" i="4"/>
  <c r="A2" i="4"/>
  <c r="D1" i="4"/>
  <c r="E34" i="2" a="1"/>
  <c r="H156" i="2" a="1"/>
  <c r="D149" i="2" a="1"/>
  <c r="T141" i="2" a="1"/>
  <c r="P134" i="2" a="1"/>
  <c r="L127" i="2" a="1"/>
  <c r="H120" i="2" a="1"/>
  <c r="D113" i="2" a="1"/>
  <c r="K154" i="2" a="1"/>
  <c r="G147" i="2" a="1"/>
  <c r="C140" i="2" a="1"/>
  <c r="S132" i="2" a="1"/>
  <c r="F153" i="2" a="1"/>
  <c r="V145" i="2" a="1"/>
  <c r="R138" i="2" a="1"/>
  <c r="N131" i="2" a="1"/>
  <c r="J124" i="2" a="1"/>
  <c r="F117" i="2" a="1"/>
  <c r="V109" i="2" a="1"/>
  <c r="E153" i="2" a="1"/>
  <c r="U145" i="2" a="1"/>
  <c r="Q138" i="2" a="1"/>
  <c r="M131" i="2" a="1"/>
  <c r="I124" i="2" a="1"/>
  <c r="E117" i="2" a="1"/>
  <c r="U109" i="2" a="1"/>
  <c r="N151" i="2" a="1"/>
  <c r="R140" i="2" a="1"/>
  <c r="D130" i="2" a="1"/>
  <c r="L120" i="2" a="1"/>
  <c r="T110" i="2" a="1"/>
  <c r="I153" i="2" a="1"/>
  <c r="M142" i="2" a="1"/>
  <c r="Q131" i="2" a="1"/>
  <c r="C122" i="2" a="1"/>
  <c r="K112" i="2" a="1"/>
  <c r="K149" i="2" a="1"/>
  <c r="O138" i="2" a="1"/>
  <c r="H128" i="2" a="1"/>
  <c r="N157" i="2" a="1"/>
  <c r="R146" i="2" a="1"/>
  <c r="V135" i="2" a="1"/>
  <c r="S125" i="2" a="1"/>
  <c r="G116" i="2" a="1"/>
  <c r="G107" i="2" a="1"/>
  <c r="C100" i="2" a="1"/>
  <c r="M148" i="2" a="1"/>
  <c r="Q137" i="2" a="1"/>
  <c r="H127" i="2" a="1"/>
  <c r="P117" i="2" a="1"/>
  <c r="K108" i="2" a="1"/>
  <c r="F101" i="2" a="1"/>
  <c r="V93" i="2" a="1"/>
  <c r="G149" i="2" a="1"/>
  <c r="K138" i="2" a="1"/>
  <c r="C128" i="2" a="1"/>
  <c r="K118" i="2" a="1"/>
  <c r="J156" i="2" a="1"/>
  <c r="N145" i="2" a="1"/>
  <c r="R134" i="2" a="1"/>
  <c r="Q124" i="2" a="1"/>
  <c r="M153" i="2" a="1"/>
  <c r="Q142" i="2" a="1"/>
  <c r="U131" i="2" a="1"/>
  <c r="H122" i="2" a="1"/>
  <c r="P112" i="2" a="1"/>
  <c r="N104" i="2" a="1"/>
  <c r="J97" i="2" a="1"/>
  <c r="H154" i="2" a="1"/>
  <c r="L143" i="2" a="1"/>
  <c r="P132" i="2" a="1"/>
  <c r="V122" i="2" a="1"/>
  <c r="J113" i="2" a="1"/>
  <c r="E105" i="2" a="1"/>
  <c r="U97" i="2" a="1"/>
  <c r="G155" i="2" a="1"/>
  <c r="K144" i="2" a="1"/>
  <c r="O133" i="2" a="1"/>
  <c r="P123" i="2" a="1"/>
  <c r="F119" i="2" a="1"/>
  <c r="D103" i="2" a="1"/>
  <c r="C93" i="2" a="1"/>
  <c r="S85" i="2" a="1"/>
  <c r="O78" i="2" a="1"/>
  <c r="F113" i="2" a="1"/>
  <c r="G100" i="2" a="1"/>
  <c r="F91" i="2" a="1"/>
  <c r="V83" i="2" a="1"/>
  <c r="R76" i="2" a="1"/>
  <c r="N69" i="2" a="1"/>
  <c r="J62" i="2" a="1"/>
  <c r="V114" i="2" a="1"/>
  <c r="D101" i="2" a="1"/>
  <c r="Q91" i="2" a="1"/>
  <c r="M84" i="2" a="1"/>
  <c r="I77" i="2" a="1"/>
  <c r="E70" i="2" a="1"/>
  <c r="L126" i="2" a="1"/>
  <c r="O104" i="2" a="1"/>
  <c r="L94" i="2" a="1"/>
  <c r="T86" i="2" a="1"/>
  <c r="P79" i="2" a="1"/>
  <c r="L72" i="2" a="1"/>
  <c r="H65" i="2" a="1"/>
  <c r="Q130" i="2" a="1"/>
  <c r="L105" i="2" a="1"/>
  <c r="G95" i="2" a="1"/>
  <c r="K87" i="2" a="1"/>
  <c r="G80" i="2" a="1"/>
  <c r="U120" i="2" a="1"/>
  <c r="M103" i="2" a="1"/>
  <c r="M93" i="2" a="1"/>
  <c r="F86" i="2" a="1"/>
  <c r="V78" i="2" a="1"/>
  <c r="R71" i="2" a="1"/>
  <c r="N64" i="2" a="1"/>
  <c r="F125" i="2" a="1"/>
  <c r="J104" i="2" a="1"/>
  <c r="G94" i="2" a="1"/>
  <c r="Q86" i="2" a="1"/>
  <c r="M79" i="2" a="1"/>
  <c r="I72" i="2" a="1"/>
  <c r="E65" i="2" a="1"/>
  <c r="S124" i="2" a="1"/>
  <c r="I104" i="2" a="1"/>
  <c r="F94" i="2" a="1"/>
  <c r="P86" i="2" a="1"/>
  <c r="C34" i="2" a="1"/>
  <c r="P155" i="2" a="1"/>
  <c r="L148" i="2" a="1"/>
  <c r="H141" i="2" a="1"/>
  <c r="D134" i="2" a="1"/>
  <c r="T126" i="2" a="1"/>
  <c r="P119" i="2" a="1"/>
  <c r="L112" i="2" a="1"/>
  <c r="S153" i="2" a="1"/>
  <c r="O146" i="2" a="1"/>
  <c r="K139" i="2" a="1"/>
  <c r="G132" i="2" a="1"/>
  <c r="N152" i="2" a="1"/>
  <c r="J145" i="2" a="1"/>
  <c r="F138" i="2" a="1"/>
  <c r="V130" i="2" a="1"/>
  <c r="R123" i="2" a="1"/>
  <c r="N116" i="2" a="1"/>
  <c r="J109" i="2" a="1"/>
  <c r="M152" i="2" a="1"/>
  <c r="I145" i="2" a="1"/>
  <c r="E138" i="2" a="1"/>
  <c r="U130" i="2" a="1"/>
  <c r="Q123" i="2" a="1"/>
  <c r="M116" i="2" a="1"/>
  <c r="I109" i="2" a="1"/>
  <c r="N150" i="2" a="1"/>
  <c r="R139" i="2" a="1"/>
  <c r="I129" i="2" a="1"/>
  <c r="Q119" i="2" a="1"/>
  <c r="F110" i="2" a="1"/>
  <c r="I152" i="2" a="1"/>
  <c r="M141" i="2" a="1"/>
  <c r="R130" i="2" a="1"/>
  <c r="F121" i="2" a="1"/>
  <c r="N111" i="2" a="1"/>
  <c r="O148" i="2" a="1"/>
  <c r="S137" i="2" a="1"/>
  <c r="M127" i="2" a="1"/>
  <c r="N156" i="2" a="1"/>
  <c r="R145" i="2" a="1"/>
  <c r="V134" i="2" a="1"/>
  <c r="C125" i="2" a="1"/>
  <c r="K115" i="2" a="1"/>
  <c r="O106" i="2" a="1"/>
  <c r="I158" i="2" a="1"/>
  <c r="M147" i="2" a="1"/>
  <c r="Q136" i="2" a="1"/>
  <c r="M126" i="2" a="1"/>
  <c r="U116" i="2" a="1"/>
  <c r="R107" i="2" a="1"/>
  <c r="N100" i="2" a="1"/>
  <c r="J93" i="2" a="1"/>
  <c r="G148" i="2" a="1"/>
  <c r="K137" i="2" a="1"/>
  <c r="F127" i="2" a="1"/>
  <c r="N117" i="2" a="1"/>
  <c r="J155" i="2" a="1"/>
  <c r="N144" i="2" a="1"/>
  <c r="R133" i="2" a="1"/>
  <c r="V123" i="2" a="1"/>
  <c r="Q152" i="2" a="1"/>
  <c r="U141" i="2" a="1"/>
  <c r="E131" i="2" a="1"/>
  <c r="M121" i="2" a="1"/>
  <c r="U111" i="2" a="1"/>
  <c r="V103" i="2" a="1"/>
  <c r="R96" i="2" a="1"/>
  <c r="L153" i="2" a="1"/>
  <c r="P142" i="2" a="1"/>
  <c r="T131" i="2" a="1"/>
  <c r="G122" i="2" a="1"/>
  <c r="O112" i="2" a="1"/>
  <c r="M104" i="2" a="1"/>
  <c r="I97" i="2" a="1"/>
  <c r="G154" i="2" a="1"/>
  <c r="K143" i="2" a="1"/>
  <c r="O132" i="2" a="1"/>
  <c r="U122" i="2" a="1"/>
  <c r="D117" i="2" a="1"/>
  <c r="D102" i="2" a="1"/>
  <c r="K92" i="2" a="1"/>
  <c r="G85" i="2" a="1"/>
  <c r="C78" i="2" a="1"/>
  <c r="I111" i="2" a="1"/>
  <c r="K99" i="2" a="1"/>
  <c r="N90" i="2" a="1"/>
  <c r="J83" i="2" a="1"/>
  <c r="F76" i="2" a="1"/>
  <c r="V68" i="2" a="1"/>
  <c r="R61" i="2" a="1"/>
  <c r="E113" i="2" a="1"/>
  <c r="F100" i="2" a="1"/>
  <c r="E91" i="2" a="1"/>
  <c r="U83" i="2" a="1"/>
  <c r="Q76" i="2" a="1"/>
  <c r="M69" i="2" a="1"/>
  <c r="P121" i="2" a="1"/>
  <c r="V158" i="2" a="1"/>
  <c r="D155" i="2" a="1"/>
  <c r="T147" i="2" a="1"/>
  <c r="P140" i="2" a="1"/>
  <c r="L133" i="2" a="1"/>
  <c r="H126" i="2" a="1"/>
  <c r="D119" i="2" a="1"/>
  <c r="T111" i="2" a="1"/>
  <c r="G153" i="2" a="1"/>
  <c r="C146" i="2" a="1"/>
  <c r="S138" i="2" a="1"/>
  <c r="O131" i="2" a="1"/>
  <c r="V151" i="2" a="1"/>
  <c r="R144" i="2" a="1"/>
  <c r="N137" i="2" a="1"/>
  <c r="J130" i="2" a="1"/>
  <c r="F123" i="2" a="1"/>
  <c r="V115" i="2" a="1"/>
  <c r="R108" i="2" a="1"/>
  <c r="U151" i="2" a="1"/>
  <c r="Q144" i="2" a="1"/>
  <c r="M137" i="2" a="1"/>
  <c r="I130" i="2" a="1"/>
  <c r="E123" i="2" a="1"/>
  <c r="U115" i="2" a="1"/>
  <c r="Q108" i="2" a="1"/>
  <c r="R149" i="2" a="1"/>
  <c r="V138" i="2" a="1"/>
  <c r="K128" i="2" a="1"/>
  <c r="S118" i="2" a="1"/>
  <c r="L109" i="2" a="1"/>
  <c r="M151" i="2" a="1"/>
  <c r="Q140" i="2" a="1"/>
  <c r="C130" i="2" a="1"/>
  <c r="K120" i="2" a="1"/>
  <c r="K158" i="2" a="1"/>
  <c r="O147" i="2" a="1"/>
  <c r="S136" i="2" a="1"/>
  <c r="O126" i="2" a="1"/>
  <c r="R155" i="2" a="1"/>
  <c r="V144" i="2" a="1"/>
  <c r="F134" i="2" a="1"/>
  <c r="F124" i="2" a="1"/>
  <c r="N114" i="2" a="1"/>
  <c r="C106" i="2" a="1"/>
  <c r="M157" i="2" a="1"/>
  <c r="Q146" i="2" a="1"/>
  <c r="U135" i="2" a="1"/>
  <c r="R125" i="2" a="1"/>
  <c r="F116" i="2" a="1"/>
  <c r="F107" i="2" a="1"/>
  <c r="V99" i="2" a="1"/>
  <c r="G158" i="2" a="1"/>
  <c r="K147" i="2" a="1"/>
  <c r="O136" i="2" a="1"/>
  <c r="K126" i="2" a="1"/>
  <c r="S116" i="2" a="1"/>
  <c r="N154" i="2" a="1"/>
  <c r="R143" i="2" a="1"/>
  <c r="V132" i="2" a="1"/>
  <c r="D123" i="2" a="1"/>
  <c r="Q151" i="2" a="1"/>
  <c r="U140" i="2" a="1"/>
  <c r="G130" i="2" a="1"/>
  <c r="O120" i="2" a="1"/>
  <c r="C111" i="2" a="1"/>
  <c r="J103" i="2" a="1"/>
  <c r="F96" i="2" a="1"/>
  <c r="L152" i="2" a="1"/>
  <c r="P141" i="2" a="1"/>
  <c r="C131" i="2" a="1"/>
  <c r="K121" i="2" a="1"/>
  <c r="S111" i="2" a="1"/>
  <c r="U103" i="2" a="1"/>
  <c r="Q96" i="2" a="1"/>
  <c r="K153" i="2" a="1"/>
  <c r="O142" i="2" a="1"/>
  <c r="S131" i="2" a="1"/>
  <c r="F122" i="2" a="1"/>
  <c r="G115" i="2" a="1"/>
  <c r="H101" i="2" a="1"/>
  <c r="S91" i="2" a="1"/>
  <c r="O84" i="2" a="1"/>
  <c r="P153" i="2" a="1"/>
  <c r="C110" i="2" a="1"/>
  <c r="O98" i="2" a="1"/>
  <c r="V89" i="2" a="1"/>
  <c r="R82" i="2" a="1"/>
  <c r="N75" i="2" a="1"/>
  <c r="J68" i="2" a="1"/>
  <c r="F61" i="2" a="1"/>
  <c r="D111" i="2" a="1"/>
  <c r="I99" i="2" a="1"/>
  <c r="M90" i="2" a="1"/>
  <c r="I83" i="2" a="1"/>
  <c r="U158" i="2" a="1"/>
  <c r="L154" i="2" a="1"/>
  <c r="H147" i="2" a="1"/>
  <c r="D140" i="2" a="1"/>
  <c r="T132" i="2" a="1"/>
  <c r="P125" i="2" a="1"/>
  <c r="L118" i="2" a="1"/>
  <c r="H111" i="2" a="1"/>
  <c r="O152" i="2" a="1"/>
  <c r="K145" i="2" a="1"/>
  <c r="G138" i="2" a="1"/>
  <c r="N158" i="2" a="1"/>
  <c r="J151" i="2" a="1"/>
  <c r="F144" i="2" a="1"/>
  <c r="V136" i="2" a="1"/>
  <c r="R129" i="2" a="1"/>
  <c r="N122" i="2" a="1"/>
  <c r="J115" i="2" a="1"/>
  <c r="M158" i="2" a="1"/>
  <c r="I151" i="2" a="1"/>
  <c r="E144" i="2" a="1"/>
  <c r="U136" i="2" a="1"/>
  <c r="Q129" i="2" a="1"/>
  <c r="M122" i="2" a="1"/>
  <c r="I115" i="2" a="1"/>
  <c r="E108" i="2" a="1"/>
  <c r="R148" i="2" a="1"/>
  <c r="V137" i="2" a="1"/>
  <c r="P127" i="2" a="1"/>
  <c r="D118" i="2" a="1"/>
  <c r="P108" i="2" a="1"/>
  <c r="M150" i="2" a="1"/>
  <c r="Q139" i="2" a="1"/>
  <c r="G129" i="2" a="1"/>
  <c r="O119" i="2" a="1"/>
  <c r="O157" i="2" a="1"/>
  <c r="S146" i="2" a="1"/>
  <c r="C136" i="2" a="1"/>
  <c r="T125" i="2" a="1"/>
  <c r="R154" i="2" a="1"/>
  <c r="V143" i="2" a="1"/>
  <c r="F133" i="2" a="1"/>
  <c r="K123" i="2" a="1"/>
  <c r="S113" i="2" a="1"/>
  <c r="K105" i="2" a="1"/>
  <c r="M156" i="2" a="1"/>
  <c r="Q145" i="2" a="1"/>
  <c r="U134" i="2" a="1"/>
  <c r="T124" i="2" a="1"/>
  <c r="H115" i="2" a="1"/>
  <c r="N106" i="2" a="1"/>
  <c r="J99" i="2" a="1"/>
  <c r="G157" i="2" a="1"/>
  <c r="K146" i="2" a="1"/>
  <c r="O135" i="2" a="1"/>
  <c r="O125" i="2" a="1"/>
  <c r="C116" i="2" a="1"/>
  <c r="N153" i="2" a="1"/>
  <c r="R142" i="2" a="1"/>
  <c r="V131" i="2" a="1"/>
  <c r="I122" i="2" a="1"/>
  <c r="U150" i="2" a="1"/>
  <c r="E140" i="2" a="1"/>
  <c r="L129" i="2" a="1"/>
  <c r="T119" i="2" a="1"/>
  <c r="I110" i="2" a="1"/>
  <c r="R102" i="2" a="1"/>
  <c r="N95" i="2" a="1"/>
  <c r="P151" i="2" a="1"/>
  <c r="T140" i="2" a="1"/>
  <c r="F130" i="2" a="1"/>
  <c r="N120" i="2" a="1"/>
  <c r="V110" i="2" a="1"/>
  <c r="I103" i="2" a="1"/>
  <c r="E96" i="2" a="1"/>
  <c r="K152" i="2" a="1"/>
  <c r="T158" i="2" a="1"/>
  <c r="T153" i="2" a="1"/>
  <c r="P146" i="2" a="1"/>
  <c r="L139" i="2" a="1"/>
  <c r="H132" i="2" a="1"/>
  <c r="D125" i="2" a="1"/>
  <c r="T117" i="2" a="1"/>
  <c r="C152" i="2" a="1"/>
  <c r="S144" i="2" a="1"/>
  <c r="O137" i="2" a="1"/>
  <c r="V157" i="2" a="1"/>
  <c r="R150" i="2" a="1"/>
  <c r="N143" i="2" a="1"/>
  <c r="J136" i="2" a="1"/>
  <c r="F129" i="2" a="1"/>
  <c r="V121" i="2" a="1"/>
  <c r="R114" i="2" a="1"/>
  <c r="U157" i="2" a="1"/>
  <c r="Q150" i="2" a="1"/>
  <c r="M143" i="2" a="1"/>
  <c r="I136" i="2" a="1"/>
  <c r="E129" i="2" a="1"/>
  <c r="U121" i="2" a="1"/>
  <c r="Q114" i="2" a="1"/>
  <c r="L158" i="2" a="1"/>
  <c r="V147" i="2" a="1"/>
  <c r="F137" i="2" a="1"/>
  <c r="U126" i="2" a="1"/>
  <c r="I117" i="2" a="1"/>
  <c r="C108" i="2" a="1"/>
  <c r="Q149" i="2" a="1"/>
  <c r="U138" i="2" a="1"/>
  <c r="J128" i="2" a="1"/>
  <c r="R118" i="2" a="1"/>
  <c r="O156" i="2" a="1"/>
  <c r="S145" i="2" a="1"/>
  <c r="C135" i="2" a="1"/>
  <c r="E125" i="2" a="1"/>
  <c r="V153" i="2" a="1"/>
  <c r="F143" i="2" a="1"/>
  <c r="J132" i="2" a="1"/>
  <c r="O122" i="2" a="1"/>
  <c r="C113" i="2" a="1"/>
  <c r="S104" i="2" a="1"/>
  <c r="Q155" i="2" a="1"/>
  <c r="U144" i="2" a="1"/>
  <c r="E134" i="2" a="1"/>
  <c r="E124" i="2" a="1"/>
  <c r="M114" i="2" a="1"/>
  <c r="V105" i="2" a="1"/>
  <c r="R98" i="2" a="1"/>
  <c r="K156" i="2" a="1"/>
  <c r="O145" i="2" a="1"/>
  <c r="S134" i="2" a="1"/>
  <c r="R124" i="2" a="1"/>
  <c r="F115" i="2" a="1"/>
  <c r="R152" i="2" a="1"/>
  <c r="V141" i="2" a="1"/>
  <c r="F131" i="2" a="1"/>
  <c r="N121" i="2" a="1"/>
  <c r="U149" i="2" a="1"/>
  <c r="E139" i="2" a="1"/>
  <c r="Q128" i="2" a="1"/>
  <c r="E119" i="2" a="1"/>
  <c r="O109" i="2" a="1"/>
  <c r="F102" i="2" a="1"/>
  <c r="V94" i="2" a="1"/>
  <c r="P150" i="2" a="1"/>
  <c r="T139" i="2" a="1"/>
  <c r="K129" i="2" a="1"/>
  <c r="S119" i="2" a="1"/>
  <c r="H110" i="2" a="1"/>
  <c r="Q102" i="2" a="1"/>
  <c r="M95" i="2" a="1"/>
  <c r="O151" i="2" a="1"/>
  <c r="S158" i="2" a="1"/>
  <c r="H153" i="2" a="1"/>
  <c r="D146" i="2" a="1"/>
  <c r="T138" i="2" a="1"/>
  <c r="P131" i="2" a="1"/>
  <c r="L124" i="2" a="1"/>
  <c r="H117" i="2" a="1"/>
  <c r="O158" i="2" a="1"/>
  <c r="K151" i="2" a="1"/>
  <c r="G144" i="2" a="1"/>
  <c r="C137" i="2" a="1"/>
  <c r="J157" i="2" a="1"/>
  <c r="F150" i="2" a="1"/>
  <c r="V142" i="2" a="1"/>
  <c r="R135" i="2" a="1"/>
  <c r="N128" i="2" a="1"/>
  <c r="J121" i="2" a="1"/>
  <c r="F114" i="2" a="1"/>
  <c r="I157" i="2" a="1"/>
  <c r="E150" i="2" a="1"/>
  <c r="U142" i="2" a="1"/>
  <c r="Q135" i="2" a="1"/>
  <c r="M128" i="2" a="1"/>
  <c r="I121" i="2" a="1"/>
  <c r="E114" i="2" a="1"/>
  <c r="R157" i="2" a="1"/>
  <c r="V146" i="2" a="1"/>
  <c r="F136" i="2" a="1"/>
  <c r="C126" i="2" a="1"/>
  <c r="K116" i="2" a="1"/>
  <c r="K107" i="2" a="1"/>
  <c r="Q148" i="2" a="1"/>
  <c r="U137" i="2" a="1"/>
  <c r="O127" i="2" a="1"/>
  <c r="C118" i="2" a="1"/>
  <c r="S155" i="2" a="1"/>
  <c r="C145" i="2" a="1"/>
  <c r="G134" i="2" a="1"/>
  <c r="G124" i="2" a="1"/>
  <c r="V152" i="2" a="1"/>
  <c r="F142" i="2" a="1"/>
  <c r="J131" i="2" a="1"/>
  <c r="R121" i="2" a="1"/>
  <c r="F112" i="2" a="1"/>
  <c r="G104" i="2" a="1"/>
  <c r="Q154" i="2" a="1"/>
  <c r="U143" i="2" a="1"/>
  <c r="E133" i="2" a="1"/>
  <c r="J123" i="2" a="1"/>
  <c r="R113" i="2" a="1"/>
  <c r="J105" i="2" a="1"/>
  <c r="F98" i="2" a="1"/>
  <c r="K155" i="2" a="1"/>
  <c r="O144" i="2" a="1"/>
  <c r="S133" i="2" a="1"/>
  <c r="C124" i="2" a="1"/>
  <c r="K114" i="2" a="1"/>
  <c r="R151" i="2" a="1"/>
  <c r="V140" i="2" a="1"/>
  <c r="H130" i="2" a="1"/>
  <c r="P120" i="2" a="1"/>
  <c r="E149" i="2" a="1"/>
  <c r="I138" i="2" a="1"/>
  <c r="S127" i="2" a="1"/>
  <c r="G118" i="2" a="1"/>
  <c r="U108" i="2" a="1"/>
  <c r="N101" i="2" a="1"/>
  <c r="J94" i="2" a="1"/>
  <c r="T149" i="2" a="1"/>
  <c r="D139" i="2" a="1"/>
  <c r="O128" i="2" a="1"/>
  <c r="C119" i="2" a="1"/>
  <c r="N109" i="2" a="1"/>
  <c r="E102" i="2" a="1"/>
  <c r="U94" i="2" a="1"/>
  <c r="O150" i="2" a="1"/>
  <c r="S139" i="2" a="1"/>
  <c r="J129" i="2" a="1"/>
  <c r="D154" i="2" a="1"/>
  <c r="D110" i="2" a="1"/>
  <c r="P98" i="2" a="1"/>
  <c r="C90" i="2" a="1"/>
  <c r="S82" i="2" a="1"/>
  <c r="L137" i="2" a="1"/>
  <c r="M106" i="2" a="1"/>
  <c r="G96" i="2" a="1"/>
  <c r="F88" i="2" a="1"/>
  <c r="V80" i="2" a="1"/>
  <c r="R73" i="2" a="1"/>
  <c r="N66" i="2" a="1"/>
  <c r="H142" i="2" a="1"/>
  <c r="L107" i="2" a="1"/>
  <c r="U96" i="2" a="1"/>
  <c r="Q88" i="2" a="1"/>
  <c r="M81" i="2" a="1"/>
  <c r="I74" i="2" a="1"/>
  <c r="E67" i="2" a="1"/>
  <c r="S112" i="2" a="1"/>
  <c r="E100" i="2" a="1"/>
  <c r="D91" i="2" a="1"/>
  <c r="T83" i="2" a="1"/>
  <c r="P76" i="2" a="1"/>
  <c r="L69" i="2" a="1"/>
  <c r="H62" i="2" a="1"/>
  <c r="O114" i="2" a="1"/>
  <c r="T100" i="2" a="1"/>
  <c r="O91" i="2" a="1"/>
  <c r="K84" i="2" a="1"/>
  <c r="H157" i="2" a="1"/>
  <c r="R110" i="2" a="1"/>
  <c r="D99" i="2" a="1"/>
  <c r="J90" i="2" a="1"/>
  <c r="F83" i="2" a="1"/>
  <c r="V75" i="2" a="1"/>
  <c r="R68" i="2" a="1"/>
  <c r="N61" i="2" a="1"/>
  <c r="H112" i="2" a="1"/>
  <c r="T99" i="2" a="1"/>
  <c r="U90" i="2" a="1"/>
  <c r="Q83" i="2" a="1"/>
  <c r="M76" i="2" a="1"/>
  <c r="I69" i="2" a="1"/>
  <c r="E62" i="2" a="1"/>
  <c r="G112" i="2" a="1"/>
  <c r="S99" i="2" a="1"/>
  <c r="T90" i="2" a="1"/>
  <c r="P83" i="2" a="1"/>
  <c r="L76" i="2" a="1"/>
  <c r="R158" i="2" a="1"/>
  <c r="P152" i="2" a="1"/>
  <c r="L145" i="2" a="1"/>
  <c r="H138" i="2" a="1"/>
  <c r="D131" i="2" a="1"/>
  <c r="T123" i="2" a="1"/>
  <c r="P116" i="2" a="1"/>
  <c r="C158" i="2" a="1"/>
  <c r="S150" i="2" a="1"/>
  <c r="O143" i="2" a="1"/>
  <c r="K136" i="2" a="1"/>
  <c r="R156" i="2" a="1"/>
  <c r="N149" i="2" a="1"/>
  <c r="J142" i="2" a="1"/>
  <c r="F135" i="2" a="1"/>
  <c r="V127" i="2" a="1"/>
  <c r="R120" i="2" a="1"/>
  <c r="N113" i="2" a="1"/>
  <c r="Q156" i="2" a="1"/>
  <c r="M149" i="2" a="1"/>
  <c r="I142" i="2" a="1"/>
  <c r="E135" i="2" a="1"/>
  <c r="U127" i="2" a="1"/>
  <c r="Q120" i="2" a="1"/>
  <c r="M113" i="2" a="1"/>
  <c r="V156" i="2" a="1"/>
  <c r="F146" i="2" a="1"/>
  <c r="J135" i="2" a="1"/>
  <c r="H125" i="2" a="1"/>
  <c r="P115" i="2" a="1"/>
  <c r="S106" i="2" a="1"/>
  <c r="U147" i="2" a="1"/>
  <c r="E137" i="2" a="1"/>
  <c r="S126" i="2" a="1"/>
  <c r="G117" i="2" a="1"/>
  <c r="S154" i="2" a="1"/>
  <c r="C144" i="2" a="1"/>
  <c r="G133" i="2" a="1"/>
  <c r="L123" i="2" a="1"/>
  <c r="F152" i="2" a="1"/>
  <c r="J141" i="2" a="1"/>
  <c r="O130" i="2" a="1"/>
  <c r="C121" i="2" a="1"/>
  <c r="K111" i="2" a="1"/>
  <c r="O103" i="2" a="1"/>
  <c r="U153" i="2" a="1"/>
  <c r="E143" i="2" a="1"/>
  <c r="I132" i="2" a="1"/>
  <c r="L122" i="2" a="1"/>
  <c r="T112" i="2" a="1"/>
  <c r="R104" i="2" a="1"/>
  <c r="N97" i="2" a="1"/>
  <c r="O154" i="2" a="1"/>
  <c r="S143" i="2" a="1"/>
  <c r="C133" i="2" a="1"/>
  <c r="G123" i="2" a="1"/>
  <c r="O113" i="2" a="1"/>
  <c r="V150" i="2" a="1"/>
  <c r="F140" i="2" a="1"/>
  <c r="M129" i="2" a="1"/>
  <c r="U119" i="2" a="1"/>
  <c r="E148" i="2" a="1"/>
  <c r="I137" i="2" a="1"/>
  <c r="D127" i="2" a="1"/>
  <c r="L117" i="2" a="1"/>
  <c r="G108" i="2" a="1"/>
  <c r="V100" i="2" a="1"/>
  <c r="R93" i="2" a="1"/>
  <c r="T148" i="2" a="1"/>
  <c r="D138" i="2" a="1"/>
  <c r="R127" i="2" a="1"/>
  <c r="F118" i="2" a="1"/>
  <c r="T108" i="2" a="1"/>
  <c r="M101" i="2" a="1"/>
  <c r="I94" i="2" a="1"/>
  <c r="S149" i="2" a="1"/>
  <c r="C139" i="2" a="1"/>
  <c r="L128" i="2" a="1"/>
  <c r="P148" i="2" a="1"/>
  <c r="S108" i="2" a="1"/>
  <c r="S97" i="2" a="1"/>
  <c r="K89" i="2" a="1"/>
  <c r="G82" i="2" a="1"/>
  <c r="D132" i="2" a="1"/>
  <c r="O105" i="2" a="1"/>
  <c r="J95" i="2" a="1"/>
  <c r="N87" i="2" a="1"/>
  <c r="J80" i="2" a="1"/>
  <c r="F73" i="2" a="1"/>
  <c r="V65" i="2" a="1"/>
  <c r="T136" i="2" a="1"/>
  <c r="L106" i="2" a="1"/>
  <c r="D96" i="2" a="1"/>
  <c r="E88" i="2" a="1"/>
  <c r="U80" i="2" a="1"/>
  <c r="Q73" i="2" a="1"/>
  <c r="H158" i="2" a="1"/>
  <c r="U110" i="2" a="1"/>
  <c r="H99" i="2" a="1"/>
  <c r="L90" i="2" a="1"/>
  <c r="H83" i="2" a="1"/>
  <c r="D76" i="2" a="1"/>
  <c r="T68" i="2" a="1"/>
  <c r="P61" i="2" a="1"/>
  <c r="Q112" i="2" a="1"/>
  <c r="D100" i="2" a="1"/>
  <c r="C91" i="2" a="1"/>
  <c r="S83" i="2" a="1"/>
  <c r="T151" i="2" a="1"/>
  <c r="M109" i="2" a="1"/>
  <c r="I98" i="2" a="1"/>
  <c r="R89" i="2" a="1"/>
  <c r="N82" i="2" a="1"/>
  <c r="J75" i="2" a="1"/>
  <c r="F68" i="2" a="1"/>
  <c r="P156" i="2" a="1"/>
  <c r="Q110" i="2" a="1"/>
  <c r="C99" i="2" a="1"/>
  <c r="I90" i="2" a="1"/>
  <c r="E83" i="2" a="1"/>
  <c r="U75" i="2" a="1"/>
  <c r="Q68" i="2" a="1"/>
  <c r="L156" i="2" a="1"/>
  <c r="L110" i="2" a="1"/>
  <c r="V98" i="2" a="1"/>
  <c r="H90" i="2" a="1"/>
  <c r="D83" i="2" a="1"/>
  <c r="Q158" i="2" a="1"/>
  <c r="D152" i="2" a="1"/>
  <c r="T144" i="2" a="1"/>
  <c r="P137" i="2" a="1"/>
  <c r="L130" i="2" a="1"/>
  <c r="H123" i="2" a="1"/>
  <c r="D116" i="2" a="1"/>
  <c r="K157" i="2" a="1"/>
  <c r="G150" i="2" a="1"/>
  <c r="C143" i="2" a="1"/>
  <c r="S135" i="2" a="1"/>
  <c r="F156" i="2" a="1"/>
  <c r="V148" i="2" a="1"/>
  <c r="R141" i="2" a="1"/>
  <c r="N134" i="2" a="1"/>
  <c r="J127" i="2" a="1"/>
  <c r="F120" i="2" a="1"/>
  <c r="V112" i="2" a="1"/>
  <c r="E156" i="2" a="1"/>
  <c r="U148" i="2" a="1"/>
  <c r="Q141" i="2" a="1"/>
  <c r="M134" i="2" a="1"/>
  <c r="I127" i="2" a="1"/>
  <c r="E120" i="2" a="1"/>
  <c r="U112" i="2" a="1"/>
  <c r="V155" i="2" a="1"/>
  <c r="F145" i="2" a="1"/>
  <c r="J134" i="2" a="1"/>
  <c r="M124" i="2" a="1"/>
  <c r="U114" i="2" a="1"/>
  <c r="Q157" i="2" a="1"/>
  <c r="U146" i="2" a="1"/>
  <c r="E136" i="2" a="1"/>
  <c r="V125" i="2" a="1"/>
  <c r="J116" i="2" a="1"/>
  <c r="C154" i="2" a="1"/>
  <c r="G143" i="2" a="1"/>
  <c r="K132" i="2" a="1"/>
  <c r="Q122" i="2" a="1"/>
  <c r="F151" i="2" a="1"/>
  <c r="J140" i="2" a="1"/>
  <c r="S129" i="2" a="1"/>
  <c r="G120" i="2" a="1"/>
  <c r="P110" i="2" a="1"/>
  <c r="C103" i="2" a="1"/>
  <c r="U152" i="2" a="1"/>
  <c r="E142" i="2" a="1"/>
  <c r="I131" i="2" a="1"/>
  <c r="Q121" i="2" a="1"/>
  <c r="E112" i="2" a="1"/>
  <c r="F104" i="2" a="1"/>
  <c r="V96" i="2" a="1"/>
  <c r="O153" i="2" a="1"/>
  <c r="S142" i="2" a="1"/>
  <c r="C132" i="2" a="1"/>
  <c r="J122" i="2" a="1"/>
  <c r="R112" i="2" a="1"/>
  <c r="V149" i="2" a="1"/>
  <c r="F139" i="2" a="1"/>
  <c r="R128" i="2" a="1"/>
  <c r="E158" i="2" a="1"/>
  <c r="I147" i="2" a="1"/>
  <c r="M136" i="2" a="1"/>
  <c r="I126" i="2" a="1"/>
  <c r="Q116" i="2" a="1"/>
  <c r="N107" i="2" a="1"/>
  <c r="J100" i="2" a="1"/>
  <c r="F93" i="2" a="1"/>
  <c r="D148" i="2" a="1"/>
  <c r="H137" i="2" a="1"/>
  <c r="C127" i="2" a="1"/>
  <c r="K117" i="2" a="1"/>
  <c r="F108" i="2" a="1"/>
  <c r="U100" i="2" a="1"/>
  <c r="Q93" i="2" a="1"/>
  <c r="S148" i="2" a="1"/>
  <c r="C138" i="2" a="1"/>
  <c r="Q127" i="2" a="1"/>
  <c r="H143" i="2" a="1"/>
  <c r="P107" i="2" a="1"/>
  <c r="D97" i="2" a="1"/>
  <c r="S88" i="2" a="1"/>
  <c r="O81" i="2" a="1"/>
  <c r="G127" i="2" a="1"/>
  <c r="Q104" i="2" a="1"/>
  <c r="O94" i="2" a="1"/>
  <c r="V86" i="2" a="1"/>
  <c r="R79" i="2" a="1"/>
  <c r="N72" i="2" a="1"/>
  <c r="J65" i="2" a="1"/>
  <c r="L131" i="2" a="1"/>
  <c r="N105" i="2" a="1"/>
  <c r="I95" i="2" a="1"/>
  <c r="M87" i="2" a="1"/>
  <c r="I80" i="2" a="1"/>
  <c r="P158" i="2" a="1"/>
  <c r="L151" i="2" a="1"/>
  <c r="H144" i="2" a="1"/>
  <c r="D137" i="2" a="1"/>
  <c r="T129" i="2" a="1"/>
  <c r="P122" i="2" a="1"/>
  <c r="L115" i="2" a="1"/>
  <c r="S156" i="2" a="1"/>
  <c r="O149" i="2" a="1"/>
  <c r="K142" i="2" a="1"/>
  <c r="G135" i="2" a="1"/>
  <c r="N155" i="2" a="1"/>
  <c r="J148" i="2" a="1"/>
  <c r="F141" i="2" a="1"/>
  <c r="V133" i="2" a="1"/>
  <c r="R126" i="2" a="1"/>
  <c r="N119" i="2" a="1"/>
  <c r="J112" i="2" a="1"/>
  <c r="M155" i="2" a="1"/>
  <c r="I148" i="2" a="1"/>
  <c r="E141" i="2" a="1"/>
  <c r="U133" i="2" a="1"/>
  <c r="Q126" i="2" a="1"/>
  <c r="M119" i="2" a="1"/>
  <c r="I112" i="2" a="1"/>
  <c r="F155" i="2" a="1"/>
  <c r="J144" i="2" a="1"/>
  <c r="N133" i="2" a="1"/>
  <c r="O123" i="2" a="1"/>
  <c r="C114" i="2" a="1"/>
  <c r="U156" i="2" a="1"/>
  <c r="E146" i="2" a="1"/>
  <c r="I135" i="2" a="1"/>
  <c r="G125" i="2" a="1"/>
  <c r="O115" i="2" a="1"/>
  <c r="C153" i="2" a="1"/>
  <c r="G142" i="2" a="1"/>
  <c r="K131" i="2" a="1"/>
  <c r="S121" i="2" a="1"/>
  <c r="J150" i="2" a="1"/>
  <c r="N139" i="2" a="1"/>
  <c r="V128" i="2" a="1"/>
  <c r="J119" i="2" a="1"/>
  <c r="T109" i="2" a="1"/>
  <c r="K102" i="2" a="1"/>
  <c r="E152" i="2" a="1"/>
  <c r="I141" i="2" a="1"/>
  <c r="N130" i="2" a="1"/>
  <c r="V120" i="2" a="1"/>
  <c r="J111" i="2" a="1"/>
  <c r="N103" i="2" a="1"/>
  <c r="J96" i="2" a="1"/>
  <c r="S152" i="2" a="1"/>
  <c r="C142" i="2" a="1"/>
  <c r="G131" i="2" a="1"/>
  <c r="O121" i="2" a="1"/>
  <c r="C112" i="2" a="1"/>
  <c r="F149" i="2" a="1"/>
  <c r="J138" i="2" a="1"/>
  <c r="T127" i="2" a="1"/>
  <c r="E157" i="2" a="1"/>
  <c r="I146" i="2" a="1"/>
  <c r="M135" i="2" a="1"/>
  <c r="K125" i="2" a="1"/>
  <c r="S115" i="2" a="1"/>
  <c r="V106" i="2" a="1"/>
  <c r="R99" i="2" a="1"/>
  <c r="T157" i="2" a="1"/>
  <c r="D147" i="2" a="1"/>
  <c r="H136" i="2" a="1"/>
  <c r="G126" i="2" a="1"/>
  <c r="O116" i="2" a="1"/>
  <c r="M107" i="2" a="1"/>
  <c r="I100" i="2" a="1"/>
  <c r="E93" i="2" a="1"/>
  <c r="C148" i="2" a="1"/>
  <c r="G137" i="2" a="1"/>
  <c r="V126" i="2" a="1"/>
  <c r="T137" i="2" a="1"/>
  <c r="P106" i="2" a="1"/>
  <c r="H96" i="2" a="1"/>
  <c r="G88" i="2" a="1"/>
  <c r="C81" i="2" a="1"/>
  <c r="K122" i="2" a="1"/>
  <c r="S103" i="2" a="1"/>
  <c r="S93" i="2" a="1"/>
  <c r="J86" i="2" a="1"/>
  <c r="F79" i="2" a="1"/>
  <c r="V71" i="2" a="1"/>
  <c r="R64" i="2" a="1"/>
  <c r="P126" i="2" a="1"/>
  <c r="P104" i="2" a="1"/>
  <c r="M94" i="2" a="1"/>
  <c r="U86" i="2" a="1"/>
  <c r="Q79" i="2" a="1"/>
  <c r="M72" i="2" a="1"/>
  <c r="L147" i="2" a="1"/>
  <c r="D158" i="2" a="1"/>
  <c r="T150" i="2" a="1"/>
  <c r="P143" i="2" a="1"/>
  <c r="L136" i="2" a="1"/>
  <c r="H129" i="2" a="1"/>
  <c r="D122" i="2" a="1"/>
  <c r="T114" i="2" a="1"/>
  <c r="G156" i="2" a="1"/>
  <c r="C149" i="2" a="1"/>
  <c r="S141" i="2" a="1"/>
  <c r="O134" i="2" a="1"/>
  <c r="V154" i="2" a="1"/>
  <c r="R147" i="2" a="1"/>
  <c r="N140" i="2" a="1"/>
  <c r="J133" i="2" a="1"/>
  <c r="F126" i="2" a="1"/>
  <c r="V118" i="2" a="1"/>
  <c r="R111" i="2" a="1"/>
  <c r="U154" i="2" a="1"/>
  <c r="Q147" i="2" a="1"/>
  <c r="M140" i="2" a="1"/>
  <c r="I133" i="2" a="1"/>
  <c r="E126" i="2" a="1"/>
  <c r="U118" i="2" a="1"/>
  <c r="Q111" i="2" a="1"/>
  <c r="F154" i="2" a="1"/>
  <c r="J143" i="2" a="1"/>
  <c r="N132" i="2" a="1"/>
  <c r="T122" i="2" a="1"/>
  <c r="H113" i="2" a="1"/>
  <c r="U155" i="2" a="1"/>
  <c r="E145" i="2" a="1"/>
  <c r="I134" i="2" a="1"/>
  <c r="K124" i="2" a="1"/>
  <c r="S114" i="2" a="1"/>
  <c r="G152" i="2" a="1"/>
  <c r="K141" i="2" a="1"/>
  <c r="P130" i="2" a="1"/>
  <c r="D121" i="2" a="1"/>
  <c r="J149" i="2" a="1"/>
  <c r="N138" i="2" a="1"/>
  <c r="G128" i="2" a="1"/>
  <c r="O118" i="2" a="1"/>
  <c r="F109" i="2" a="1"/>
  <c r="S101" i="2" a="1"/>
  <c r="E151" i="2" a="1"/>
  <c r="I140" i="2" a="1"/>
  <c r="P129" i="2" a="1"/>
  <c r="D120" i="2" a="1"/>
  <c r="O110" i="2" a="1"/>
  <c r="V102" i="2" a="1"/>
  <c r="R95" i="2" a="1"/>
  <c r="S151" i="2" a="1"/>
  <c r="C141" i="2" a="1"/>
  <c r="K130" i="2" a="1"/>
  <c r="S120" i="2" a="1"/>
  <c r="G111" i="2" a="1"/>
  <c r="F148" i="2" a="1"/>
  <c r="J137" i="2" a="1"/>
  <c r="E127" i="2" a="1"/>
  <c r="I156" i="2" a="1"/>
  <c r="M145" i="2" a="1"/>
  <c r="Q134" i="2" a="1"/>
  <c r="P124" i="2" a="1"/>
  <c r="D115" i="2" a="1"/>
  <c r="J106" i="2" a="1"/>
  <c r="F99" i="2" a="1"/>
  <c r="D157" i="2" a="1"/>
  <c r="H146" i="2" a="1"/>
  <c r="L135" i="2" a="1"/>
  <c r="J125" i="2" a="1"/>
  <c r="R115" i="2" a="1"/>
  <c r="U106" i="2" a="1"/>
  <c r="Q99" i="2" a="1"/>
  <c r="S157" i="2" a="1"/>
  <c r="C147" i="2" a="1"/>
  <c r="G136" i="2" a="1"/>
  <c r="D126" i="2" a="1"/>
  <c r="L132" i="2" a="1"/>
  <c r="P105" i="2" a="1"/>
  <c r="K95" i="2" a="1"/>
  <c r="O87" i="2" a="1"/>
  <c r="K80" i="2" a="1"/>
  <c r="T118" i="2" a="1"/>
  <c r="U102" i="2" a="1"/>
  <c r="V92" i="2" a="1"/>
  <c r="R85" i="2" a="1"/>
  <c r="N78" i="2" a="1"/>
  <c r="J71" i="2" a="1"/>
  <c r="F64" i="2" a="1"/>
  <c r="T121" i="2" a="1"/>
  <c r="R103" i="2" a="1"/>
  <c r="P93" i="2" a="1"/>
  <c r="I86" i="2" a="1"/>
  <c r="E79" i="2" a="1"/>
  <c r="U71" i="2" a="1"/>
  <c r="D142" i="2" a="1"/>
  <c r="J107" i="2" a="1"/>
  <c r="T96" i="2" a="1"/>
  <c r="P88" i="2" a="1"/>
  <c r="L81" i="2" a="1"/>
  <c r="H74" i="2" a="1"/>
  <c r="D67" i="2" a="1"/>
  <c r="L157" i="2" a="1"/>
  <c r="H150" i="2" a="1"/>
  <c r="D143" i="2" a="1"/>
  <c r="T135" i="2" a="1"/>
  <c r="P128" i="2" a="1"/>
  <c r="L121" i="2" a="1"/>
  <c r="H114" i="2" a="1"/>
  <c r="O155" i="2" a="1"/>
  <c r="K148" i="2" a="1"/>
  <c r="G141" i="2" a="1"/>
  <c r="C134" i="2" a="1"/>
  <c r="J154" i="2" a="1"/>
  <c r="F147" i="2" a="1"/>
  <c r="V139" i="2" a="1"/>
  <c r="R132" i="2" a="1"/>
  <c r="N125" i="2" a="1"/>
  <c r="J118" i="2" a="1"/>
  <c r="F111" i="2" a="1"/>
  <c r="I154" i="2" a="1"/>
  <c r="E147" i="2" a="1"/>
  <c r="U139" i="2" a="1"/>
  <c r="Q132" i="2" a="1"/>
  <c r="M125" i="2" a="1"/>
  <c r="I118" i="2" a="1"/>
  <c r="E111" i="2" a="1"/>
  <c r="J153" i="2" a="1"/>
  <c r="N142" i="2" a="1"/>
  <c r="R131" i="2" a="1"/>
  <c r="E122" i="2" a="1"/>
  <c r="M112" i="2" a="1"/>
  <c r="E155" i="2" a="1"/>
  <c r="I144" i="2" a="1"/>
  <c r="M133" i="2" a="1"/>
  <c r="N123" i="2" a="1"/>
  <c r="V113" i="2" a="1"/>
  <c r="G151" i="2" a="1"/>
  <c r="K140" i="2" a="1"/>
  <c r="U129" i="2" a="1"/>
  <c r="I120" i="2" a="1"/>
  <c r="N148" i="2" a="1"/>
  <c r="R137" i="2" a="1"/>
  <c r="K127" i="2" a="1"/>
  <c r="S117" i="2" a="1"/>
  <c r="L108" i="2" a="1"/>
  <c r="G101" i="2" a="1"/>
  <c r="I150" i="2" a="1"/>
  <c r="M139" i="2" a="1"/>
  <c r="U128" i="2" a="1"/>
  <c r="I119" i="2" a="1"/>
  <c r="S109" i="2" a="1"/>
  <c r="J102" i="2" a="1"/>
  <c r="F95" i="2" a="1"/>
  <c r="C151" i="2" a="1"/>
  <c r="G140" i="2" a="1"/>
  <c r="N129" i="2" a="1"/>
  <c r="V119" i="2" a="1"/>
  <c r="F158" i="2" a="1"/>
  <c r="J147" i="2" a="1"/>
  <c r="N136" i="2" a="1"/>
  <c r="J126" i="2" a="1"/>
  <c r="I155" i="2" a="1"/>
  <c r="M144" i="2" a="1"/>
  <c r="Q133" i="2" a="1"/>
  <c r="U123" i="2" a="1"/>
  <c r="I114" i="2" a="1"/>
  <c r="R105" i="2" a="1"/>
  <c r="N98" i="2" a="1"/>
  <c r="D156" i="2" a="1"/>
  <c r="H145" i="2" a="1"/>
  <c r="L134" i="2" a="1"/>
  <c r="O124" i="2" a="1"/>
  <c r="C115" i="2" a="1"/>
  <c r="I106" i="2" a="1"/>
  <c r="E99" i="2" a="1"/>
  <c r="C157" i="2" a="1"/>
  <c r="G146" i="2" a="1"/>
  <c r="K135" i="2" a="1"/>
  <c r="I125" i="2" a="1"/>
  <c r="N127" i="2" a="1"/>
  <c r="T104" i="2" a="1"/>
  <c r="P94" i="2" a="1"/>
  <c r="C87" i="2" a="1"/>
  <c r="S79" i="2" a="1"/>
  <c r="C117" i="2" a="1"/>
  <c r="C102" i="2" a="1"/>
  <c r="J92" i="2" a="1"/>
  <c r="F85" i="2" a="1"/>
  <c r="V77" i="2" a="1"/>
  <c r="R70" i="2" a="1"/>
  <c r="N63" i="2" a="1"/>
  <c r="Q118" i="2" a="1"/>
  <c r="T102" i="2" a="1"/>
  <c r="U92" i="2" a="1"/>
  <c r="Q85" i="2" a="1"/>
  <c r="M78" i="2" a="1"/>
  <c r="I71" i="2" a="1"/>
  <c r="P136" i="2" a="1"/>
  <c r="K106" i="2" a="1"/>
  <c r="C96" i="2" a="1"/>
  <c r="D88" i="2" a="1"/>
  <c r="T80" i="2" a="1"/>
  <c r="P73" i="2" a="1"/>
  <c r="L66" i="2" a="1"/>
  <c r="T156" i="2" a="1"/>
  <c r="P149" i="2" a="1"/>
  <c r="L142" i="2" a="1"/>
  <c r="H135" i="2" a="1"/>
  <c r="D128" i="2" a="1"/>
  <c r="T120" i="2" a="1"/>
  <c r="P113" i="2" a="1"/>
  <c r="C155" i="2" a="1"/>
  <c r="S147" i="2" a="1"/>
  <c r="O140" i="2" a="1"/>
  <c r="K133" i="2" a="1"/>
  <c r="R153" i="2" a="1"/>
  <c r="N146" i="2" a="1"/>
  <c r="J139" i="2" a="1"/>
  <c r="F132" i="2" a="1"/>
  <c r="V124" i="2" a="1"/>
  <c r="R117" i="2" a="1"/>
  <c r="N110" i="2" a="1"/>
  <c r="Q153" i="2" a="1"/>
  <c r="M146" i="2" a="1"/>
  <c r="I139" i="2" a="1"/>
  <c r="E132" i="2" a="1"/>
  <c r="U124" i="2" a="1"/>
  <c r="Q117" i="2" a="1"/>
  <c r="M110" i="2" a="1"/>
  <c r="J152" i="2" a="1"/>
  <c r="N141" i="2" a="1"/>
  <c r="S130" i="2" a="1"/>
  <c r="G121" i="2" a="1"/>
  <c r="O111" i="2" a="1"/>
  <c r="E154" i="2" a="1"/>
  <c r="I143" i="2" a="1"/>
  <c r="M132" i="2" a="1"/>
  <c r="S122" i="2" a="1"/>
  <c r="G113" i="2" a="1"/>
  <c r="K150" i="2" a="1"/>
  <c r="O139" i="2" a="1"/>
  <c r="C129" i="2" a="1"/>
  <c r="J158" i="2" a="1"/>
  <c r="N147" i="2" a="1"/>
  <c r="R136" i="2" a="1"/>
  <c r="N126" i="2" a="1"/>
  <c r="V116" i="2" a="1"/>
  <c r="S107" i="2" a="1"/>
  <c r="O100" i="2" a="1"/>
  <c r="I149" i="2" a="1"/>
  <c r="M138" i="2" a="1"/>
  <c r="F128" i="2" a="1"/>
  <c r="N118" i="2" a="1"/>
  <c r="E109" i="2" a="1"/>
  <c r="R101" i="2" a="1"/>
  <c r="N94" i="2" a="1"/>
  <c r="C150" i="2" a="1"/>
  <c r="G139" i="2" a="1"/>
  <c r="S128" i="2" a="1"/>
  <c r="G119" i="2" a="1"/>
  <c r="F157" i="2" a="1"/>
  <c r="J146" i="2" a="1"/>
  <c r="N135" i="2" a="1"/>
  <c r="L125" i="2" a="1"/>
  <c r="M154" i="2" a="1"/>
  <c r="Q143" i="2" a="1"/>
  <c r="U132" i="2" a="1"/>
  <c r="C123" i="2" a="1"/>
  <c r="K113" i="2" a="1"/>
  <c r="F105" i="2" a="1"/>
  <c r="V97" i="2" a="1"/>
  <c r="H155" i="2" a="1"/>
  <c r="L144" i="2" a="1"/>
  <c r="P133" i="2" a="1"/>
  <c r="S123" i="2" a="1"/>
  <c r="G114" i="2" a="1"/>
  <c r="Q105" i="2" a="1"/>
  <c r="M98" i="2" a="1"/>
  <c r="C156" i="2" a="1"/>
  <c r="G145" i="2" a="1"/>
  <c r="K134" i="2" a="1"/>
  <c r="N124" i="2" a="1"/>
  <c r="R122" i="2" a="1"/>
  <c r="T103" i="2" a="1"/>
  <c r="T93" i="2" a="1"/>
  <c r="K86" i="2" a="1"/>
  <c r="G79" i="2" a="1"/>
  <c r="E115" i="2" a="1"/>
  <c r="E101" i="2" a="1"/>
  <c r="R91" i="2" a="1"/>
  <c r="N84" i="2" a="1"/>
  <c r="J77" i="2" a="1"/>
  <c r="F70" i="2" a="1"/>
  <c r="V62" i="2" a="1"/>
  <c r="T116" i="2" a="1"/>
  <c r="V101" i="2" a="1"/>
  <c r="I92" i="2" a="1"/>
  <c r="E85" i="2" a="1"/>
  <c r="U77" i="2" a="1"/>
  <c r="Q70" i="2" a="1"/>
  <c r="H131" i="2" a="1"/>
  <c r="M105" i="2" a="1"/>
  <c r="H95" i="2" a="1"/>
  <c r="L87" i="2" a="1"/>
  <c r="H80" i="2" a="1"/>
  <c r="D73" i="2" a="1"/>
  <c r="T65" i="2" a="1"/>
  <c r="D136" i="2" a="1"/>
  <c r="H106" i="2" a="1"/>
  <c r="V95" i="2" a="1"/>
  <c r="C88" i="2" a="1"/>
  <c r="S80" i="2" a="1"/>
  <c r="Q125" i="2" a="1"/>
  <c r="K104" i="2" a="1"/>
  <c r="H94" i="2" a="1"/>
  <c r="R86" i="2" a="1"/>
  <c r="N79" i="2" a="1"/>
  <c r="J72" i="2" a="1"/>
  <c r="F65" i="2" a="1"/>
  <c r="V129" i="2" a="1"/>
  <c r="H105" i="2" a="1"/>
  <c r="D95" i="2" a="1"/>
  <c r="I87" i="2" a="1"/>
  <c r="E80" i="2" a="1"/>
  <c r="U72" i="2" a="1"/>
  <c r="Q65" i="2" a="1"/>
  <c r="O129" i="2" a="1"/>
  <c r="G105" i="2" a="1"/>
  <c r="C95" i="2" a="1"/>
  <c r="H87" i="2" a="1"/>
  <c r="D80" i="2" a="1"/>
  <c r="T72" i="2" a="1"/>
  <c r="O141" i="2" a="1"/>
  <c r="C84" i="2" a="1"/>
  <c r="V74" i="2" a="1"/>
  <c r="Q82" i="2" a="1"/>
  <c r="P114" i="2" a="1"/>
  <c r="P91" i="2" a="1"/>
  <c r="H77" i="2" a="1"/>
  <c r="T62" i="2" a="1"/>
  <c r="I107" i="2" a="1"/>
  <c r="G92" i="2" a="1"/>
  <c r="K81" i="2" a="1"/>
  <c r="N112" i="2" a="1"/>
  <c r="E95" i="2" a="1"/>
  <c r="R83" i="2" a="1"/>
  <c r="V72" i="2" a="1"/>
  <c r="F62" i="2" a="1"/>
  <c r="F106" i="2" a="1"/>
  <c r="M91" i="2" a="1"/>
  <c r="Q80" i="2" a="1"/>
  <c r="U69" i="2" a="1"/>
  <c r="T134" i="2" a="1"/>
  <c r="Q100" i="2" a="1"/>
  <c r="T87" i="2" a="1"/>
  <c r="P77" i="2" a="1"/>
  <c r="H69" i="2" a="1"/>
  <c r="R119" i="2" a="1"/>
  <c r="H103" i="2" a="1"/>
  <c r="I93" i="2" a="1"/>
  <c r="C86" i="2" a="1"/>
  <c r="S78" i="2" a="1"/>
  <c r="O71" i="2" a="1"/>
  <c r="K64" i="2" a="1"/>
  <c r="D124" i="2" a="1"/>
  <c r="E104" i="2" a="1"/>
  <c r="D94" i="2" a="1"/>
  <c r="N86" i="2" a="1"/>
  <c r="J79" i="2" a="1"/>
  <c r="F72" i="2" a="1"/>
  <c r="V64" i="2" a="1"/>
  <c r="E128" i="2" a="1"/>
  <c r="U104" i="2" a="1"/>
  <c r="Q94" i="2" a="1"/>
  <c r="D87" i="2" a="1"/>
  <c r="T79" i="2" a="1"/>
  <c r="P72" i="2" a="1"/>
  <c r="L65" i="2" a="1"/>
  <c r="M77" i="2" a="1"/>
  <c r="C59" i="2" a="1"/>
  <c r="S51" i="2" a="1"/>
  <c r="O44" i="2" a="1"/>
  <c r="C75" i="2" a="1"/>
  <c r="J58" i="2" a="1"/>
  <c r="F51" i="2" a="1"/>
  <c r="V43" i="2" a="1"/>
  <c r="R36" i="2" a="1"/>
  <c r="L29" i="2" a="1"/>
  <c r="H22" i="2" a="1"/>
  <c r="G77" i="2" a="1"/>
  <c r="U58" i="2" a="1"/>
  <c r="Q51" i="2" a="1"/>
  <c r="M44" i="2" a="1"/>
  <c r="Q69" i="2" a="1"/>
  <c r="D57" i="2" a="1"/>
  <c r="T49" i="2" a="1"/>
  <c r="P42" i="2" a="1"/>
  <c r="L35" i="2" a="1"/>
  <c r="F28" i="2" a="1"/>
  <c r="V20" i="2" a="1"/>
  <c r="K74" i="2" a="1"/>
  <c r="G58" i="2" a="1"/>
  <c r="C51" i="2" a="1"/>
  <c r="S43" i="2" a="1"/>
  <c r="G74" i="2" a="1"/>
  <c r="F58" i="2" a="1"/>
  <c r="V50" i="2" a="1"/>
  <c r="R43" i="2" a="1"/>
  <c r="N36" i="2" a="1"/>
  <c r="H29" i="2" a="1"/>
  <c r="D22" i="2" a="1"/>
  <c r="E81" i="2" a="1"/>
  <c r="I59" i="2" a="1"/>
  <c r="E52" i="2" a="1"/>
  <c r="G65" i="2" a="1"/>
  <c r="P55" i="2" a="1"/>
  <c r="L48" i="2" a="1"/>
  <c r="H41" i="2" a="1"/>
  <c r="V33" i="2" a="1"/>
  <c r="R26" i="2" a="1"/>
  <c r="D65" i="2" a="1"/>
  <c r="O55" i="2" a="1"/>
  <c r="K48" i="2" a="1"/>
  <c r="G41" i="2" a="1"/>
  <c r="U33" i="2" a="1"/>
  <c r="Q26" i="2" a="1"/>
  <c r="M63" i="2" a="1"/>
  <c r="V54" i="2" a="1"/>
  <c r="R47" i="2" a="1"/>
  <c r="N40" i="2" a="1"/>
  <c r="H33" i="2" a="1"/>
  <c r="D26" i="2" a="1"/>
  <c r="T18" i="2" a="1"/>
  <c r="S64" i="2" a="1"/>
  <c r="M55" i="2" a="1"/>
  <c r="I48" i="2" a="1"/>
  <c r="E41" i="2" a="1"/>
  <c r="S33" i="2" a="1"/>
  <c r="O26" i="2" a="1"/>
  <c r="K19" i="2" a="1"/>
  <c r="E66" i="2" a="1"/>
  <c r="D56" i="2" a="1"/>
  <c r="T48" i="2" a="1"/>
  <c r="P41" i="2" a="1"/>
  <c r="L34" i="2" a="1"/>
  <c r="F27" i="2" a="1"/>
  <c r="V19" i="2" a="1"/>
  <c r="Q27" i="2" a="1"/>
  <c r="U3" i="2" a="1"/>
  <c r="M23" i="2" a="1"/>
  <c r="L13" i="2" a="1"/>
  <c r="H6" i="2" a="1"/>
  <c r="E3" i="2" a="1"/>
  <c r="I29" i="2" a="1"/>
  <c r="S15" i="2" a="1"/>
  <c r="O8" i="2" a="1"/>
  <c r="M8" i="2" a="1"/>
  <c r="C31" i="2" a="1"/>
  <c r="J16" i="2" a="1"/>
  <c r="F9" i="2" a="1"/>
  <c r="F16" i="2" a="1"/>
  <c r="O25" i="2" a="1"/>
  <c r="M14" i="2" a="1"/>
  <c r="Q39" i="2" a="1"/>
  <c r="R20" i="2" a="1"/>
  <c r="D12" i="2" a="1"/>
  <c r="T4" i="2" a="1"/>
  <c r="M7" i="2" a="1"/>
  <c r="I24" i="2" a="1"/>
  <c r="S13" i="2" a="1"/>
  <c r="O6" i="2" a="1"/>
  <c r="F10" i="2" a="1"/>
  <c r="I25" i="2" a="1"/>
  <c r="O35" i="2" a="1"/>
  <c r="C18" i="2" a="1"/>
  <c r="Q10" i="2" a="1"/>
  <c r="M3" i="2" a="1"/>
  <c r="I41" i="2" a="1"/>
  <c r="M21" i="2" a="1"/>
  <c r="L12" i="2" a="1"/>
  <c r="H5" i="2" a="1"/>
  <c r="C39" i="2" a="1"/>
  <c r="G20" i="2" a="1"/>
  <c r="S140" i="2" a="1"/>
  <c r="K83" i="2" a="1"/>
  <c r="J74" i="2" a="1"/>
  <c r="E82" i="2" a="1"/>
  <c r="Q109" i="2" a="1"/>
  <c r="T89" i="2" a="1"/>
  <c r="L75" i="2" a="1"/>
  <c r="P157" i="2" a="1"/>
  <c r="L104" i="2" a="1"/>
  <c r="K90" i="2" a="1"/>
  <c r="O79" i="2" a="1"/>
  <c r="I108" i="2" a="1"/>
  <c r="R92" i="2" a="1"/>
  <c r="V81" i="2" a="1"/>
  <c r="F71" i="2" a="1"/>
  <c r="H151" i="2" a="1"/>
  <c r="L103" i="2" a="1"/>
  <c r="Q89" i="2" a="1"/>
  <c r="U78" i="2" a="1"/>
  <c r="E68" i="2" a="1"/>
  <c r="C120" i="2" a="1"/>
  <c r="G98" i="2" a="1"/>
  <c r="D86" i="2" a="1"/>
  <c r="D77" i="2" a="1"/>
  <c r="P68" i="2" a="1"/>
  <c r="U117" i="2" a="1"/>
  <c r="L102" i="2" a="1"/>
  <c r="O92" i="2" a="1"/>
  <c r="K85" i="2" a="1"/>
  <c r="G78" i="2" a="1"/>
  <c r="C71" i="2" a="1"/>
  <c r="S63" i="2" a="1"/>
  <c r="L119" i="2" a="1"/>
  <c r="G103" i="2" a="1"/>
  <c r="H93" i="2" a="1"/>
  <c r="V85" i="2" a="1"/>
  <c r="R78" i="2" a="1"/>
  <c r="N71" i="2" a="1"/>
  <c r="J64" i="2" a="1"/>
  <c r="I123" i="2" a="1"/>
  <c r="C104" i="2" a="1"/>
  <c r="U93" i="2" a="1"/>
  <c r="L86" i="2" a="1"/>
  <c r="H79" i="2" a="1"/>
  <c r="D72" i="2" a="1"/>
  <c r="T64" i="2" a="1"/>
  <c r="E75" i="2" a="1"/>
  <c r="K58" i="2" a="1"/>
  <c r="G51" i="2" a="1"/>
  <c r="C44" i="2" a="1"/>
  <c r="O72" i="2" a="1"/>
  <c r="R57" i="2" a="1"/>
  <c r="N50" i="2" a="1"/>
  <c r="J43" i="2" a="1"/>
  <c r="F36" i="2" a="1"/>
  <c r="T28" i="2" a="1"/>
  <c r="P21" i="2" a="1"/>
  <c r="S74" i="2" a="1"/>
  <c r="I58" i="2" a="1"/>
  <c r="E51" i="2" a="1"/>
  <c r="U43" i="2" a="1"/>
  <c r="I67" i="2" a="1"/>
  <c r="L56" i="2" a="1"/>
  <c r="H49" i="2" a="1"/>
  <c r="D42" i="2" a="1"/>
  <c r="T34" i="2" a="1"/>
  <c r="N27" i="2" a="1"/>
  <c r="J20" i="2" a="1"/>
  <c r="C72" i="2" a="1"/>
  <c r="O57" i="2" a="1"/>
  <c r="K50" i="2" a="1"/>
  <c r="G43" i="2" a="1"/>
  <c r="S71" i="2" a="1"/>
  <c r="N57" i="2" a="1"/>
  <c r="J50" i="2" a="1"/>
  <c r="F43" i="2" a="1"/>
  <c r="V35" i="2" a="1"/>
  <c r="P28" i="2" a="1"/>
  <c r="L21" i="2" a="1"/>
  <c r="I76" i="2" a="1"/>
  <c r="Q58" i="2" a="1"/>
  <c r="M51" i="2" a="1"/>
  <c r="Q63" i="2" a="1"/>
  <c r="D55" i="2" a="1"/>
  <c r="T47" i="2" a="1"/>
  <c r="P40" i="2" a="1"/>
  <c r="J33" i="2" a="1"/>
  <c r="F26" i="2" a="1"/>
  <c r="O63" i="2" a="1"/>
  <c r="C55" i="2" a="1"/>
  <c r="S47" i="2" a="1"/>
  <c r="O40" i="2" a="1"/>
  <c r="I33" i="2" a="1"/>
  <c r="M123" i="2" a="1"/>
  <c r="D62" i="2" a="1"/>
  <c r="J54" i="2" a="1"/>
  <c r="F47" i="2" a="1"/>
  <c r="V39" i="2" a="1"/>
  <c r="P32" i="2" a="1"/>
  <c r="L25" i="2" a="1"/>
  <c r="H18" i="2" a="1"/>
  <c r="K63" i="2" a="1"/>
  <c r="U54" i="2" a="1"/>
  <c r="Q47" i="2" a="1"/>
  <c r="M40" i="2" a="1"/>
  <c r="G33" i="2" a="1"/>
  <c r="C26" i="2" a="1"/>
  <c r="S18" i="2" a="1"/>
  <c r="Q64" i="2" a="1"/>
  <c r="L55" i="2" a="1"/>
  <c r="H48" i="2" a="1"/>
  <c r="D41" i="2" a="1"/>
  <c r="R33" i="2" a="1"/>
  <c r="N26" i="2" a="1"/>
  <c r="J19" i="2" a="1"/>
  <c r="E26" i="2" a="1"/>
  <c r="U44" i="2" a="1"/>
  <c r="I22" i="2" a="1"/>
  <c r="T12" i="2" a="1"/>
  <c r="P5" i="2" a="1"/>
  <c r="J14" i="2" a="1"/>
  <c r="M27" i="2" a="1"/>
  <c r="G15" i="2" a="1"/>
  <c r="C8" i="2" a="1"/>
  <c r="E6" i="2" a="1"/>
  <c r="G29" i="2" a="1"/>
  <c r="R15" i="2" a="1"/>
  <c r="T130" i="2" a="1"/>
  <c r="H148" i="2" a="1"/>
  <c r="R67" i="2" a="1"/>
  <c r="E76" i="2" a="1"/>
  <c r="M108" i="2" a="1"/>
  <c r="H89" i="2" a="1"/>
  <c r="T74" i="2" a="1"/>
  <c r="H152" i="2" a="1"/>
  <c r="P103" i="2" a="1"/>
  <c r="S89" i="2" a="1"/>
  <c r="C79" i="2" a="1"/>
  <c r="H107" i="2" a="1"/>
  <c r="F92" i="2" a="1"/>
  <c r="J81" i="2" a="1"/>
  <c r="N70" i="2" a="1"/>
  <c r="T145" i="2" a="1"/>
  <c r="N102" i="2" a="1"/>
  <c r="E89" i="2" a="1"/>
  <c r="I78" i="2" a="1"/>
  <c r="M67" i="2" a="1"/>
  <c r="V117" i="2" a="1"/>
  <c r="K97" i="2" a="1"/>
  <c r="L85" i="2" a="1"/>
  <c r="T75" i="2" a="1"/>
  <c r="D68" i="2" a="1"/>
  <c r="T115" i="2" a="1"/>
  <c r="L101" i="2" a="1"/>
  <c r="C92" i="2" a="1"/>
  <c r="S84" i="2" a="1"/>
  <c r="O77" i="2" a="1"/>
  <c r="K70" i="2" a="1"/>
  <c r="G63" i="2" a="1"/>
  <c r="O117" i="2" a="1"/>
  <c r="I102" i="2" a="1"/>
  <c r="N92" i="2" a="1"/>
  <c r="J85" i="2" a="1"/>
  <c r="F78" i="2" a="1"/>
  <c r="V70" i="2" a="1"/>
  <c r="R63" i="2" a="1"/>
  <c r="H119" i="2" a="1"/>
  <c r="E103" i="2" a="1"/>
  <c r="D93" i="2" a="1"/>
  <c r="T85" i="2" a="1"/>
  <c r="P78" i="2" a="1"/>
  <c r="L71" i="2" a="1"/>
  <c r="H64" i="2" a="1"/>
  <c r="Q72" i="2" a="1"/>
  <c r="S57" i="2" a="1"/>
  <c r="O50" i="2" a="1"/>
  <c r="K43" i="2" a="1"/>
  <c r="G70" i="2" a="1"/>
  <c r="F57" i="2" a="1"/>
  <c r="V49" i="2" a="1"/>
  <c r="R42" i="2" a="1"/>
  <c r="N35" i="2" a="1"/>
  <c r="H28" i="2" a="1"/>
  <c r="D21" i="2" a="1"/>
  <c r="K72" i="2" a="1"/>
  <c r="Q57" i="2" a="1"/>
  <c r="M50" i="2" a="1"/>
  <c r="I43" i="2" a="1"/>
  <c r="P65" i="2" a="1"/>
  <c r="T55" i="2" a="1"/>
  <c r="P48" i="2" a="1"/>
  <c r="L41" i="2" a="1"/>
  <c r="H34" i="2" a="1"/>
  <c r="V26" i="2" a="1"/>
  <c r="R19" i="2" a="1"/>
  <c r="O69" i="2" a="1"/>
  <c r="C57" i="2" a="1"/>
  <c r="S49" i="2" a="1"/>
  <c r="O42" i="2" a="1"/>
  <c r="K69" i="2" a="1"/>
  <c r="V56" i="2" a="1"/>
  <c r="R49" i="2" a="1"/>
  <c r="N42" i="2" a="1"/>
  <c r="J35" i="2" a="1"/>
  <c r="D28" i="2" a="1"/>
  <c r="T20" i="2" a="1"/>
  <c r="U73" i="2" a="1"/>
  <c r="E58" i="2" a="1"/>
  <c r="H133" i="2" a="1"/>
  <c r="I62" i="2" a="1"/>
  <c r="L54" i="2" a="1"/>
  <c r="H47" i="2" a="1"/>
  <c r="D40" i="2" a="1"/>
  <c r="R32" i="2" a="1"/>
  <c r="I128" i="2" a="1"/>
  <c r="G62" i="2" a="1"/>
  <c r="K54" i="2" a="1"/>
  <c r="G47" i="2" a="1"/>
  <c r="C40" i="2" a="1"/>
  <c r="Q32" i="2" a="1"/>
  <c r="D104" i="2" a="1"/>
  <c r="V60" i="2" a="1"/>
  <c r="R53" i="2" a="1"/>
  <c r="N46" i="2" a="1"/>
  <c r="J39" i="2" a="1"/>
  <c r="D32" i="2" a="1"/>
  <c r="T24" i="2" a="1"/>
  <c r="K119" i="2" a="1"/>
  <c r="U61" i="2" a="1"/>
  <c r="I54" i="2" a="1"/>
  <c r="E47" i="2" a="1"/>
  <c r="U39" i="2" a="1"/>
  <c r="O32" i="2" a="1"/>
  <c r="K25" i="2" a="1"/>
  <c r="G18" i="2" a="1"/>
  <c r="H63" i="2" a="1"/>
  <c r="T54" i="2" a="1"/>
  <c r="P47" i="2" a="1"/>
  <c r="L40" i="2" a="1"/>
  <c r="F33" i="2" a="1"/>
  <c r="V25" i="2" a="1"/>
  <c r="R18" i="2" a="1"/>
  <c r="U24" i="2" a="1"/>
  <c r="I40" i="2" a="1"/>
  <c r="E21" i="2" a="1"/>
  <c r="H12" i="2" a="1"/>
  <c r="D5" i="2" a="1"/>
  <c r="N9" i="2" a="1"/>
  <c r="S25" i="2" a="1"/>
  <c r="O14" i="2" a="1"/>
  <c r="K7" i="2" a="1"/>
  <c r="Q3" i="2" a="1"/>
  <c r="K27" i="2" a="1"/>
  <c r="E130" i="2" a="1"/>
  <c r="T142" i="2" a="1"/>
  <c r="F67" i="2" a="1"/>
  <c r="M75" i="2" a="1"/>
  <c r="Q103" i="2" a="1"/>
  <c r="H86" i="2" a="1"/>
  <c r="T71" i="2" a="1"/>
  <c r="T146" i="2" a="1"/>
  <c r="P102" i="2" a="1"/>
  <c r="G89" i="2" a="1"/>
  <c r="K78" i="2" a="1"/>
  <c r="G106" i="2" a="1"/>
  <c r="N91" i="2" a="1"/>
  <c r="R80" i="2" a="1"/>
  <c r="V69" i="2" a="1"/>
  <c r="L140" i="2" a="1"/>
  <c r="P101" i="2" a="1"/>
  <c r="M88" i="2" a="1"/>
  <c r="Q77" i="2" a="1"/>
  <c r="U66" i="2" a="1"/>
  <c r="E116" i="2" a="1"/>
  <c r="N96" i="2" a="1"/>
  <c r="T84" i="2" a="1"/>
  <c r="H75" i="2" a="1"/>
  <c r="L67" i="2" a="1"/>
  <c r="U113" i="2" a="1"/>
  <c r="P100" i="2" a="1"/>
  <c r="K91" i="2" a="1"/>
  <c r="G84" i="2" a="1"/>
  <c r="C77" i="2" a="1"/>
  <c r="S69" i="2" a="1"/>
  <c r="O62" i="2" a="1"/>
  <c r="Q115" i="2" a="1"/>
  <c r="K101" i="2" a="1"/>
  <c r="V91" i="2" a="1"/>
  <c r="R84" i="2" a="1"/>
  <c r="N77" i="2" a="1"/>
  <c r="J70" i="2" a="1"/>
  <c r="F63" i="2" a="1"/>
  <c r="J117" i="2" a="1"/>
  <c r="G102" i="2" a="1"/>
  <c r="L92" i="2" a="1"/>
  <c r="H85" i="2" a="1"/>
  <c r="D78" i="2" a="1"/>
  <c r="T70" i="2" a="1"/>
  <c r="P63" i="2" a="1"/>
  <c r="I70" i="2" a="1"/>
  <c r="G57" i="2" a="1"/>
  <c r="C50" i="2" a="1"/>
  <c r="S42" i="2" a="1"/>
  <c r="S67" i="2" a="1"/>
  <c r="N56" i="2" a="1"/>
  <c r="J49" i="2" a="1"/>
  <c r="F42" i="2" a="1"/>
  <c r="V34" i="2" a="1"/>
  <c r="P27" i="2" a="1"/>
  <c r="L20" i="2" a="1"/>
  <c r="C70" i="2" a="1"/>
  <c r="E57" i="2" a="1"/>
  <c r="U49" i="2" a="1"/>
  <c r="Q42" i="2" a="1"/>
  <c r="G64" i="2" a="1"/>
  <c r="H55" i="2" a="1"/>
  <c r="D48" i="2" a="1"/>
  <c r="T40" i="2" a="1"/>
  <c r="N33" i="2" a="1"/>
  <c r="J26" i="2" a="1"/>
  <c r="F19" i="2" a="1"/>
  <c r="G67" i="2" a="1"/>
  <c r="K56" i="2" a="1"/>
  <c r="G49" i="2" a="1"/>
  <c r="C42" i="2" a="1"/>
  <c r="C67" i="2" a="1"/>
  <c r="J56" i="2" a="1"/>
  <c r="F49" i="2" a="1"/>
  <c r="V41" i="2" a="1"/>
  <c r="R34" i="2" a="1"/>
  <c r="L27" i="2" a="1"/>
  <c r="H20" i="2" a="1"/>
  <c r="M71" i="2" a="1"/>
  <c r="M57" i="2" a="1"/>
  <c r="T105" i="2" a="1"/>
  <c r="D61" i="2" a="1"/>
  <c r="T53" i="2" a="1"/>
  <c r="P46" i="2" a="1"/>
  <c r="L39" i="2" a="1"/>
  <c r="F32" i="2" a="1"/>
  <c r="V104" i="2" a="1"/>
  <c r="C61" i="2" a="1"/>
  <c r="S53" i="2" a="1"/>
  <c r="O46" i="2" a="1"/>
  <c r="K39" i="2" a="1"/>
  <c r="E32" i="2" a="1"/>
  <c r="C94" i="2" a="1"/>
  <c r="J60" i="2" a="1"/>
  <c r="F53" i="2" a="1"/>
  <c r="V45" i="2" a="1"/>
  <c r="R38" i="2" a="1"/>
  <c r="L31" i="2" a="1"/>
  <c r="H24" i="2" a="1"/>
  <c r="F103" i="2" a="1"/>
  <c r="U60" i="2" a="1"/>
  <c r="Q53" i="2" a="1"/>
  <c r="M46" i="2" a="1"/>
  <c r="I39" i="2" a="1"/>
  <c r="C32" i="2" a="1"/>
  <c r="S24" i="2" a="1"/>
  <c r="M117" i="2" a="1"/>
  <c r="S61" i="2" a="1"/>
  <c r="H54" i="2" a="1"/>
  <c r="D47" i="2" a="1"/>
  <c r="T39" i="2" a="1"/>
  <c r="N32" i="2" a="1"/>
  <c r="J25" i="2" a="1"/>
  <c r="F18" i="2" a="1"/>
  <c r="Q23" i="2" a="1"/>
  <c r="M38" i="2" a="1"/>
  <c r="U19" i="2" a="1"/>
  <c r="P11" i="2" a="1"/>
  <c r="L4" i="2" a="1"/>
  <c r="J5" i="2" a="1"/>
  <c r="O24" i="2" a="1"/>
  <c r="C14" i="2" a="1"/>
  <c r="S6" i="2" a="1"/>
  <c r="R16" i="2" a="1"/>
  <c r="Q25" i="2" a="1"/>
  <c r="N14" i="2" a="1"/>
  <c r="J7" i="2" a="1"/>
  <c r="E43" i="2" a="1"/>
  <c r="C22" i="2" a="1"/>
  <c r="U10" i="2" a="1"/>
  <c r="H121" i="2" a="1"/>
  <c r="O108" i="2" a="1"/>
  <c r="D153" i="2" a="1"/>
  <c r="U74" i="2" a="1"/>
  <c r="S102" i="2" a="1"/>
  <c r="P85" i="2" a="1"/>
  <c r="H71" i="2" a="1"/>
  <c r="L141" i="2" a="1"/>
  <c r="T101" i="2" a="1"/>
  <c r="O88" i="2" a="1"/>
  <c r="S77" i="2" a="1"/>
  <c r="I105" i="2" a="1"/>
  <c r="V90" i="2" a="1"/>
  <c r="F80" i="2" a="1"/>
  <c r="J69" i="2" a="1"/>
  <c r="D135" i="2" a="1"/>
  <c r="R100" i="2" a="1"/>
  <c r="U87" i="2" a="1"/>
  <c r="E77" i="2" a="1"/>
  <c r="I66" i="2" a="1"/>
  <c r="D114" i="2" a="1"/>
  <c r="S95" i="2" a="1"/>
  <c r="H84" i="2" a="1"/>
  <c r="P74" i="2" a="1"/>
  <c r="T66" i="2" a="1"/>
  <c r="D112" i="2" a="1"/>
  <c r="P99" i="2" a="1"/>
  <c r="S90" i="2" a="1"/>
  <c r="O83" i="2" a="1"/>
  <c r="K76" i="2" a="1"/>
  <c r="G69" i="2" a="1"/>
  <c r="C62" i="2" a="1"/>
  <c r="T113" i="2" a="1"/>
  <c r="M100" i="2" a="1"/>
  <c r="J91" i="2" a="1"/>
  <c r="F84" i="2" a="1"/>
  <c r="V76" i="2" a="1"/>
  <c r="R69" i="2" a="1"/>
  <c r="N62" i="2" a="1"/>
  <c r="M115" i="2" a="1"/>
  <c r="I101" i="2" a="1"/>
  <c r="T91" i="2" a="1"/>
  <c r="P84" i="2" a="1"/>
  <c r="L77" i="2" a="1"/>
  <c r="H70" i="2" a="1"/>
  <c r="D63" i="2" a="1"/>
  <c r="U67" i="2" a="1"/>
  <c r="O56" i="2" a="1"/>
  <c r="K49" i="2" a="1"/>
  <c r="G42" i="2" a="1"/>
  <c r="U65" i="2" a="1"/>
  <c r="V55" i="2" a="1"/>
  <c r="R48" i="2" a="1"/>
  <c r="N41" i="2" a="1"/>
  <c r="J34" i="2" a="1"/>
  <c r="D27" i="2" a="1"/>
  <c r="T19" i="2" a="1"/>
  <c r="O67" i="2" a="1"/>
  <c r="M56" i="2" a="1"/>
  <c r="I49" i="2" a="1"/>
  <c r="T154" i="2" a="1"/>
  <c r="S62" i="2" a="1"/>
  <c r="P54" i="2" a="1"/>
  <c r="L47" i="2" a="1"/>
  <c r="H40" i="2" a="1"/>
  <c r="V32" i="2" a="1"/>
  <c r="R25" i="2" a="1"/>
  <c r="N18" i="2" a="1"/>
  <c r="M65" i="2" a="1"/>
  <c r="S55" i="2" a="1"/>
  <c r="O48" i="2" a="1"/>
  <c r="K41" i="2" a="1"/>
  <c r="K65" i="2" a="1"/>
  <c r="R55" i="2" a="1"/>
  <c r="N48" i="2" a="1"/>
  <c r="J41" i="2" a="1"/>
  <c r="F34" i="2" a="1"/>
  <c r="T26" i="2" a="1"/>
  <c r="P19" i="2" a="1"/>
  <c r="E69" i="2" a="1"/>
  <c r="U56" i="2" a="1"/>
  <c r="O95" i="2" a="1"/>
  <c r="L60" i="2" a="1"/>
  <c r="H53" i="2" a="1"/>
  <c r="D46" i="2" a="1"/>
  <c r="T38" i="2" a="1"/>
  <c r="N31" i="2" a="1"/>
  <c r="R94" i="2" a="1"/>
  <c r="K60" i="2" a="1"/>
  <c r="G53" i="2" a="1"/>
  <c r="C46" i="2" a="1"/>
  <c r="S38" i="2" a="1"/>
  <c r="M31" i="2" a="1"/>
  <c r="M86" i="2" a="1"/>
  <c r="R59" i="2" a="1"/>
  <c r="N52" i="2" a="1"/>
  <c r="J45" i="2" a="1"/>
  <c r="F38" i="2" a="1"/>
  <c r="T30" i="2" a="1"/>
  <c r="P23" i="2" a="1"/>
  <c r="G93" i="2" a="1"/>
  <c r="I60" i="2" a="1"/>
  <c r="E53" i="2" a="1"/>
  <c r="U45" i="2" a="1"/>
  <c r="Q38" i="2" a="1"/>
  <c r="K31" i="2" a="1"/>
  <c r="G24" i="2" a="1"/>
  <c r="H102" i="2" a="1"/>
  <c r="T60" i="2" a="1"/>
  <c r="P53" i="2" a="1"/>
  <c r="L46" i="2" a="1"/>
  <c r="H39" i="2" a="1"/>
  <c r="V31" i="2" a="1"/>
  <c r="R24" i="2" a="1"/>
  <c r="M45" i="2" a="1"/>
  <c r="M22" i="2" a="1"/>
  <c r="Q36" i="2" a="1"/>
  <c r="Q18" i="2" a="1"/>
  <c r="D11" i="2" a="1"/>
  <c r="T3" i="2" a="1"/>
  <c r="I6" i="2" a="1"/>
  <c r="K23" i="2" a="1"/>
  <c r="K13" i="2" a="1"/>
  <c r="G6" i="2" a="1"/>
  <c r="J8" i="2" a="1"/>
  <c r="M24" i="2" a="1"/>
  <c r="V13" i="2" a="1"/>
  <c r="R6" i="2" a="1"/>
  <c r="S39" i="2" a="1"/>
  <c r="S20" i="2" a="1"/>
  <c r="I10" i="2" a="1"/>
  <c r="K32" i="2" a="1"/>
  <c r="T16" i="2" a="1"/>
  <c r="P9" i="2" a="1"/>
  <c r="Q37" i="2" a="1"/>
  <c r="S37" i="2" a="1"/>
  <c r="M19" i="2" a="1"/>
  <c r="K11" i="2" a="1"/>
  <c r="G4" i="2" a="1"/>
  <c r="M48" i="2" a="1"/>
  <c r="N15" i="2" a="1"/>
  <c r="I28" i="2" a="1"/>
  <c r="M15" i="2" a="1"/>
  <c r="I8" i="2" a="1"/>
  <c r="N7" i="2" a="1"/>
  <c r="O33" i="2" a="1"/>
  <c r="H17" i="2" a="1"/>
  <c r="D10" i="2" a="1"/>
  <c r="V6" i="2" a="1"/>
  <c r="Q31" i="2" a="1"/>
  <c r="O16" i="2" a="1"/>
  <c r="K9" i="2" a="1"/>
  <c r="N10" i="2" a="1"/>
  <c r="E37" i="2" a="1"/>
  <c r="V18" i="2" a="1"/>
  <c r="R5" i="2" a="1"/>
  <c r="H89" i="6" a="1"/>
  <c r="W85" i="6" a="1"/>
  <c r="O99" i="6" a="1"/>
  <c r="M120" i="2" a="1"/>
  <c r="O107" i="2" a="1"/>
  <c r="P147" i="2" a="1"/>
  <c r="E73" i="2" a="1"/>
  <c r="U101" i="2" a="1"/>
  <c r="D85" i="2" a="1"/>
  <c r="P70" i="2" a="1"/>
  <c r="U125" i="2" a="1"/>
  <c r="G99" i="2" a="1"/>
  <c r="S86" i="2" a="1"/>
  <c r="L146" i="2" a="1"/>
  <c r="O102" i="2" a="1"/>
  <c r="F89" i="2" a="1"/>
  <c r="J78" i="2" a="1"/>
  <c r="N67" i="2" a="1"/>
  <c r="J120" i="2" a="1"/>
  <c r="H98" i="2" a="1"/>
  <c r="E86" i="2" a="1"/>
  <c r="I75" i="2" a="1"/>
  <c r="M64" i="2" a="1"/>
  <c r="H109" i="2" a="1"/>
  <c r="K93" i="2" a="1"/>
  <c r="L82" i="2" a="1"/>
  <c r="D74" i="2" a="1"/>
  <c r="T155" i="2" a="1"/>
  <c r="K110" i="2" a="1"/>
  <c r="U98" i="2" a="1"/>
  <c r="G90" i="2" a="1"/>
  <c r="C83" i="2" a="1"/>
  <c r="S75" i="2" a="1"/>
  <c r="O68" i="2" a="1"/>
  <c r="K61" i="2" a="1"/>
  <c r="V111" i="2" a="1"/>
  <c r="O99" i="2" a="1"/>
  <c r="R90" i="2" a="1"/>
  <c r="N83" i="2" a="1"/>
  <c r="J76" i="2" a="1"/>
  <c r="F69" i="2" a="1"/>
  <c r="V61" i="2" a="1"/>
  <c r="L113" i="2" a="1"/>
  <c r="K100" i="2" a="1"/>
  <c r="H91" i="2" a="1"/>
  <c r="D84" i="2" a="1"/>
  <c r="T76" i="2" a="1"/>
  <c r="P69" i="2" a="1"/>
  <c r="L62" i="2" a="1"/>
  <c r="C66" i="2" a="1"/>
  <c r="C56" i="2" a="1"/>
  <c r="S48" i="2" a="1"/>
  <c r="O41" i="2" a="1"/>
  <c r="L64" i="2" a="1"/>
  <c r="J55" i="2" a="1"/>
  <c r="F48" i="2" a="1"/>
  <c r="V40" i="2" a="1"/>
  <c r="P33" i="2" a="1"/>
  <c r="L26" i="2" a="1"/>
  <c r="H19" i="2" a="1"/>
  <c r="S65" i="2" a="1"/>
  <c r="U55" i="2" a="1"/>
  <c r="Q48" i="2" a="1"/>
  <c r="G110" i="2" a="1"/>
  <c r="L61" i="2" a="1"/>
  <c r="D54" i="2" a="1"/>
  <c r="T46" i="2" a="1"/>
  <c r="P39" i="2" a="1"/>
  <c r="J32" i="2" a="1"/>
  <c r="F25" i="2" a="1"/>
  <c r="V17" i="2" a="1"/>
  <c r="E64" i="2" a="1"/>
  <c r="G55" i="2" a="1"/>
  <c r="C48" i="2" a="1"/>
  <c r="S40" i="2" a="1"/>
  <c r="C64" i="2" a="1"/>
  <c r="F55" i="2" a="1"/>
  <c r="V47" i="2" a="1"/>
  <c r="R40" i="2" a="1"/>
  <c r="L33" i="2" a="1"/>
  <c r="H26" i="2" a="1"/>
  <c r="D19" i="2" a="1"/>
  <c r="Q66" i="2" a="1"/>
  <c r="I56" i="2" a="1"/>
  <c r="Q87" i="2" a="1"/>
  <c r="T59" i="2" a="1"/>
  <c r="P52" i="2" a="1"/>
  <c r="L45" i="2" a="1"/>
  <c r="H38" i="2" a="1"/>
  <c r="V30" i="2" a="1"/>
  <c r="E87" i="2" a="1"/>
  <c r="S59" i="2" a="1"/>
  <c r="O52" i="2" a="1"/>
  <c r="K45" i="2" a="1"/>
  <c r="G38" i="2" a="1"/>
  <c r="U30" i="2" a="1"/>
  <c r="I79" i="2" a="1"/>
  <c r="F59" i="2" a="1"/>
  <c r="V51" i="2" a="1"/>
  <c r="R44" i="2" a="1"/>
  <c r="N37" i="2" a="1"/>
  <c r="H30" i="2" a="1"/>
  <c r="D23" i="2" a="1"/>
  <c r="U85" i="2" a="1"/>
  <c r="Q59" i="2" a="1"/>
  <c r="M52" i="2" a="1"/>
  <c r="I45" i="2" a="1"/>
  <c r="E38" i="2" a="1"/>
  <c r="S30" i="2" a="1"/>
  <c r="O23" i="2" a="1"/>
  <c r="M92" i="2" a="1"/>
  <c r="H60" i="2" a="1"/>
  <c r="D53" i="2" a="1"/>
  <c r="T45" i="2" a="1"/>
  <c r="P38" i="2" a="1"/>
  <c r="J31" i="2" a="1"/>
  <c r="F24" i="2" a="1"/>
  <c r="K40" i="2" a="1"/>
  <c r="I21" i="2" a="1"/>
  <c r="U34" i="2" a="1"/>
  <c r="P17" i="2" a="1"/>
  <c r="L10" i="2" a="1"/>
  <c r="H3" i="2" a="1"/>
  <c r="I44" i="2" a="1"/>
  <c r="G22" i="2" a="1"/>
  <c r="S12" i="2" a="1"/>
  <c r="O5" i="2" a="1"/>
  <c r="U50" i="2" a="1"/>
  <c r="I23" i="2" a="1"/>
  <c r="J13" i="2" a="1"/>
  <c r="F6" i="2" a="1"/>
  <c r="C38" i="2" a="1"/>
  <c r="O19" i="2" a="1"/>
  <c r="U7" i="2" a="1"/>
  <c r="O30" i="2" a="1"/>
  <c r="H16" i="2" a="1"/>
  <c r="D9" i="2" a="1"/>
  <c r="U22" i="2" a="1"/>
  <c r="C36" i="2" a="1"/>
  <c r="I18" i="2" a="1"/>
  <c r="S10" i="2" a="1"/>
  <c r="O3" i="2" a="1"/>
  <c r="U41" i="2" a="1"/>
  <c r="I113" i="2" a="1"/>
  <c r="R97" i="2" a="1"/>
  <c r="R109" i="2" a="1"/>
  <c r="U68" i="2" a="1"/>
  <c r="C101" i="2" a="1"/>
  <c r="L84" i="2" a="1"/>
  <c r="D70" i="2" a="1"/>
  <c r="E121" i="2" a="1"/>
  <c r="J98" i="2" a="1"/>
  <c r="G86" i="2" a="1"/>
  <c r="D141" i="2" a="1"/>
  <c r="Q101" i="2" a="1"/>
  <c r="N88" i="2" a="1"/>
  <c r="R77" i="2" a="1"/>
  <c r="V66" i="2" a="1"/>
  <c r="E118" i="2" a="1"/>
  <c r="L97" i="2" a="1"/>
  <c r="M85" i="2" a="1"/>
  <c r="Q74" i="2" a="1"/>
  <c r="U63" i="2" a="1"/>
  <c r="D108" i="2" a="1"/>
  <c r="P92" i="2" a="1"/>
  <c r="T81" i="2" a="1"/>
  <c r="L73" i="2" a="1"/>
  <c r="L150" i="2" a="1"/>
  <c r="G109" i="2" a="1"/>
  <c r="E98" i="2" a="1"/>
  <c r="O89" i="2" a="1"/>
  <c r="K82" i="2" a="1"/>
  <c r="G75" i="2" a="1"/>
  <c r="C68" i="2" a="1"/>
  <c r="L155" i="2" a="1"/>
  <c r="J110" i="2" a="1"/>
  <c r="T98" i="2" a="1"/>
  <c r="F90" i="2" a="1"/>
  <c r="V82" i="2" a="1"/>
  <c r="R75" i="2" a="1"/>
  <c r="N68" i="2" a="1"/>
  <c r="J61" i="2" a="1"/>
  <c r="M111" i="2" a="1"/>
  <c r="M99" i="2" a="1"/>
  <c r="P90" i="2" a="1"/>
  <c r="L83" i="2" a="1"/>
  <c r="H76" i="2" a="1"/>
  <c r="D69" i="2" a="1"/>
  <c r="T61" i="2" a="1"/>
  <c r="O64" i="2" a="1"/>
  <c r="K55" i="2" a="1"/>
  <c r="G48" i="2" a="1"/>
  <c r="C41" i="2" a="1"/>
  <c r="C63" i="2" a="1"/>
  <c r="R54" i="2" a="1"/>
  <c r="N47" i="2" a="1"/>
  <c r="J40" i="2" a="1"/>
  <c r="D33" i="2" a="1"/>
  <c r="T25" i="2" a="1"/>
  <c r="P18" i="2" a="1"/>
  <c r="I64" i="2" a="1"/>
  <c r="I55" i="2" a="1"/>
  <c r="E48" i="2" a="1"/>
  <c r="S98" i="2" a="1"/>
  <c r="P60" i="2" a="1"/>
  <c r="L53" i="2" a="1"/>
  <c r="H46" i="2" a="1"/>
  <c r="D39" i="2" a="1"/>
  <c r="R31" i="2" a="1"/>
  <c r="N24" i="2" a="1"/>
  <c r="L149" i="2" a="1"/>
  <c r="P62" i="2" a="1"/>
  <c r="O54" i="2" a="1"/>
  <c r="K47" i="2" a="1"/>
  <c r="D144" i="2" a="1"/>
  <c r="M62" i="2" a="1"/>
  <c r="N54" i="2" a="1"/>
  <c r="J47" i="2" a="1"/>
  <c r="F40" i="2" a="1"/>
  <c r="T32" i="2" a="1"/>
  <c r="P25" i="2" a="1"/>
  <c r="L18" i="2" a="1"/>
  <c r="I65" i="2" a="1"/>
  <c r="Q55" i="2" a="1"/>
  <c r="M80" i="2" a="1"/>
  <c r="H59" i="2" a="1"/>
  <c r="D52" i="2" a="1"/>
  <c r="T44" i="2" a="1"/>
  <c r="P37" i="2" a="1"/>
  <c r="J30" i="2" a="1"/>
  <c r="U79" i="2" a="1"/>
  <c r="G59" i="2" a="1"/>
  <c r="C52" i="2" a="1"/>
  <c r="S44" i="2" a="1"/>
  <c r="O37" i="2" a="1"/>
  <c r="I30" i="2" a="1"/>
  <c r="Q75" i="2" a="1"/>
  <c r="N58" i="2" a="1"/>
  <c r="J51" i="2" a="1"/>
  <c r="F44" i="2" a="1"/>
  <c r="V36" i="2" a="1"/>
  <c r="P29" i="2" a="1"/>
  <c r="L22" i="2" a="1"/>
  <c r="Q78" i="2" a="1"/>
  <c r="E59" i="2" a="1"/>
  <c r="U51" i="2" a="1"/>
  <c r="Q44" i="2" a="1"/>
  <c r="M37" i="2" a="1"/>
  <c r="G30" i="2" a="1"/>
  <c r="C23" i="2" a="1"/>
  <c r="I85" i="2" a="1"/>
  <c r="P59" i="2" a="1"/>
  <c r="L52" i="2" a="1"/>
  <c r="H45" i="2" a="1"/>
  <c r="D38" i="2" a="1"/>
  <c r="R30" i="2" a="1"/>
  <c r="N23" i="2" a="1"/>
  <c r="O38" i="2" a="1"/>
  <c r="E17" i="2" a="1"/>
  <c r="C33" i="2" a="1"/>
  <c r="D17" i="2" a="1"/>
  <c r="T9" i="2" a="1"/>
  <c r="J4" i="2" a="1"/>
  <c r="G40" i="2" a="1"/>
  <c r="C21" i="2" a="1"/>
  <c r="G12" i="2" a="1"/>
  <c r="C5" i="2" a="1"/>
  <c r="Q43" i="2" a="1"/>
  <c r="E22" i="2" a="1"/>
  <c r="R12" i="2" a="1"/>
  <c r="N5" i="2" a="1"/>
  <c r="G36" i="2" a="1"/>
  <c r="K18" i="2" a="1"/>
  <c r="M5" i="2" a="1"/>
  <c r="S28" i="2" a="1"/>
  <c r="P15" i="2" a="1"/>
  <c r="L8" i="2" a="1"/>
  <c r="E18" i="2" a="1"/>
  <c r="G34" i="2" a="1"/>
  <c r="K17" i="2" a="1"/>
  <c r="G10" i="2" a="1"/>
  <c r="C3" i="2" a="1"/>
  <c r="U35" i="2" a="1"/>
  <c r="V8" i="2" a="1"/>
  <c r="G25" i="2" a="1"/>
  <c r="I14" i="2" a="1"/>
  <c r="E7" i="2" a="1"/>
  <c r="J3" i="2" a="1"/>
  <c r="C30" i="2" a="1"/>
  <c r="D16" i="2" a="1"/>
  <c r="T8" i="2" a="1"/>
  <c r="E20" i="2" a="1"/>
  <c r="E28" i="2" a="1"/>
  <c r="K15" i="2" a="1"/>
  <c r="G8" i="2" a="1"/>
  <c r="J6" i="2" a="1"/>
  <c r="K33" i="2" a="1"/>
  <c r="F17" i="2" a="1"/>
  <c r="E11" i="2" a="1"/>
  <c r="D105" i="6" a="1"/>
  <c r="Y92" i="6" a="1"/>
  <c r="AC70" i="6" a="1"/>
  <c r="L111" i="2" a="1"/>
  <c r="C97" i="2" a="1"/>
  <c r="N108" i="2" a="1"/>
  <c r="I68" i="2" a="1"/>
  <c r="K98" i="2" a="1"/>
  <c r="P82" i="2" a="1"/>
  <c r="H68" i="2" a="1"/>
  <c r="M118" i="2" a="1"/>
  <c r="O97" i="2" a="1"/>
  <c r="O85" i="2" a="1"/>
  <c r="P135" i="2" a="1"/>
  <c r="S100" i="2" a="1"/>
  <c r="V87" i="2" a="1"/>
  <c r="F77" i="2" a="1"/>
  <c r="J66" i="2" a="1"/>
  <c r="H116" i="2" a="1"/>
  <c r="O96" i="2" a="1"/>
  <c r="U84" i="2" a="1"/>
  <c r="E74" i="2" a="1"/>
  <c r="I63" i="2" a="1"/>
  <c r="D107" i="2" a="1"/>
  <c r="D92" i="2" a="1"/>
  <c r="H81" i="2" a="1"/>
  <c r="H72" i="2" a="1"/>
  <c r="D145" i="2" a="1"/>
  <c r="V107" i="2" a="1"/>
  <c r="H97" i="2" a="1"/>
  <c r="C89" i="2" a="1"/>
  <c r="S81" i="2" a="1"/>
  <c r="O74" i="2" a="1"/>
  <c r="K67" i="2" a="1"/>
  <c r="D150" i="2" a="1"/>
  <c r="D109" i="2" a="1"/>
  <c r="D98" i="2" a="1"/>
  <c r="N89" i="2" a="1"/>
  <c r="J82" i="2" a="1"/>
  <c r="F75" i="2" a="1"/>
  <c r="V67" i="2" a="1"/>
  <c r="P154" i="2" a="1"/>
  <c r="E110" i="2" a="1"/>
  <c r="Q98" i="2" a="1"/>
  <c r="D90" i="2" a="1"/>
  <c r="T82" i="2" a="1"/>
  <c r="P75" i="2" a="1"/>
  <c r="L68" i="2" a="1"/>
  <c r="H61" i="2" a="1"/>
  <c r="E63" i="2" a="1"/>
  <c r="S54" i="2" a="1"/>
  <c r="O47" i="2" a="1"/>
  <c r="Q113" i="2" a="1"/>
  <c r="O61" i="2" a="1"/>
  <c r="F54" i="2" a="1"/>
  <c r="V46" i="2" a="1"/>
  <c r="R39" i="2" a="1"/>
  <c r="L32" i="2" a="1"/>
  <c r="H25" i="2" a="1"/>
  <c r="D18" i="2" a="1"/>
  <c r="U62" i="2" a="1"/>
  <c r="Q54" i="2" a="1"/>
  <c r="M47" i="2" a="1"/>
  <c r="E90" i="2" a="1"/>
  <c r="D60" i="2" a="1"/>
  <c r="T52" i="2" a="1"/>
  <c r="P45" i="2" a="1"/>
  <c r="L38" i="2" a="1"/>
  <c r="F31" i="2" a="1"/>
  <c r="V23" i="2" a="1"/>
  <c r="C109" i="2" a="1"/>
  <c r="I61" i="2" a="1"/>
  <c r="C54" i="2" a="1"/>
  <c r="S46" i="2" a="1"/>
  <c r="T107" i="2" a="1"/>
  <c r="G61" i="2" a="1"/>
  <c r="V53" i="2" a="1"/>
  <c r="R46" i="2" a="1"/>
  <c r="N39" i="2" a="1"/>
  <c r="H32" i="2" a="1"/>
  <c r="D25" i="2" a="1"/>
  <c r="T17" i="2" a="1"/>
  <c r="T63" i="2" a="1"/>
  <c r="E55" i="2" a="1"/>
  <c r="G76" i="2" a="1"/>
  <c r="P58" i="2" a="1"/>
  <c r="L51" i="2" a="1"/>
  <c r="H44" i="2" a="1"/>
  <c r="D37" i="2" a="1"/>
  <c r="R29" i="2" a="1"/>
  <c r="C76" i="2" a="1"/>
  <c r="O58" i="2" a="1"/>
  <c r="K51" i="2" a="1"/>
  <c r="G44" i="2" a="1"/>
  <c r="C37" i="2" a="1"/>
  <c r="Q29" i="2" a="1"/>
  <c r="I73" i="2" a="1"/>
  <c r="V57" i="2" a="1"/>
  <c r="R50" i="2" a="1"/>
  <c r="N43" i="2" a="1"/>
  <c r="J36" i="2" a="1"/>
  <c r="D29" i="2" a="1"/>
  <c r="T21" i="2" a="1"/>
  <c r="O75" i="2" a="1"/>
  <c r="M58" i="2" a="1"/>
  <c r="I51" i="2" a="1"/>
  <c r="E44" i="2" a="1"/>
  <c r="U36" i="2" a="1"/>
  <c r="O29" i="2" a="1"/>
  <c r="K22" i="2" a="1"/>
  <c r="E78" i="2" a="1"/>
  <c r="D59" i="2" a="1"/>
  <c r="T51" i="2" a="1"/>
  <c r="P44" i="2" a="1"/>
  <c r="L37" i="2" a="1"/>
  <c r="F30" i="2" a="1"/>
  <c r="V22" i="2" a="1"/>
  <c r="S36" i="2" a="1"/>
  <c r="U15" i="2" a="1"/>
  <c r="G31" i="2" a="1"/>
  <c r="L16" i="2" a="1"/>
  <c r="H9" i="2" a="1"/>
  <c r="F3" i="2" a="1"/>
  <c r="K38" i="2" a="1"/>
  <c r="S19" i="2" a="1"/>
  <c r="O11" i="2" a="1"/>
  <c r="K4" i="2" a="1"/>
  <c r="E40" i="2" a="1"/>
  <c r="U20" i="2" a="1"/>
  <c r="F12" i="2" a="1"/>
  <c r="H100" i="2" a="1"/>
  <c r="J89" i="2" a="1"/>
  <c r="L98" i="2" a="1"/>
  <c r="Q67" i="2" a="1"/>
  <c r="P97" i="2" a="1"/>
  <c r="D82" i="2" a="1"/>
  <c r="P67" i="2" a="1"/>
  <c r="L116" i="2" a="1"/>
  <c r="S96" i="2" a="1"/>
  <c r="C85" i="2" a="1"/>
  <c r="M130" i="2" a="1"/>
  <c r="U99" i="2" a="1"/>
  <c r="J87" i="2" a="1"/>
  <c r="N76" i="2" a="1"/>
  <c r="R65" i="2" a="1"/>
  <c r="J114" i="2" a="1"/>
  <c r="T95" i="2" a="1"/>
  <c r="I84" i="2" a="1"/>
  <c r="M73" i="2" a="1"/>
  <c r="Q62" i="2" a="1"/>
  <c r="E106" i="2" a="1"/>
  <c r="L91" i="2" a="1"/>
  <c r="P80" i="2" a="1"/>
  <c r="P71" i="2" a="1"/>
  <c r="P139" i="2" a="1"/>
  <c r="C107" i="2" a="1"/>
  <c r="M96" i="2" a="1"/>
  <c r="K88" i="2" a="1"/>
  <c r="G81" i="2" a="1"/>
  <c r="C74" i="2" a="1"/>
  <c r="S66" i="2" a="1"/>
  <c r="P144" i="2" a="1"/>
  <c r="U107" i="2" a="1"/>
  <c r="G97" i="2" a="1"/>
  <c r="V88" i="2" a="1"/>
  <c r="R81" i="2" a="1"/>
  <c r="N74" i="2" a="1"/>
  <c r="J67" i="2" a="1"/>
  <c r="H149" i="2" a="1"/>
  <c r="V108" i="2" a="1"/>
  <c r="T97" i="2" a="1"/>
  <c r="L89" i="2" a="1"/>
  <c r="H82" i="2" a="1"/>
  <c r="D75" i="2" a="1"/>
  <c r="T67" i="2" a="1"/>
  <c r="N115" i="2" a="1"/>
  <c r="Q61" i="2" a="1"/>
  <c r="G54" i="2" a="1"/>
  <c r="C47" i="2" a="1"/>
  <c r="L100" i="2" a="1"/>
  <c r="R60" i="2" a="1"/>
  <c r="N53" i="2" a="1"/>
  <c r="J46" i="2" a="1"/>
  <c r="F39" i="2" a="1"/>
  <c r="T31" i="2" a="1"/>
  <c r="P24" i="2" a="1"/>
  <c r="P111" i="2" a="1"/>
  <c r="M61" i="2" a="1"/>
  <c r="E54" i="2" a="1"/>
  <c r="U46" i="2" a="1"/>
  <c r="U82" i="2" a="1"/>
  <c r="L59" i="2" a="1"/>
  <c r="H52" i="2" a="1"/>
  <c r="D45" i="2" a="1"/>
  <c r="T37" i="2" a="1"/>
  <c r="N30" i="2" a="1"/>
  <c r="J23" i="2" a="1"/>
  <c r="C98" i="2" a="1"/>
  <c r="O60" i="2" a="1"/>
  <c r="K53" i="2" a="1"/>
  <c r="G46" i="2" a="1"/>
  <c r="F97" i="2" a="1"/>
  <c r="N60" i="2" a="1"/>
  <c r="J53" i="2" a="1"/>
  <c r="F46" i="2" a="1"/>
  <c r="V38" i="2" a="1"/>
  <c r="P31" i="2" a="1"/>
  <c r="L24" i="2" a="1"/>
  <c r="P138" i="2" a="1"/>
  <c r="K62" i="2" a="1"/>
  <c r="M54" i="2" a="1"/>
  <c r="S73" i="2" a="1"/>
  <c r="D58" i="2" a="1"/>
  <c r="T50" i="2" a="1"/>
  <c r="P43" i="2" a="1"/>
  <c r="L36" i="2" a="1"/>
  <c r="F29" i="2" a="1"/>
  <c r="O73" i="2" a="1"/>
  <c r="C58" i="2" a="1"/>
  <c r="S50" i="2" a="1"/>
  <c r="O43" i="2" a="1"/>
  <c r="K36" i="2" a="1"/>
  <c r="E29" i="2" a="1"/>
  <c r="U70" i="2" a="1"/>
  <c r="J57" i="2" a="1"/>
  <c r="F50" i="2" a="1"/>
  <c r="V42" i="2" a="1"/>
  <c r="R35" i="2" a="1"/>
  <c r="L28" i="2" a="1"/>
  <c r="H21" i="2" a="1"/>
  <c r="G73" i="2" a="1"/>
  <c r="U57" i="2" a="1"/>
  <c r="Q50" i="2" a="1"/>
  <c r="M43" i="2" a="1"/>
  <c r="I36" i="2" a="1"/>
  <c r="C29" i="2" a="1"/>
  <c r="S21" i="2" a="1"/>
  <c r="K75" i="2" a="1"/>
  <c r="L58" i="2" a="1"/>
  <c r="H51" i="2" a="1"/>
  <c r="D44" i="2" a="1"/>
  <c r="T36" i="2" a="1"/>
  <c r="N29" i="2" a="1"/>
  <c r="J22" i="2" a="1"/>
  <c r="C35" i="2" a="1"/>
  <c r="I15" i="2" a="1"/>
  <c r="K29" i="2" a="1"/>
  <c r="T15" i="2" a="1"/>
  <c r="P8" i="2" a="1"/>
  <c r="I13" i="2" a="1"/>
  <c r="O36" i="2" a="1"/>
  <c r="O18" i="2" a="1"/>
  <c r="C11" i="2" a="1"/>
  <c r="S3" i="2" a="1"/>
  <c r="I38" i="2" a="1"/>
  <c r="Q19" i="2" a="1"/>
  <c r="N11" i="2" a="1"/>
  <c r="E12" i="2" a="1"/>
  <c r="M32" i="2" a="1"/>
  <c r="U16" i="2" a="1"/>
  <c r="V5" i="2" a="1"/>
  <c r="N25" i="2" a="1"/>
  <c r="L14" i="2" a="1"/>
  <c r="H7" i="2" a="1"/>
  <c r="N12" i="2" a="1"/>
  <c r="M30" i="2" a="1"/>
  <c r="G16" i="2" a="1"/>
  <c r="C9" i="2" a="1"/>
  <c r="Q21" i="2" a="1"/>
  <c r="G32" i="2" a="1"/>
  <c r="U47" i="2" a="1"/>
  <c r="S22" i="2" a="1"/>
  <c r="E13" i="2" a="1"/>
  <c r="U5" i="2" a="1"/>
  <c r="U12" i="2" a="1"/>
  <c r="K26" i="2" a="1"/>
  <c r="T14" i="2" a="1"/>
  <c r="P7" i="2" a="1"/>
  <c r="M10" i="2" a="1"/>
  <c r="C25" i="2" a="1"/>
  <c r="L99" i="2" a="1"/>
  <c r="R88" i="2" a="1"/>
  <c r="Q97" i="2" a="1"/>
  <c r="T152" i="2" a="1"/>
  <c r="O93" i="2" a="1"/>
  <c r="D79" i="2" a="1"/>
  <c r="P64" i="2" a="1"/>
  <c r="S110" i="2" a="1"/>
  <c r="K94" i="2" a="1"/>
  <c r="G83" i="2" a="1"/>
  <c r="H118" i="2" a="1"/>
  <c r="M97" i="2" a="1"/>
  <c r="N85" i="2" a="1"/>
  <c r="R74" i="2" a="1"/>
  <c r="V63" i="2" a="1"/>
  <c r="K109" i="2" a="1"/>
  <c r="L93" i="2" a="1"/>
  <c r="M82" i="2" a="1"/>
  <c r="Q71" i="2" a="1"/>
  <c r="D151" i="2" a="1"/>
  <c r="K103" i="2" a="1"/>
  <c r="P89" i="2" a="1"/>
  <c r="L79" i="2" a="1"/>
  <c r="D71" i="2" a="1"/>
  <c r="H134" i="2" a="1"/>
  <c r="D106" i="2" a="1"/>
  <c r="Q95" i="2" a="1"/>
  <c r="S87" i="2" a="1"/>
  <c r="O80" i="2" a="1"/>
  <c r="K73" i="2" a="1"/>
  <c r="G66" i="2" a="1"/>
  <c r="H139" i="2" a="1"/>
  <c r="T106" i="2" a="1"/>
  <c r="L96" i="2" a="1"/>
  <c r="J88" i="2" a="1"/>
  <c r="F81" i="2" a="1"/>
  <c r="V73" i="2" a="1"/>
  <c r="R66" i="2" a="1"/>
  <c r="T143" i="2" a="1"/>
  <c r="Q107" i="2" a="1"/>
  <c r="E97" i="2" a="1"/>
  <c r="T88" i="2" a="1"/>
  <c r="P81" i="2" a="1"/>
  <c r="L74" i="2" a="1"/>
  <c r="H67" i="2" a="1"/>
  <c r="J101" i="2" a="1"/>
  <c r="S60" i="2" a="1"/>
  <c r="O53" i="2" a="1"/>
  <c r="K46" i="2" a="1"/>
  <c r="I91" i="2" a="1"/>
  <c r="F60" i="2" a="1"/>
  <c r="V52" i="2" a="1"/>
  <c r="R45" i="2" a="1"/>
  <c r="N38" i="2" a="1"/>
  <c r="H31" i="2" a="1"/>
  <c r="D24" i="2" a="1"/>
  <c r="N99" i="2" a="1"/>
  <c r="Q60" i="2" a="1"/>
  <c r="M53" i="2" a="1"/>
  <c r="I46" i="2" a="1"/>
  <c r="U76" i="2" a="1"/>
  <c r="T58" i="2" a="1"/>
  <c r="P51" i="2" a="1"/>
  <c r="L44" i="2" a="1"/>
  <c r="H37" i="2" a="1"/>
  <c r="V29" i="2" a="1"/>
  <c r="R22" i="2" a="1"/>
  <c r="M89" i="2" a="1"/>
  <c r="C60" i="2" a="1"/>
  <c r="S52" i="2" a="1"/>
  <c r="O45" i="2" a="1"/>
  <c r="U88" i="2" a="1"/>
  <c r="V59" i="2" a="1"/>
  <c r="R52" i="2" a="1"/>
  <c r="N45" i="2" a="1"/>
  <c r="J38" i="2" a="1"/>
  <c r="D31" i="2" a="1"/>
  <c r="T23" i="2" a="1"/>
  <c r="R106" i="2" a="1"/>
  <c r="E61" i="2" a="1"/>
  <c r="U53" i="2" a="1"/>
  <c r="K71" i="2" a="1"/>
  <c r="L57" i="2" a="1"/>
  <c r="H50" i="2" a="1"/>
  <c r="D43" i="2" a="1"/>
  <c r="T35" i="2" a="1"/>
  <c r="N28" i="2" a="1"/>
  <c r="G71" i="2" a="1"/>
  <c r="K57" i="2" a="1"/>
  <c r="G50" i="2" a="1"/>
  <c r="C43" i="2" a="1"/>
  <c r="S35" i="2" a="1"/>
  <c r="M28" i="2" a="1"/>
  <c r="M68" i="2" a="1"/>
  <c r="R56" i="2" a="1"/>
  <c r="N49" i="2" a="1"/>
  <c r="J42" i="2" a="1"/>
  <c r="F35" i="2" a="1"/>
  <c r="T27" i="2" a="1"/>
  <c r="P20" i="2" a="1"/>
  <c r="S70" i="2" a="1"/>
  <c r="I57" i="2" a="1"/>
  <c r="E50" i="2" a="1"/>
  <c r="U42" i="2" a="1"/>
  <c r="Q35" i="2" a="1"/>
  <c r="K28" i="2" a="1"/>
  <c r="G21" i="2" a="1"/>
  <c r="C73" i="2" a="1"/>
  <c r="T57" i="2" a="1"/>
  <c r="P50" i="2" a="1"/>
  <c r="L43" i="2" a="1"/>
  <c r="H36" i="2" a="1"/>
  <c r="V28" i="2" a="1"/>
  <c r="R21" i="2" a="1"/>
  <c r="E33" i="2" a="1"/>
  <c r="Q14" i="2" a="1"/>
  <c r="O27" i="2" a="1"/>
  <c r="H15" i="2" a="1"/>
  <c r="D8" i="2" a="1"/>
  <c r="E9" i="2" a="1"/>
  <c r="S34" i="2" a="1"/>
  <c r="O17" i="2" a="1"/>
  <c r="K10" i="2" a="1"/>
  <c r="G3" i="2" a="1"/>
  <c r="M36" i="2" a="1"/>
  <c r="M18" i="2" a="1"/>
  <c r="V10" i="2" a="1"/>
  <c r="Q9" i="2" a="1"/>
  <c r="Q30" i="2" a="1"/>
  <c r="I16" i="2" a="1"/>
  <c r="I3" i="2" a="1"/>
  <c r="G91" i="2" a="1"/>
  <c r="F82" i="2" a="1"/>
  <c r="U89" i="2" a="1"/>
  <c r="P118" i="2" a="1"/>
  <c r="T92" i="2" a="1"/>
  <c r="L78" i="2" a="1"/>
  <c r="D64" i="2" a="1"/>
  <c r="P109" i="2" a="1"/>
  <c r="N93" i="2" a="1"/>
  <c r="O82" i="2" a="1"/>
  <c r="I116" i="2" a="1"/>
  <c r="P96" i="2" a="1"/>
  <c r="V84" i="2" a="1"/>
  <c r="F74" i="2" a="1"/>
  <c r="J63" i="2" a="1"/>
  <c r="H108" i="2" a="1"/>
  <c r="Q92" i="2" a="1"/>
  <c r="U81" i="2" a="1"/>
  <c r="E71" i="2" a="1"/>
  <c r="P145" i="2" a="1"/>
  <c r="M102" i="2" a="1"/>
  <c r="D89" i="2" a="1"/>
  <c r="T78" i="2" a="1"/>
  <c r="L70" i="2" a="1"/>
  <c r="D129" i="2" a="1"/>
  <c r="D105" i="2" a="1"/>
  <c r="T94" i="2" a="1"/>
  <c r="G87" i="2" a="1"/>
  <c r="C80" i="2" a="1"/>
  <c r="S72" i="2" a="1"/>
  <c r="O65" i="2" a="1"/>
  <c r="T133" i="2" a="1"/>
  <c r="U105" i="2" a="1"/>
  <c r="P95" i="2" a="1"/>
  <c r="R87" i="2" a="1"/>
  <c r="N80" i="2" a="1"/>
  <c r="J73" i="2" a="1"/>
  <c r="F66" i="2" a="1"/>
  <c r="L138" i="2" a="1"/>
  <c r="Q106" i="2" a="1"/>
  <c r="I96" i="2" a="1"/>
  <c r="H88" i="2" a="1"/>
  <c r="D81" i="2" a="1"/>
  <c r="T73" i="2" a="1"/>
  <c r="P66" i="2" a="1"/>
  <c r="U91" i="2" a="1"/>
  <c r="G60" i="2" a="1"/>
  <c r="C53" i="2" a="1"/>
  <c r="S45" i="2" a="1"/>
  <c r="E84" i="2" a="1"/>
  <c r="N59" i="2" a="1"/>
  <c r="J52" i="2" a="1"/>
  <c r="F45" i="2" a="1"/>
  <c r="V37" i="2" a="1"/>
  <c r="P30" i="2" a="1"/>
  <c r="L23" i="2" a="1"/>
  <c r="Q90" i="2" a="1"/>
  <c r="E60" i="2" a="1"/>
  <c r="U52" i="2" a="1"/>
  <c r="Q45" i="2" a="1"/>
  <c r="M74" i="2" a="1"/>
  <c r="H58" i="2" a="1"/>
  <c r="D51" i="2" a="1"/>
  <c r="T43" i="2" a="1"/>
  <c r="P36" i="2" a="1"/>
  <c r="J29" i="2" a="1"/>
  <c r="F22" i="2" a="1"/>
  <c r="I82" i="2" a="1"/>
  <c r="K59" i="2" a="1"/>
  <c r="G52" i="2" a="1"/>
  <c r="C45" i="2" a="1"/>
  <c r="Q81" i="2" a="1"/>
  <c r="J59" i="2" a="1"/>
  <c r="F52" i="2" a="1"/>
  <c r="V44" i="2" a="1"/>
  <c r="R37" i="2" a="1"/>
  <c r="L30" i="2" a="1"/>
  <c r="H23" i="2" a="1"/>
  <c r="K96" i="2" a="1"/>
  <c r="M60" i="2" a="1"/>
  <c r="I53" i="2" a="1"/>
  <c r="C69" i="2" a="1"/>
  <c r="T56" i="2" a="1"/>
  <c r="P49" i="2" a="1"/>
  <c r="L42" i="2" a="1"/>
  <c r="H35" i="2" a="1"/>
  <c r="V27" i="2" a="1"/>
  <c r="S68" i="2" a="1"/>
  <c r="S56" i="2" a="1"/>
  <c r="O49" i="2" a="1"/>
  <c r="K42" i="2" a="1"/>
  <c r="G35" i="2" a="1"/>
  <c r="U27" i="2" a="1"/>
  <c r="K66" i="2" a="1"/>
  <c r="F56" i="2" a="1"/>
  <c r="V48" i="2" a="1"/>
  <c r="R41" i="2" a="1"/>
  <c r="N34" i="2" a="1"/>
  <c r="H27" i="2" a="1"/>
  <c r="D20" i="2" a="1"/>
  <c r="K68" i="2" a="1"/>
  <c r="Q56" i="2" a="1"/>
  <c r="M49" i="2" a="1"/>
  <c r="I42" i="2" a="1"/>
  <c r="E35" i="2" a="1"/>
  <c r="S27" i="2" a="1"/>
  <c r="O20" i="2" a="1"/>
  <c r="O70" i="2" a="1"/>
  <c r="H57" i="2" a="1"/>
  <c r="D50" i="2" a="1"/>
  <c r="T42" i="2" a="1"/>
  <c r="P35" i="2" a="1"/>
  <c r="J28" i="2" a="1"/>
  <c r="F21" i="2" a="1"/>
  <c r="I31" i="2" a="1"/>
  <c r="I12" i="2" a="1"/>
  <c r="U25" i="2" a="1"/>
  <c r="P14" i="2" a="1"/>
  <c r="L7" i="2" a="1"/>
  <c r="Q6" i="2" a="1"/>
  <c r="U32" i="2" a="1"/>
  <c r="C17" i="2" a="1"/>
  <c r="S9" i="2" a="1"/>
  <c r="V4" i="2" a="1"/>
  <c r="Q34" i="2" a="1"/>
  <c r="N17" i="2" a="1"/>
  <c r="O90" i="2" a="1"/>
  <c r="N81" i="2" a="1"/>
  <c r="I89" i="2" a="1"/>
  <c r="R116" i="2" a="1"/>
  <c r="H92" i="2" a="1"/>
  <c r="T77" i="2" a="1"/>
  <c r="L63" i="2" a="1"/>
  <c r="J108" i="2" a="1"/>
  <c r="S92" i="2" a="1"/>
  <c r="C82" i="2" a="1"/>
  <c r="L114" i="2" a="1"/>
  <c r="U95" i="2" a="1"/>
  <c r="J84" i="2" a="1"/>
  <c r="N73" i="2" a="1"/>
  <c r="R62" i="2" a="1"/>
  <c r="E107" i="2" a="1"/>
  <c r="E92" i="2" a="1"/>
  <c r="I81" i="2" a="1"/>
  <c r="M70" i="2" a="1"/>
  <c r="H140" i="2" a="1"/>
  <c r="O101" i="2" a="1"/>
  <c r="L88" i="2" a="1"/>
  <c r="H78" i="2" a="1"/>
  <c r="T69" i="2" a="1"/>
  <c r="H124" i="2" a="1"/>
  <c r="H104" i="2" a="1"/>
  <c r="E94" i="2" a="1"/>
  <c r="O86" i="2" a="1"/>
  <c r="K79" i="2" a="1"/>
  <c r="G72" i="2" a="1"/>
  <c r="C65" i="2" a="1"/>
  <c r="T128" i="2" a="1"/>
  <c r="C105" i="2" a="1"/>
  <c r="S94" i="2" a="1"/>
  <c r="F87" i="2" a="1"/>
  <c r="V79" i="2" a="1"/>
  <c r="R72" i="2" a="1"/>
  <c r="N65" i="2" a="1"/>
  <c r="D133" i="2" a="1"/>
  <c r="S105" i="2" a="1"/>
  <c r="L95" i="2" a="1"/>
  <c r="P87" i="2" a="1"/>
  <c r="L80" i="2" a="1"/>
  <c r="H73" i="2" a="1"/>
  <c r="D66" i="2" a="1"/>
  <c r="Q84" i="2" a="1"/>
  <c r="O59" i="2" a="1"/>
  <c r="K52" i="2" a="1"/>
  <c r="G45" i="2" a="1"/>
  <c r="K77" i="2" a="1"/>
  <c r="V58" i="2" a="1"/>
  <c r="R51" i="2" a="1"/>
  <c r="N44" i="2" a="1"/>
  <c r="J37" i="2" a="1"/>
  <c r="D30" i="2" a="1"/>
  <c r="T22" i="2" a="1"/>
  <c r="M83" i="2" a="1"/>
  <c r="M59" i="2" a="1"/>
  <c r="I52" i="2" a="1"/>
  <c r="E45" i="2" a="1"/>
  <c r="E72" i="2" a="1"/>
  <c r="P57" i="2" a="1"/>
  <c r="L50" i="2" a="1"/>
  <c r="H43" i="2" a="1"/>
  <c r="D36" i="2" a="1"/>
  <c r="R28" i="2" a="1"/>
  <c r="N21" i="2" a="1"/>
  <c r="S76" i="2" a="1"/>
  <c r="S58" i="2" a="1"/>
  <c r="O51" i="2" a="1"/>
  <c r="K44" i="2" a="1"/>
  <c r="O76" i="2" a="1"/>
  <c r="R58" i="2" a="1"/>
  <c r="N51" i="2" a="1"/>
  <c r="J44" i="2" a="1"/>
  <c r="F37" i="2" a="1"/>
  <c r="T29" i="2" a="1"/>
  <c r="P22" i="2" a="1"/>
  <c r="I88" i="2" a="1"/>
  <c r="U59" i="2" a="1"/>
  <c r="Q52" i="2" a="1"/>
  <c r="O66" i="2" a="1"/>
  <c r="H56" i="2" a="1"/>
  <c r="D49" i="2" a="1"/>
  <c r="T41" i="2" a="1"/>
  <c r="P34" i="2" a="1"/>
  <c r="J27" i="2" a="1"/>
  <c r="M66" i="2" a="1"/>
  <c r="G56" i="2" a="1"/>
  <c r="C49" i="2" a="1"/>
  <c r="S41" i="2" a="1"/>
  <c r="O34" i="2" a="1"/>
  <c r="I27" i="2" a="1"/>
  <c r="U64" i="2" a="1"/>
  <c r="N55" i="2" a="1"/>
  <c r="J48" i="2" a="1"/>
  <c r="F41" i="2" a="1"/>
  <c r="T33" i="2" a="1"/>
  <c r="P26" i="2" a="1"/>
  <c r="L19" i="2" a="1"/>
  <c r="H66" i="2" a="1"/>
  <c r="E56" i="2" a="1"/>
  <c r="U48" i="2" a="1"/>
  <c r="Q41" i="2" a="1"/>
  <c r="M34" i="2" a="1"/>
  <c r="G27" i="2" a="1"/>
  <c r="C20" i="2" a="1"/>
  <c r="G68" i="2" a="1"/>
  <c r="P56" i="2" a="1"/>
  <c r="L49" i="2" a="1"/>
  <c r="H42" i="2" a="1"/>
  <c r="D35" i="2" a="1"/>
  <c r="R27" i="2" a="1"/>
  <c r="N20" i="2" a="1"/>
  <c r="M29" i="2" a="1"/>
  <c r="I9" i="2" a="1"/>
  <c r="Q24" i="2" a="1"/>
  <c r="D14" i="2" a="1"/>
  <c r="T6" i="2" a="1"/>
  <c r="I4" i="2" a="1"/>
  <c r="E31" i="2" a="1"/>
  <c r="K16" i="2" a="1"/>
  <c r="G9" i="2" a="1"/>
  <c r="M11" i="2" a="1"/>
  <c r="S32" i="2" a="1"/>
  <c r="V16" i="2" a="1"/>
  <c r="R9" i="2" a="1"/>
  <c r="U4" i="2" a="1"/>
  <c r="E27" i="2" a="1"/>
  <c r="E15" i="2" a="1"/>
  <c r="M42" i="2" a="1"/>
  <c r="V21" i="2" a="1"/>
  <c r="P12" i="2" a="1"/>
  <c r="L5" i="2" a="1"/>
  <c r="R4" i="2" a="1"/>
  <c r="M25" i="2" a="1"/>
  <c r="K14" i="2" a="1"/>
  <c r="G7" i="2" a="1"/>
  <c r="J11" i="2" a="1"/>
  <c r="F15" i="2" a="1"/>
  <c r="M17" i="2" a="1"/>
  <c r="N19" i="2" a="1"/>
  <c r="H4" i="2" a="1"/>
  <c r="E23" i="2" a="1"/>
  <c r="C6" i="2" a="1"/>
  <c r="S26" i="2" a="1"/>
  <c r="M26" i="2" a="1"/>
  <c r="I11" i="2" a="1"/>
  <c r="F5" i="2" a="1"/>
  <c r="Q22" i="2" a="1"/>
  <c r="L9" i="2" a="1"/>
  <c r="U40" i="2" a="1"/>
  <c r="C16" i="2" a="1"/>
  <c r="C7" i="2" a="1"/>
  <c r="Q11" i="2" a="1"/>
  <c r="R23" i="2" a="1"/>
  <c r="V9" i="2" a="1"/>
  <c r="S77" i="6" a="1"/>
  <c r="AE105" i="6" a="1"/>
  <c r="X93" i="6" a="1"/>
  <c r="U83" i="6" a="1"/>
  <c r="Y109" i="6" a="1"/>
  <c r="J98" i="6" a="1"/>
  <c r="M44" i="6" a="1"/>
  <c r="E109" i="6" a="1"/>
  <c r="F71" i="6" a="1"/>
  <c r="J63" i="6" a="1"/>
  <c r="AD79" i="6" a="1"/>
  <c r="K85" i="6" a="1"/>
  <c r="Q98" i="6" a="1"/>
  <c r="F107" i="6" a="1"/>
  <c r="Y46" i="6" a="1"/>
  <c r="Z109" i="6" a="1"/>
  <c r="AE33" i="6" a="1"/>
  <c r="C100" i="6" a="1"/>
  <c r="G85" i="6" a="1"/>
  <c r="M78" i="6" a="1"/>
  <c r="H65" i="6" a="1"/>
  <c r="T64" i="6" a="1"/>
  <c r="AC105" i="6" a="1"/>
  <c r="AB100" i="6" a="1"/>
  <c r="Q104" i="6" a="1"/>
  <c r="J78" i="6" a="1"/>
  <c r="W56" i="6" a="1"/>
  <c r="AE64" i="6" a="1"/>
  <c r="J94" i="6" a="1"/>
  <c r="AC60" i="6" a="1"/>
  <c r="S65" i="6" a="1"/>
  <c r="X85" i="6" a="1"/>
  <c r="L97" i="6" a="1"/>
  <c r="I102" i="6" a="1"/>
  <c r="Y101" i="6" a="1"/>
  <c r="P72" i="6" a="1"/>
  <c r="U61" i="6" a="1"/>
  <c r="P96" i="6" a="1"/>
  <c r="L73" i="6" a="1"/>
  <c r="Y81" i="6" a="1"/>
  <c r="O53" i="6" a="1"/>
  <c r="AC91" i="6" a="1"/>
  <c r="D91" i="6" a="1"/>
  <c r="AD3" i="6" a="1"/>
  <c r="Y36" i="6" a="1"/>
  <c r="J107" i="6" a="1"/>
  <c r="X94" i="6" a="1"/>
  <c r="F60" i="6" a="1"/>
  <c r="J39" i="6" a="1"/>
  <c r="F99" i="6" a="1"/>
  <c r="X53" i="6" a="1"/>
  <c r="V71" i="6" a="1"/>
  <c r="N99" i="6" a="1"/>
  <c r="T34" i="6" a="1"/>
  <c r="E83" i="6" a="1"/>
  <c r="M83" i="6" a="1"/>
  <c r="U108" i="6" a="1"/>
  <c r="AC45" i="6" a="1"/>
  <c r="AA80" i="6" a="1"/>
  <c r="E90" i="6" a="1"/>
  <c r="R99" i="6" a="1"/>
  <c r="AA72" i="6" a="1"/>
  <c r="J104" i="6" a="1"/>
  <c r="X32" i="6" a="1"/>
  <c r="M30" i="6" a="1"/>
  <c r="W61" i="6" a="1"/>
  <c r="Z77" i="6" a="1"/>
  <c r="V93" i="6" a="1"/>
  <c r="P82" i="6" a="1"/>
  <c r="AE73" i="6" a="1"/>
  <c r="G55" i="6" a="1"/>
  <c r="Y97" i="6" a="1"/>
  <c r="N14" i="6" a="1"/>
  <c r="D59" i="6" a="1"/>
  <c r="AA101" i="6" a="1"/>
  <c r="C83" i="6" a="1"/>
  <c r="Z17" i="6" a="1"/>
  <c r="O56" i="6" a="1"/>
  <c r="V10" i="6" a="1"/>
  <c r="C69" i="6" a="1"/>
  <c r="U55" i="6" a="1"/>
  <c r="O57" i="6" a="1"/>
  <c r="R81" i="6" a="1"/>
  <c r="T83" i="6" a="1"/>
  <c r="H75" i="6" a="1"/>
  <c r="AE82" i="6" a="1"/>
  <c r="K62" i="6" a="1"/>
  <c r="O73" i="6" a="1"/>
  <c r="J26" i="6" a="1"/>
  <c r="AB59" i="6" a="1"/>
  <c r="AD90" i="6" a="1"/>
  <c r="E93" i="6" a="1"/>
  <c r="W108" i="6" a="1"/>
  <c r="U85" i="6" a="1"/>
  <c r="Q71" i="6" a="1"/>
  <c r="W69" i="6" a="1"/>
  <c r="R96" i="6" a="1"/>
  <c r="AD35" i="6" a="1"/>
  <c r="AA10" i="6" a="1"/>
  <c r="K81" i="6" a="1"/>
  <c r="F4" i="6" a="1"/>
  <c r="AB46" i="6" a="1"/>
  <c r="AE107" i="6" a="1"/>
  <c r="W11" i="6" a="1"/>
  <c r="X35" i="6" a="1"/>
  <c r="AA52" i="6" a="1"/>
  <c r="AB41" i="6" a="1"/>
  <c r="F9" i="6" a="1"/>
  <c r="F11" i="6" a="1"/>
  <c r="L46" i="6" a="1"/>
  <c r="Y62" i="6" a="1"/>
  <c r="G27" i="6" a="1"/>
  <c r="F21" i="6" a="1"/>
  <c r="H38" i="6" a="1"/>
  <c r="O43" i="6" a="1"/>
  <c r="L23" i="6" a="1"/>
  <c r="F35" i="6" a="1"/>
  <c r="E34" i="6" a="1"/>
  <c r="T88" i="6" a="1"/>
  <c r="U36" i="6" a="1"/>
  <c r="H46" i="6" a="1"/>
  <c r="Q39" i="6" a="1"/>
  <c r="I65" i="6" a="1"/>
  <c r="O104" i="6" a="1"/>
  <c r="W25" i="6" a="1"/>
  <c r="M68" i="6" a="1"/>
  <c r="AD68" i="6" a="1"/>
  <c r="H93" i="6" a="1"/>
  <c r="R92" i="6" a="1"/>
  <c r="I62" i="6" a="1"/>
  <c r="J43" i="6" a="1"/>
  <c r="Y23" i="6" a="1"/>
  <c r="U42" i="6" a="1"/>
  <c r="J10" i="2" a="1"/>
  <c r="Q15" i="2" a="1"/>
  <c r="J18" i="2" a="1"/>
  <c r="P3" i="2" a="1"/>
  <c r="U21" i="2" a="1"/>
  <c r="K5" i="2" a="1"/>
  <c r="E24" i="2" a="1"/>
  <c r="C24" i="2" a="1"/>
  <c r="E10" i="2" a="1"/>
  <c r="Q17" i="2" a="1"/>
  <c r="I20" i="2" a="1"/>
  <c r="H8" i="2" a="1"/>
  <c r="G37" i="2" a="1"/>
  <c r="S14" i="2" a="1"/>
  <c r="K6" i="2" a="1"/>
  <c r="Q8" i="2" a="1"/>
  <c r="N22" i="2" a="1"/>
  <c r="F8" i="2" a="1"/>
  <c r="AC86" i="6" a="1"/>
  <c r="J91" i="6" a="1"/>
  <c r="J69" i="6" a="1"/>
  <c r="F94" i="6" a="1"/>
  <c r="Q94" i="6" a="1"/>
  <c r="N102" i="6" a="1"/>
  <c r="M105" i="6" a="1"/>
  <c r="J100" i="6" a="1"/>
  <c r="G75" i="6" a="1"/>
  <c r="Z58" i="6" a="1"/>
  <c r="N72" i="6" a="1"/>
  <c r="N64" i="6" a="1"/>
  <c r="R94" i="6" a="1"/>
  <c r="W81" i="6" a="1"/>
  <c r="AD92" i="6" a="1"/>
  <c r="R88" i="6" a="1"/>
  <c r="Z102" i="6" a="1"/>
  <c r="H97" i="6" a="1"/>
  <c r="W63" i="6" a="1"/>
  <c r="AC69" i="6" a="1"/>
  <c r="W72" i="6" a="1"/>
  <c r="K78" i="6" a="1"/>
  <c r="T84" i="6" a="1"/>
  <c r="Y69" i="6" a="1"/>
  <c r="Q86" i="6" a="1"/>
  <c r="K64" i="6" a="1"/>
  <c r="K86" i="6" a="1"/>
  <c r="AA56" i="6" a="1"/>
  <c r="AB39" i="6" a="1"/>
  <c r="H43" i="6" a="1"/>
  <c r="R64" i="6" a="1"/>
  <c r="M66" i="6" a="1"/>
  <c r="G69" i="6" a="1"/>
  <c r="W103" i="6" a="1"/>
  <c r="N83" i="6" a="1"/>
  <c r="C73" i="6" a="1"/>
  <c r="U109" i="6" a="1"/>
  <c r="Y86" i="6" a="1"/>
  <c r="R103" i="6" a="1"/>
  <c r="W55" i="6" a="1"/>
  <c r="O102" i="6" a="1"/>
  <c r="N84" i="6" a="1"/>
  <c r="G84" i="6" a="1"/>
  <c r="AC11" i="6" a="1"/>
  <c r="S92" i="6" a="1"/>
  <c r="V68" i="6" a="1"/>
  <c r="O95" i="6" a="1"/>
  <c r="R67" i="6" a="1"/>
  <c r="Q78" i="6" a="1"/>
  <c r="H61" i="6" a="1"/>
  <c r="X102" i="6" a="1"/>
  <c r="Q49" i="6" a="1"/>
  <c r="I96" i="6" a="1"/>
  <c r="Z63" i="6" a="1"/>
  <c r="L58" i="6" a="1"/>
  <c r="W76" i="6" a="1"/>
  <c r="AB60" i="6" a="1"/>
  <c r="AB90" i="6" a="1"/>
  <c r="L54" i="6" a="1"/>
  <c r="S87" i="6" a="1"/>
  <c r="P66" i="6" a="1"/>
  <c r="X49" i="6" a="1"/>
  <c r="O67" i="6" a="1"/>
  <c r="AD107" i="6" a="1"/>
  <c r="U9" i="6" a="1"/>
  <c r="G80" i="6" a="1"/>
  <c r="E61" i="6" a="1"/>
  <c r="Q102" i="6" a="1"/>
  <c r="H85" i="6" a="1"/>
  <c r="E98" i="6" a="1"/>
  <c r="V17" i="6" a="1"/>
  <c r="AE77" i="6" a="1"/>
  <c r="R19" i="6" a="1"/>
  <c r="AB53" i="6" a="1"/>
  <c r="Z78" i="6" a="1"/>
  <c r="I38" i="6" a="1"/>
  <c r="Z22" i="6" a="1"/>
  <c r="L42" i="6" a="1"/>
  <c r="AE39" i="6" a="1"/>
  <c r="E39" i="6" a="1"/>
  <c r="I83" i="6" a="1"/>
  <c r="O69" i="6" a="1"/>
  <c r="S78" i="6" a="1"/>
  <c r="AC58" i="6" a="1"/>
  <c r="O100" i="6" a="1"/>
  <c r="I61" i="6" a="1"/>
  <c r="P57" i="6" a="1"/>
  <c r="W32" i="6" a="1"/>
  <c r="I48" i="6" a="1"/>
  <c r="U6" i="6" a="1"/>
  <c r="AB93" i="6" a="1"/>
  <c r="O58" i="6" a="1"/>
  <c r="Q75" i="6" a="1"/>
  <c r="X39" i="6" a="1"/>
  <c r="M69" i="6" a="1"/>
  <c r="N97" i="6" a="1"/>
  <c r="AA66" i="6" a="1"/>
  <c r="M96" i="6" a="1"/>
  <c r="H34" i="6" a="1"/>
  <c r="L19" i="6" a="1"/>
  <c r="H40" i="6" a="1"/>
  <c r="L100" i="6" a="1"/>
  <c r="N106" i="6" a="1"/>
  <c r="F54" i="6" a="1"/>
  <c r="P88" i="6" a="1"/>
  <c r="G92" i="6" a="1"/>
  <c r="U41" i="6" a="1"/>
  <c r="AE11" i="6" a="1"/>
  <c r="N22" i="6" a="1"/>
  <c r="D49" i="6" a="1"/>
  <c r="N8" i="2" a="1"/>
  <c r="U13" i="2" a="1"/>
  <c r="L17" i="2" a="1"/>
  <c r="D3" i="2" a="1"/>
  <c r="Q20" i="2" a="1"/>
  <c r="S4" i="2" a="1"/>
  <c r="M20" i="2" a="1"/>
  <c r="O21" i="2" a="1"/>
  <c r="M9" i="2" a="1"/>
  <c r="U9" i="2" a="1"/>
  <c r="E19" i="2" a="1"/>
  <c r="D7" i="2" a="1"/>
  <c r="K35" i="2" a="1"/>
  <c r="G14" i="2" a="1"/>
  <c r="S5" i="2" a="1"/>
  <c r="Q5" i="2" a="1"/>
  <c r="J21" i="2" a="1"/>
  <c r="M16" i="2" a="1"/>
  <c r="C78" i="6" a="1"/>
  <c r="S74" i="6" a="1"/>
  <c r="P77" i="6" a="1"/>
  <c r="Q79" i="6" a="1"/>
  <c r="U87" i="6" a="1"/>
  <c r="N94" i="6" a="1"/>
  <c r="AB88" i="6" a="1"/>
  <c r="Y79" i="6" a="1"/>
  <c r="N92" i="6" a="1"/>
  <c r="AC99" i="6" a="1"/>
  <c r="AB79" i="6" a="1"/>
  <c r="AA77" i="6" a="1"/>
  <c r="S90" i="6" a="1"/>
  <c r="D72" i="6" a="1"/>
  <c r="P98" i="6" a="1"/>
  <c r="AA68" i="6" a="1"/>
  <c r="D93" i="6" a="1"/>
  <c r="C65" i="6" a="1"/>
  <c r="D103" i="6" a="1"/>
  <c r="Y76" i="6" a="1"/>
  <c r="D45" i="6" a="1"/>
  <c r="AE75" i="6" a="1"/>
  <c r="H99" i="6" a="1"/>
  <c r="AA94" i="6" a="1"/>
  <c r="T108" i="6" a="1"/>
  <c r="AD52" i="6" a="1"/>
  <c r="D79" i="6" a="1"/>
  <c r="AC94" i="6" a="1"/>
  <c r="S98" i="6" a="1"/>
  <c r="V79" i="6" a="1"/>
  <c r="L99" i="6" a="1"/>
  <c r="J68" i="6" a="1"/>
  <c r="K92" i="6" a="1"/>
  <c r="R71" i="6" a="1"/>
  <c r="AB92" i="6" a="1"/>
  <c r="K104" i="6" a="1"/>
  <c r="AC100" i="6" a="1"/>
  <c r="D92" i="6" a="1"/>
  <c r="G102" i="6" a="1"/>
  <c r="AB85" i="6" a="1"/>
  <c r="H84" i="6" a="1"/>
  <c r="K54" i="6" a="1"/>
  <c r="I87" i="6" a="1"/>
  <c r="AB83" i="6" a="1"/>
  <c r="C99" i="6" a="1"/>
  <c r="F76" i="6" a="1"/>
  <c r="AB69" i="6" a="1"/>
  <c r="T105" i="6" a="1"/>
  <c r="W68" i="6" a="1"/>
  <c r="L90" i="6" a="1"/>
  <c r="U84" i="6" a="1"/>
  <c r="J101" i="6" a="1"/>
  <c r="Y93" i="6" a="1"/>
  <c r="S62" i="6" a="1"/>
  <c r="J93" i="6" a="1"/>
  <c r="P76" i="6" a="1"/>
  <c r="S72" i="6" a="1"/>
  <c r="L96" i="6" a="1"/>
  <c r="V87" i="6" a="1"/>
  <c r="T92" i="6" a="1"/>
  <c r="AA83" i="6" a="1"/>
  <c r="AD106" i="6" a="1"/>
  <c r="AA74" i="6" a="1"/>
  <c r="AC92" i="6" a="1"/>
  <c r="Z6" i="6" a="1"/>
  <c r="Z62" i="6" a="1"/>
  <c r="Y72" i="6" a="1"/>
  <c r="H82" i="6" a="1"/>
  <c r="C38" i="6" a="1"/>
  <c r="I71" i="6" a="1"/>
  <c r="Q37" i="6" a="1"/>
  <c r="K89" i="6" a="1"/>
  <c r="C57" i="6" a="1"/>
  <c r="H90" i="6" a="1"/>
  <c r="N98" i="6" a="1"/>
  <c r="AE108" i="6" a="1"/>
  <c r="U56" i="6" a="1"/>
  <c r="AE32" i="6" a="1"/>
  <c r="F46" i="6" a="1"/>
  <c r="AA50" i="6" a="1"/>
  <c r="AB103" i="6" a="1"/>
  <c r="V88" i="6" a="1"/>
  <c r="G52" i="6" a="1"/>
  <c r="E94" i="6" a="1"/>
  <c r="Z89" i="6" a="1"/>
  <c r="Z41" i="6" a="1"/>
  <c r="M108" i="6" a="1"/>
  <c r="X13" i="6" a="1"/>
  <c r="D57" i="6" a="1"/>
  <c r="K4" i="6" a="1"/>
  <c r="AC75" i="6" a="1"/>
  <c r="D87" i="6" a="1"/>
  <c r="F68" i="6" a="1"/>
  <c r="U26" i="6" a="1"/>
  <c r="F109" i="6" a="1"/>
  <c r="I103" i="6" a="1"/>
  <c r="P95" i="6" a="1"/>
  <c r="AE58" i="6" a="1"/>
  <c r="T60" i="6" a="1"/>
  <c r="P13" i="6" a="1"/>
  <c r="K65" i="6" a="1"/>
  <c r="E57" i="6" a="1"/>
  <c r="W100" i="6" a="1"/>
  <c r="P75" i="6" a="1"/>
  <c r="G72" i="6" a="1"/>
  <c r="Y80" i="6" a="1"/>
  <c r="L11" i="6" a="1"/>
  <c r="S13" i="6" a="1"/>
  <c r="Y51" i="6" a="1"/>
  <c r="V7" i="2" a="1"/>
  <c r="Q12" i="2" a="1"/>
  <c r="D15" i="2" a="1"/>
  <c r="V14" i="2" a="1"/>
  <c r="S16" i="2" a="1"/>
  <c r="M39" i="2" a="1"/>
  <c r="I19" i="2" a="1"/>
  <c r="K20" i="2" a="1"/>
  <c r="U8" i="2" a="1"/>
  <c r="E5" i="2" a="1"/>
  <c r="U17" i="2" a="1"/>
  <c r="L6" i="2" a="1"/>
  <c r="M33" i="2" a="1"/>
  <c r="O13" i="2" a="1"/>
  <c r="G5" i="2" a="1"/>
  <c r="E46" i="2" a="1"/>
  <c r="F20" i="2" a="1"/>
  <c r="E8" i="2" a="1"/>
  <c r="H80" i="6" a="1"/>
  <c r="AC101" i="6" a="1"/>
  <c r="V65" i="6" a="1"/>
  <c r="N71" i="6" a="1"/>
  <c r="Q90" i="6" a="1"/>
  <c r="R100" i="6" a="1"/>
  <c r="AC73" i="6" a="1"/>
  <c r="F56" i="6" a="1"/>
  <c r="F85" i="6" a="1"/>
  <c r="K107" i="6" a="1"/>
  <c r="AA49" i="6" a="1"/>
  <c r="M74" i="6" a="1"/>
  <c r="F51" i="6" a="1"/>
  <c r="K102" i="6" a="1"/>
  <c r="AD104" i="6" a="1"/>
  <c r="AC63" i="6" a="1"/>
  <c r="AC83" i="6" a="1"/>
  <c r="AD76" i="6" a="1"/>
  <c r="P84" i="6" a="1"/>
  <c r="C107" i="6" a="1"/>
  <c r="O107" i="6" a="1"/>
  <c r="AE51" i="6" a="1"/>
  <c r="T8" i="6" a="1"/>
  <c r="S64" i="6" a="1"/>
  <c r="K79" i="6" a="1"/>
  <c r="Q93" i="6" a="1"/>
  <c r="E63" i="6" a="1"/>
  <c r="AC104" i="6" a="1"/>
  <c r="AE93" i="6" a="1"/>
  <c r="H105" i="6" a="1"/>
  <c r="N88" i="6" a="1"/>
  <c r="C58" i="6" a="1"/>
  <c r="Q109" i="6" a="1"/>
  <c r="M88" i="6" a="1"/>
  <c r="J79" i="6" a="1"/>
  <c r="P86" i="6" a="1"/>
  <c r="Z84" i="6" a="1"/>
  <c r="N61" i="6" a="1"/>
  <c r="C88" i="6" a="1"/>
  <c r="G78" i="6" a="1"/>
  <c r="K73" i="6" a="1"/>
  <c r="N109" i="6" a="1"/>
  <c r="AE66" i="6" a="1"/>
  <c r="S99" i="6" a="1"/>
  <c r="W70" i="6" a="1"/>
  <c r="H47" i="6" a="1"/>
  <c r="P80" i="6" a="1"/>
  <c r="L87" i="6" a="1"/>
  <c r="P92" i="6" a="1"/>
  <c r="W65" i="6" a="1"/>
  <c r="Q73" i="6" a="1"/>
  <c r="J85" i="6" a="1"/>
  <c r="T51" i="6" a="1"/>
  <c r="P49" i="6" a="1"/>
  <c r="E91" i="6" a="1"/>
  <c r="P47" i="6" a="1"/>
  <c r="AA93" i="6" a="1"/>
  <c r="H101" i="6" a="1"/>
  <c r="AE52" i="6" a="1"/>
  <c r="H83" i="6" a="1"/>
  <c r="G103" i="6" a="1"/>
  <c r="AD87" i="6" a="1"/>
  <c r="K46" i="6" a="1"/>
  <c r="M76" i="6" a="1"/>
  <c r="Q100" i="6" a="1"/>
  <c r="AB94" i="6" a="1"/>
  <c r="Q106" i="6" a="1"/>
  <c r="AC71" i="6" a="1"/>
  <c r="G88" i="6" a="1"/>
  <c r="Q99" i="6" a="1"/>
  <c r="Q64" i="6" a="1"/>
  <c r="F41" i="6" a="1"/>
  <c r="AA78" i="6" a="1"/>
  <c r="AB75" i="6" a="1"/>
  <c r="AB72" i="6" a="1"/>
  <c r="AE40" i="6" a="1"/>
  <c r="V42" i="6" a="1"/>
  <c r="T20" i="6" a="1"/>
  <c r="M106" i="6" a="1"/>
  <c r="D67" i="6" a="1"/>
  <c r="N107" i="6" a="1"/>
  <c r="Y53" i="6" a="1"/>
  <c r="U96" i="6" a="1"/>
  <c r="AC68" i="6" a="1"/>
  <c r="T95" i="6" a="1"/>
  <c r="AE101" i="6" a="1"/>
  <c r="N15" i="6" a="1"/>
  <c r="S25" i="6" a="1"/>
  <c r="E18" i="6" a="1"/>
  <c r="W87" i="6" a="1"/>
  <c r="O74" i="6" a="1"/>
  <c r="AE83" i="6" a="1"/>
  <c r="V4" i="6" a="1"/>
  <c r="AD65" i="6" a="1"/>
  <c r="G50" i="6" a="1"/>
  <c r="AB105" i="6" a="1"/>
  <c r="T22" i="6" a="1"/>
  <c r="T59" i="6" a="1"/>
  <c r="G41" i="6" a="1"/>
  <c r="L82" i="6" a="1"/>
  <c r="Y15" i="6" a="1"/>
  <c r="J22" i="6" a="1"/>
  <c r="AA76" i="6" a="1"/>
  <c r="D33" i="6" a="1"/>
  <c r="Y105" i="6" a="1"/>
  <c r="E76" i="6" a="1"/>
  <c r="N103" i="6" a="1"/>
  <c r="AE45" i="6" a="1"/>
  <c r="L18" i="6" a="1"/>
  <c r="O37" i="6" a="1"/>
  <c r="J80" i="6" a="1"/>
  <c r="Q54" i="6" a="1"/>
  <c r="R3" i="2" a="1"/>
  <c r="F13" i="2" a="1"/>
  <c r="T13" i="2" a="1"/>
  <c r="R10" i="2" a="1"/>
  <c r="O15" i="2" a="1"/>
  <c r="J17" i="2" a="1"/>
  <c r="V11" i="2" a="1"/>
  <c r="G19" i="2" a="1"/>
  <c r="Q7" i="2" a="1"/>
  <c r="I47" i="2" a="1"/>
  <c r="P16" i="2" a="1"/>
  <c r="T5" i="2" a="1"/>
  <c r="U29" i="2" a="1"/>
  <c r="C13" i="2" a="1"/>
  <c r="O4" i="2" a="1"/>
  <c r="Q40" i="2" a="1"/>
  <c r="R17" i="2" a="1"/>
  <c r="E64" i="6" a="1"/>
  <c r="Y77" i="6" a="1"/>
  <c r="U99" i="6" a="1"/>
  <c r="Y78" i="6" a="1"/>
  <c r="O68" i="6" a="1"/>
  <c r="AB66" i="6" a="1"/>
  <c r="AD100" i="6" a="1"/>
  <c r="E100" i="6" a="1"/>
  <c r="Q84" i="6" a="1"/>
  <c r="J97" i="6" a="1"/>
  <c r="L106" i="6" a="1"/>
  <c r="X51" i="6" a="1"/>
  <c r="G64" i="6" a="1"/>
  <c r="Y71" i="6" a="1"/>
  <c r="I91" i="6" a="1"/>
  <c r="G99" i="6" a="1"/>
  <c r="AE63" i="6" a="1"/>
  <c r="AA109" i="6" a="1"/>
  <c r="T77" i="6" a="1"/>
  <c r="AD98" i="6" a="1"/>
  <c r="G82" i="6" a="1"/>
  <c r="O109" i="6" a="1"/>
  <c r="I92" i="6" a="1"/>
  <c r="U63" i="6" a="1"/>
  <c r="V63" i="6" a="1"/>
  <c r="T86" i="6" a="1"/>
  <c r="AD60" i="6" a="1"/>
  <c r="J83" i="6" a="1"/>
  <c r="G62" i="6" a="1"/>
  <c r="V108" i="6" a="1"/>
  <c r="K80" i="6" a="1"/>
  <c r="H107" i="6" a="1"/>
  <c r="P102" i="6" a="1"/>
  <c r="E77" i="6" a="1"/>
  <c r="G71" i="6" a="1"/>
  <c r="X78" i="6" a="1"/>
  <c r="U74" i="6" a="1"/>
  <c r="L70" i="6" a="1"/>
  <c r="L101" i="6" a="1"/>
  <c r="V64" i="6" a="1"/>
  <c r="G107" i="6" a="1"/>
  <c r="X97" i="6" a="1"/>
  <c r="D70" i="6" a="1"/>
  <c r="I74" i="6" a="1"/>
  <c r="D71" i="6" a="1"/>
  <c r="H104" i="6" a="1"/>
  <c r="P67" i="6" a="1"/>
  <c r="W78" i="6" a="1"/>
  <c r="Z96" i="6" a="1"/>
  <c r="V56" i="6" a="1"/>
  <c r="X108" i="6" a="1"/>
  <c r="AE98" i="6" a="1"/>
  <c r="Q65" i="6" a="1"/>
  <c r="R25" i="6" a="1"/>
  <c r="W91" i="6" a="1"/>
  <c r="S104" i="6" a="1"/>
  <c r="R86" i="6" a="1"/>
  <c r="E88" i="6" a="1"/>
  <c r="M99" i="6" a="1"/>
  <c r="K67" i="6" a="1"/>
  <c r="W101" i="6" a="1"/>
  <c r="D80" i="6" a="1"/>
  <c r="O35" i="6" a="1"/>
  <c r="F104" i="6" a="1"/>
  <c r="I70" i="6" a="1"/>
  <c r="W99" i="6" a="1"/>
  <c r="T87" i="6" a="1"/>
  <c r="H96" i="6" a="1"/>
  <c r="H108" i="6" a="1"/>
  <c r="Q63" i="6" a="1"/>
  <c r="N73" i="6" a="1"/>
  <c r="F61" i="6" a="1"/>
  <c r="R90" i="6" a="1"/>
  <c r="G90" i="6" a="1"/>
  <c r="S95" i="6" a="1"/>
  <c r="J74" i="6" a="1"/>
  <c r="P87" i="6" a="1"/>
  <c r="H12" i="6" a="1"/>
  <c r="N69" i="6" a="1"/>
  <c r="D100" i="6" a="1"/>
  <c r="F103" i="6" a="1"/>
  <c r="AB99" i="6" a="1"/>
  <c r="R95" i="6" a="1"/>
  <c r="AD63" i="6" a="1"/>
  <c r="O60" i="6" a="1"/>
  <c r="E87" i="6" a="1"/>
  <c r="L56" i="6" a="1"/>
  <c r="AD10" i="6" a="1"/>
  <c r="Y44" i="6" a="1"/>
  <c r="W5" i="6" a="1"/>
  <c r="V92" i="6" a="1"/>
  <c r="I43" i="6" a="1"/>
  <c r="O65" i="6" a="1"/>
  <c r="W12" i="6" a="1"/>
  <c r="X90" i="6" a="1"/>
  <c r="AC87" i="6" a="1"/>
  <c r="S86" i="6" a="1"/>
  <c r="S11" i="6" a="1"/>
  <c r="X48" i="6" a="1"/>
  <c r="W34" i="6" a="1"/>
  <c r="T36" i="6" a="1"/>
  <c r="E10" i="6" a="1"/>
  <c r="S47" i="6" a="1"/>
  <c r="E69" i="6" a="1"/>
  <c r="S106" i="6" a="1"/>
  <c r="X99" i="6" a="1"/>
  <c r="W46" i="6" a="1"/>
  <c r="AD96" i="6" a="1"/>
  <c r="AC27" i="6" a="1"/>
  <c r="V55" i="6" a="1"/>
  <c r="O17" i="6" a="1"/>
  <c r="W79" i="6" a="1"/>
  <c r="T28" i="6" a="1"/>
  <c r="C49" i="6" a="1"/>
  <c r="S34" i="6" a="1"/>
  <c r="W19" i="6" a="1"/>
  <c r="C31" i="6" a="1"/>
  <c r="P7" i="6" a="1"/>
  <c r="S60" i="6" a="1"/>
  <c r="T40" i="6" a="1"/>
  <c r="Y40" i="6" a="1"/>
  <c r="Q23" i="6" a="1"/>
  <c r="V74" i="6" a="1"/>
  <c r="G79" i="6" a="1"/>
  <c r="L27" i="6" a="1"/>
  <c r="J106" i="6" a="1"/>
  <c r="S88" i="6" a="1"/>
  <c r="C9" i="6" a="1"/>
  <c r="H33" i="6" a="1"/>
  <c r="P10" i="6" a="1"/>
  <c r="H23" i="6" a="1"/>
  <c r="R91" i="6" a="1"/>
  <c r="R22" i="6" a="1"/>
  <c r="M37" i="6" a="1"/>
  <c r="D29" i="6" a="1"/>
  <c r="Q47" i="6" a="1"/>
  <c r="V24" i="6" a="1"/>
  <c r="AB37" i="6" a="1"/>
  <c r="F45" i="6" a="1"/>
  <c r="V59" i="6" a="1"/>
  <c r="U38" i="6" a="1"/>
  <c r="M25" i="6" a="1"/>
  <c r="N56" i="6" a="1"/>
  <c r="R72" i="6" a="1"/>
  <c r="I7" i="2" a="1"/>
  <c r="Q49" i="2" a="1"/>
  <c r="H13" i="2" a="1"/>
  <c r="F7" i="2" a="1"/>
  <c r="C15" i="2" a="1"/>
  <c r="R13" i="2" a="1"/>
  <c r="F4" i="2" a="1"/>
  <c r="I17" i="2" a="1"/>
  <c r="M6" i="2" a="1"/>
  <c r="E39" i="2" a="1"/>
  <c r="L15" i="2" a="1"/>
  <c r="D4" i="2" a="1"/>
  <c r="I26" i="2" a="1"/>
  <c r="K12" i="2" a="1"/>
  <c r="C4" i="2" a="1"/>
  <c r="U38" i="2" a="1"/>
  <c r="N16" i="2" a="1"/>
  <c r="K60" i="6" a="1"/>
  <c r="W80" i="6" a="1"/>
  <c r="AA106" i="6" a="1"/>
  <c r="S49" i="6" a="1"/>
  <c r="F87" i="6" a="1"/>
  <c r="E85" i="6" a="1"/>
  <c r="G76" i="6" a="1"/>
  <c r="AE102" i="6" a="1"/>
  <c r="AD55" i="6" a="1"/>
  <c r="D101" i="6" a="1"/>
  <c r="T91" i="6" a="1"/>
  <c r="F98" i="6" a="1"/>
  <c r="AB96" i="6" a="1"/>
  <c r="AE71" i="6" a="1"/>
  <c r="R104" i="6" a="1"/>
  <c r="AA92" i="6" a="1"/>
  <c r="G77" i="6" a="1"/>
  <c r="R89" i="6" a="1"/>
  <c r="AA75" i="6" a="1"/>
  <c r="I89" i="6" a="1"/>
  <c r="J72" i="6" a="1"/>
  <c r="X89" i="6" a="1"/>
  <c r="K101" i="6" a="1"/>
  <c r="AB98" i="6" a="1"/>
  <c r="Z59" i="6" a="1"/>
  <c r="Z93" i="6" a="1"/>
  <c r="T90" i="6" a="1"/>
  <c r="K98" i="6" a="1"/>
  <c r="G101" i="6" a="1"/>
  <c r="O71" i="6" a="1"/>
  <c r="L62" i="6" a="1"/>
  <c r="Z92" i="6" a="1"/>
  <c r="J92" i="6" a="1"/>
  <c r="Y104" i="6" a="1"/>
  <c r="I78" i="6" a="1"/>
  <c r="I52" i="6" a="1"/>
  <c r="AE92" i="6" a="1"/>
  <c r="L92" i="6" a="1"/>
  <c r="U75" i="6" a="1"/>
  <c r="R56" i="6" a="1"/>
  <c r="Z74" i="6" a="1"/>
  <c r="O91" i="6" a="1"/>
  <c r="M58" i="6" a="1"/>
  <c r="J90" i="6" a="1"/>
  <c r="G91" i="6" a="1"/>
  <c r="M103" i="6" a="1"/>
  <c r="L78" i="6" a="1"/>
  <c r="E81" i="6" a="1"/>
  <c r="E89" i="6" a="1"/>
  <c r="W92" i="6" a="1"/>
  <c r="L75" i="6" a="1"/>
  <c r="AA104" i="6" a="1"/>
  <c r="V45" i="6" a="1"/>
  <c r="AD78" i="6" a="1"/>
  <c r="T104" i="6" a="1"/>
  <c r="AC96" i="6" a="1"/>
  <c r="V80" i="6" a="1"/>
  <c r="O106" i="6" a="1"/>
  <c r="AC93" i="6" a="1"/>
  <c r="D63" i="6" a="1"/>
  <c r="O82" i="6" a="1"/>
  <c r="O93" i="6" a="1"/>
  <c r="AC81" i="6" a="1"/>
  <c r="R80" i="6" a="1"/>
  <c r="I84" i="6" a="1"/>
  <c r="E102" i="6" a="1"/>
  <c r="X66" i="6" a="1"/>
  <c r="AA82" i="6" a="1"/>
  <c r="F101" i="6" a="1"/>
  <c r="X98" i="6" a="1"/>
  <c r="C50" i="6" a="1"/>
  <c r="X69" i="6" a="1"/>
  <c r="K97" i="6" a="1"/>
  <c r="K70" i="6" a="1"/>
  <c r="R35" i="6" a="1"/>
  <c r="X34" i="6" a="1"/>
  <c r="Y58" i="6" a="1"/>
  <c r="X31" i="6" a="1"/>
  <c r="I88" i="6" a="1"/>
  <c r="K94" i="6" a="1"/>
  <c r="V67" i="6" a="1"/>
  <c r="H21" i="6" a="1"/>
  <c r="H98" i="6" a="1"/>
  <c r="W109" i="6" a="1"/>
  <c r="O59" i="6" a="1"/>
  <c r="R47" i="6" a="1"/>
  <c r="J56" i="6" a="1"/>
  <c r="F43" i="6" a="1"/>
  <c r="AB48" i="6" a="1"/>
  <c r="I11" i="6" a="1"/>
  <c r="AD69" i="6" a="1"/>
  <c r="Y11" i="6" a="1"/>
  <c r="H52" i="6" a="1"/>
  <c r="O30" i="6" a="1"/>
  <c r="T72" i="6" a="1"/>
  <c r="W49" i="6" a="1"/>
  <c r="AC24" i="6" a="1"/>
  <c r="AE22" i="6" a="1"/>
  <c r="Q59" i="6" a="1"/>
  <c r="AD99" i="6" a="1"/>
  <c r="Y30" i="6" a="1"/>
  <c r="V98" i="6" a="1"/>
  <c r="P69" i="6" a="1"/>
  <c r="T62" i="6" a="1"/>
  <c r="F58" i="6" a="1"/>
  <c r="D66" i="6" a="1"/>
  <c r="U8" i="6" a="1"/>
  <c r="AE49" i="6" a="1"/>
  <c r="M18" i="6" a="1"/>
  <c r="Q60" i="6" a="1"/>
  <c r="H18" i="6" a="1"/>
  <c r="O79" i="6" a="1"/>
  <c r="X14" i="6" a="1"/>
  <c r="AD38" i="6" a="1"/>
  <c r="Y47" i="6" a="1"/>
  <c r="AB67" i="6" a="1"/>
  <c r="AB73" i="6" a="1"/>
  <c r="F32" i="6" a="1"/>
  <c r="E12" i="6" a="1"/>
  <c r="L67" i="6" a="1"/>
  <c r="E47" i="6" a="1"/>
  <c r="V97" i="6" a="1"/>
  <c r="P91" i="6" a="1"/>
  <c r="Z66" i="6" a="1"/>
  <c r="W98" i="6" a="1"/>
  <c r="Q25" i="6" a="1"/>
  <c r="AA64" i="6" a="1"/>
  <c r="J54" i="6" a="1"/>
  <c r="Y4" i="6" a="1"/>
  <c r="M22" i="6" a="1"/>
  <c r="AE3" i="6" a="1"/>
  <c r="R7" i="2" a="1"/>
  <c r="U37" i="2" a="1"/>
  <c r="L11" i="2" a="1"/>
  <c r="E49" i="2" a="1"/>
  <c r="G13" i="2" a="1"/>
  <c r="N6" i="2" a="1"/>
  <c r="M41" i="2" a="1"/>
  <c r="Q16" i="2" a="1"/>
  <c r="I5" i="2" a="1"/>
  <c r="I37" i="2" a="1"/>
  <c r="H14" i="2" a="1"/>
  <c r="R11" i="2" a="1"/>
  <c r="S23" i="2" a="1"/>
  <c r="S11" i="2" a="1"/>
  <c r="K3" i="2" a="1"/>
  <c r="I35" i="2" a="1"/>
  <c r="V15" i="2" a="1"/>
  <c r="V52" i="6" a="1"/>
  <c r="C93" i="6" a="1"/>
  <c r="Q108" i="6" a="1"/>
  <c r="Z106" i="6" a="1"/>
  <c r="U80" i="6" a="1"/>
  <c r="I104" i="6" a="1"/>
  <c r="F79" i="6" a="1"/>
  <c r="L95" i="6" a="1"/>
  <c r="AC74" i="6" a="1"/>
  <c r="Z61" i="6" a="1"/>
  <c r="C75" i="6" a="1"/>
  <c r="U105" i="6" a="1"/>
  <c r="P108" i="6" a="1"/>
  <c r="O98" i="6" a="1"/>
  <c r="N82" i="6" a="1"/>
  <c r="AB49" i="6" a="1"/>
  <c r="X73" i="6" a="1"/>
  <c r="D69" i="6" a="1"/>
  <c r="Q62" i="6" a="1"/>
  <c r="J66" i="6" a="1"/>
  <c r="AC102" i="6" a="1"/>
  <c r="R82" i="6" a="1"/>
  <c r="AB80" i="6" a="1"/>
  <c r="O108" i="6" a="1"/>
  <c r="F92" i="6" a="1"/>
  <c r="L91" i="6" a="1"/>
  <c r="AA46" i="6" a="1"/>
  <c r="P61" i="6" a="1"/>
  <c r="T101" i="6" a="1"/>
  <c r="N100" i="6" a="1"/>
  <c r="C74" i="6" a="1"/>
  <c r="E106" i="6" a="1"/>
  <c r="Q67" i="6" a="1"/>
  <c r="W86" i="6" a="1"/>
  <c r="C108" i="6" a="1"/>
  <c r="E95" i="6" a="1"/>
  <c r="AB19" i="6" a="1"/>
  <c r="L107" i="6" a="1"/>
  <c r="V99" i="6" a="1"/>
  <c r="S105" i="6" a="1"/>
  <c r="L76" i="6" a="1"/>
  <c r="AE94" i="6" a="1"/>
  <c r="AA67" i="6" a="1"/>
  <c r="S68" i="6" a="1"/>
  <c r="K84" i="6" a="1"/>
  <c r="Z70" i="6" a="1"/>
  <c r="R109" i="6" a="1"/>
  <c r="G89" i="6" a="1"/>
  <c r="M84" i="6" a="1"/>
  <c r="M104" i="6" a="1"/>
  <c r="AE76" i="6" a="1"/>
  <c r="O62" i="6" a="1"/>
  <c r="O90" i="6" a="1"/>
  <c r="C29" i="6" a="1"/>
  <c r="AB65" i="6" a="1"/>
  <c r="C71" i="6" a="1"/>
  <c r="O101" i="6" a="1"/>
  <c r="U46" i="6" a="1"/>
  <c r="H64" i="6" a="1"/>
  <c r="L71" i="6" a="1"/>
  <c r="U77" i="6" a="1"/>
  <c r="F65" i="6" a="1"/>
  <c r="C102" i="6" a="1"/>
  <c r="D65" i="6" a="1"/>
  <c r="C48" i="6" a="1"/>
  <c r="AA105" i="6" a="1"/>
  <c r="P85" i="6" a="1"/>
  <c r="L41" i="6" a="1"/>
  <c r="V72" i="6" a="1"/>
  <c r="R52" i="6" a="1"/>
  <c r="G73" i="6" a="1"/>
  <c r="AA58" i="6" a="1"/>
  <c r="L109" i="6" a="1"/>
  <c r="D78" i="6" a="1"/>
  <c r="Z68" i="6" a="1"/>
  <c r="S102" i="6" a="1"/>
  <c r="U31" i="6" a="1"/>
  <c r="X55" i="6" a="1"/>
  <c r="Q12" i="6" a="1"/>
  <c r="G83" i="6" a="1"/>
  <c r="P97" i="6" a="1"/>
  <c r="L94" i="6" a="1"/>
  <c r="AD15" i="6" a="1"/>
  <c r="J61" i="6" a="1"/>
  <c r="AA99" i="6" a="1"/>
  <c r="I50" i="2" a="1"/>
  <c r="E36" i="2" a="1"/>
  <c r="T10" i="2" a="1"/>
  <c r="E42" i="2" a="1"/>
  <c r="O12" i="2" a="1"/>
  <c r="N3" i="2" a="1"/>
  <c r="G39" i="2" a="1"/>
  <c r="E16" i="2" a="1"/>
  <c r="Q4" i="2" a="1"/>
  <c r="M35" i="2" a="1"/>
  <c r="P13" i="2" a="1"/>
  <c r="J9" i="2" a="1"/>
  <c r="O22" i="2" a="1"/>
  <c r="G11" i="2" a="1"/>
  <c r="F14" i="2" a="1"/>
  <c r="O31" i="2" a="1"/>
  <c r="J15" i="2" a="1"/>
  <c r="Z94" i="6" a="1"/>
  <c r="P107" i="6" a="1"/>
  <c r="AA100" i="6" a="1"/>
  <c r="T100" i="6" a="1"/>
  <c r="J81" i="6" a="1"/>
  <c r="Z60" i="6" a="1"/>
  <c r="F105" i="6" a="1"/>
  <c r="AE109" i="6" a="1"/>
  <c r="V107" i="6" a="1"/>
  <c r="Z40" i="6" a="1"/>
  <c r="E56" i="6" a="1"/>
  <c r="M102" i="6" a="1"/>
  <c r="I106" i="6" a="1"/>
  <c r="M86" i="6" a="1"/>
  <c r="D108" i="6" a="1"/>
  <c r="Q103" i="6" a="1"/>
  <c r="Q105" i="6" a="1"/>
  <c r="X50" i="6" a="1"/>
  <c r="Y64" i="6" a="1"/>
  <c r="S71" i="6" a="1"/>
  <c r="Q81" i="6" a="1"/>
  <c r="C72" i="6" a="1"/>
  <c r="AA84" i="6" a="1"/>
  <c r="G104" i="6" a="1"/>
  <c r="AA79" i="6" a="1"/>
  <c r="U90" i="6" a="1"/>
  <c r="AE79" i="6" a="1"/>
  <c r="AA108" i="6" a="1"/>
  <c r="G94" i="6" a="1"/>
  <c r="R85" i="6" a="1"/>
  <c r="R69" i="6" a="1"/>
  <c r="Y67" i="6" a="1"/>
  <c r="N85" i="6" a="1"/>
  <c r="C85" i="6" a="1"/>
  <c r="S109" i="6" a="1"/>
  <c r="I100" i="6" a="1"/>
  <c r="V91" i="6" a="1"/>
  <c r="F106" i="6" a="1"/>
  <c r="N65" i="6" a="1"/>
  <c r="V105" i="6" a="1"/>
  <c r="Y90" i="6" a="1"/>
  <c r="AD95" i="6" a="1"/>
  <c r="V69" i="6" a="1"/>
  <c r="G31" i="6" a="1"/>
  <c r="R107" i="6" a="1"/>
  <c r="S58" i="6" a="1"/>
  <c r="D99" i="6" a="1"/>
  <c r="M91" i="6" a="1"/>
  <c r="X68" i="6" a="1"/>
  <c r="AE106" i="6" a="1"/>
  <c r="AC84" i="6" a="1"/>
  <c r="S101" i="6" a="1"/>
  <c r="L57" i="6" a="1"/>
  <c r="J95" i="6" a="1"/>
  <c r="AB3" i="6" a="1"/>
  <c r="AA59" i="6" a="1"/>
  <c r="P99" i="6" a="1"/>
  <c r="Y99" i="6" a="1"/>
  <c r="K57" i="6" a="1"/>
  <c r="M82" i="6" a="1"/>
  <c r="G106" i="6" a="1"/>
  <c r="Z101" i="6" a="1"/>
  <c r="H63" i="6" a="1"/>
  <c r="U81" i="6" a="1"/>
  <c r="N41" i="6" a="1"/>
  <c r="C86" i="6" a="1"/>
  <c r="H103" i="6" a="1"/>
  <c r="Z99" i="6" a="1"/>
  <c r="AD32" i="6" a="1"/>
  <c r="C104" i="6" a="1"/>
  <c r="I98" i="6" a="1"/>
  <c r="Y100" i="6" a="1"/>
  <c r="Z26" i="6" a="1"/>
  <c r="M62" i="6" a="1"/>
  <c r="AE72" i="6" a="1"/>
  <c r="W102" i="6" a="1"/>
  <c r="H70" i="6" a="1"/>
  <c r="AA41" i="6" a="1"/>
  <c r="D46" i="6" a="1"/>
  <c r="J40" i="6" a="1"/>
  <c r="P101" i="6" a="1"/>
  <c r="K77" i="6" a="1"/>
  <c r="H59" i="6" a="1"/>
  <c r="K25" i="6" a="1"/>
  <c r="L84" i="6" a="1"/>
  <c r="AA95" i="6" a="1"/>
  <c r="Z87" i="6" a="1"/>
  <c r="AE13" i="6" a="1"/>
  <c r="R30" i="6" a="1"/>
  <c r="Z32" i="6" a="1"/>
  <c r="L85" i="6" a="1"/>
  <c r="Q83" i="6" a="1"/>
  <c r="R79" i="6" a="1"/>
  <c r="J73" i="6" a="1"/>
  <c r="Q66" i="6" a="1"/>
  <c r="O97" i="6" a="1"/>
  <c r="Z108" i="6" a="1"/>
  <c r="I105" i="6" a="1"/>
  <c r="X47" i="6" a="1"/>
  <c r="N28" i="6" a="1"/>
  <c r="U93" i="6" a="1"/>
  <c r="AB104" i="6" a="1"/>
  <c r="X109" i="6" a="1"/>
  <c r="K17" i="6" a="1"/>
  <c r="AD109" i="6" a="1"/>
  <c r="C64" i="6" a="1"/>
  <c r="AA87" i="6" a="1"/>
  <c r="G19" i="6" a="1"/>
  <c r="V106" i="6" a="1"/>
  <c r="O21" i="6" a="1"/>
  <c r="K34" i="2" a="1"/>
  <c r="I34" i="2" a="1"/>
  <c r="H10" i="2" a="1"/>
  <c r="O39" i="2" a="1"/>
  <c r="C12" i="2" a="1"/>
  <c r="U6" i="2" a="1"/>
  <c r="K37" i="2" a="1"/>
  <c r="U14" i="2" a="1"/>
  <c r="E4" i="2" a="1"/>
  <c r="S31" i="2" a="1"/>
  <c r="D13" i="2" a="1"/>
  <c r="N4" i="2" a="1"/>
  <c r="K21" i="2" a="1"/>
  <c r="O10" i="2" a="1"/>
  <c r="R8" i="2" a="1"/>
  <c r="S29" i="2" a="1"/>
  <c r="R14" i="2" a="1"/>
  <c r="E104" i="6" a="1"/>
  <c r="F93" i="6" a="1"/>
  <c r="U100" i="6" a="1"/>
  <c r="T61" i="6" a="1"/>
  <c r="AA71" i="6" a="1"/>
  <c r="K108" i="6" a="1"/>
  <c r="P63" i="6" a="1"/>
  <c r="H100" i="6" a="1"/>
  <c r="S69" i="6" a="1"/>
  <c r="O103" i="6" a="1"/>
  <c r="N77" i="6" a="1"/>
  <c r="H78" i="6" a="1"/>
  <c r="Y98" i="6" a="1"/>
  <c r="R101" i="6" a="1"/>
  <c r="N79" i="6" a="1"/>
  <c r="P73" i="6" a="1"/>
  <c r="U71" i="6" a="1"/>
  <c r="U97" i="6" a="1"/>
  <c r="G108" i="6" a="1"/>
  <c r="K75" i="6" a="1"/>
  <c r="M98" i="6" a="1"/>
  <c r="K72" i="6" a="1"/>
  <c r="G66" i="6" a="1"/>
  <c r="C95" i="6" a="1"/>
  <c r="F62" i="6" a="1"/>
  <c r="S97" i="6" a="1"/>
  <c r="M93" i="6" a="1"/>
  <c r="D89" i="6" a="1"/>
  <c r="AB86" i="6" a="1"/>
  <c r="AC106" i="6" a="1"/>
  <c r="AB108" i="6" a="1"/>
  <c r="J47" i="6" a="1"/>
  <c r="M77" i="6" a="1"/>
  <c r="N91" i="6" a="1"/>
  <c r="X79" i="6" a="1"/>
  <c r="AC89" i="6" a="1"/>
  <c r="Q76" i="6" a="1"/>
  <c r="E92" i="6" a="1"/>
  <c r="M109" i="6" a="1"/>
  <c r="G70" i="6" a="1"/>
  <c r="U102" i="6" a="1"/>
  <c r="E105" i="6" a="1"/>
  <c r="AC79" i="6" a="1"/>
  <c r="AC55" i="6" a="1"/>
  <c r="AE61" i="6" a="1"/>
  <c r="G87" i="6" a="1"/>
  <c r="D68" i="6" a="1"/>
  <c r="O84" i="6" a="1"/>
  <c r="H79" i="6" a="1"/>
  <c r="N81" i="6" a="1"/>
  <c r="AE59" i="6" a="1"/>
  <c r="U91" i="6" a="1"/>
  <c r="E82" i="6" a="1"/>
  <c r="X100" i="6" a="1"/>
  <c r="W13" i="6" a="1"/>
  <c r="G95" i="6" a="1"/>
  <c r="K68" i="6" a="1"/>
  <c r="V96" i="6" a="1"/>
  <c r="W40" i="6" a="1"/>
  <c r="Q61" i="6" a="1"/>
  <c r="AA54" i="6" a="1"/>
  <c r="O92" i="6" a="1"/>
  <c r="M55" i="6" a="1"/>
  <c r="J105" i="6" a="1"/>
  <c r="N57" i="6" a="1"/>
  <c r="AD93" i="6" a="1"/>
  <c r="C76" i="6" a="1"/>
  <c r="T106" i="6" a="1"/>
  <c r="Y108" i="6" a="1"/>
  <c r="T107" i="6" a="1"/>
  <c r="E50" i="6" a="1"/>
  <c r="F86" i="6" a="1"/>
  <c r="J46" i="6" a="1"/>
  <c r="C101" i="6" a="1"/>
  <c r="F69" i="6" a="1"/>
  <c r="D97" i="6" a="1"/>
  <c r="Z65" i="6" a="1"/>
  <c r="J13" i="6" a="1"/>
  <c r="W45" i="6" a="1"/>
  <c r="C20" i="6" a="1"/>
  <c r="N101" i="6" a="1"/>
  <c r="Y57" i="6" a="1"/>
  <c r="AE87" i="6" a="1"/>
  <c r="Y16" i="6" a="1"/>
  <c r="T69" i="6" a="1"/>
  <c r="Z85" i="6" a="1"/>
  <c r="AD70" i="6" a="1"/>
  <c r="X23" i="6" a="1"/>
  <c r="S54" i="6" a="1"/>
  <c r="P12" i="6" a="1"/>
  <c r="R61" i="6" a="1"/>
  <c r="C105" i="6" a="1"/>
  <c r="L59" i="6" a="1"/>
  <c r="D39" i="6" a="1"/>
  <c r="L86" i="6" a="1"/>
  <c r="N90" i="6" a="1"/>
  <c r="Z98" i="6" a="1"/>
  <c r="W74" i="6" a="1"/>
  <c r="N62" i="6" a="1"/>
  <c r="F3" i="6" a="1"/>
  <c r="K56" i="6" a="1"/>
  <c r="P83" i="6" a="1"/>
  <c r="D82" i="6" a="1"/>
  <c r="AE28" i="6" a="1"/>
  <c r="Q77" i="6" a="1"/>
  <c r="AD56" i="6" a="1"/>
  <c r="S56" i="6" a="1"/>
  <c r="Q3" i="6" a="1"/>
  <c r="AB82" i="6" a="1"/>
  <c r="Q33" i="6" a="1"/>
  <c r="U28" i="2" a="1"/>
  <c r="C27" i="2" a="1"/>
  <c r="T7" i="2" a="1"/>
  <c r="I32" i="2" a="1"/>
  <c r="O9" i="2" a="1"/>
  <c r="D34" i="2" a="1"/>
  <c r="Q33" i="2" a="1"/>
  <c r="Q13" i="2" a="1"/>
  <c r="P4" i="2" a="1"/>
  <c r="G28" i="2" a="1"/>
  <c r="T11" i="2" a="1"/>
  <c r="M13" i="2" a="1"/>
  <c r="C19" i="2" a="1"/>
  <c r="C10" i="2" a="1"/>
  <c r="V3" i="2" a="1"/>
  <c r="C28" i="2" a="1"/>
  <c r="N13" i="2" a="1"/>
  <c r="AE103" i="6" a="1"/>
  <c r="Q107" i="6" a="1"/>
  <c r="T109" i="6" a="1"/>
  <c r="L55" i="6" a="1"/>
  <c r="AB101" i="6" a="1"/>
  <c r="L108" i="6" a="1"/>
  <c r="E54" i="6" a="1"/>
  <c r="R98" i="6" a="1"/>
  <c r="L64" i="6" a="1"/>
  <c r="E86" i="6" a="1"/>
  <c r="T102" i="6" a="1"/>
  <c r="AD81" i="6" a="1"/>
  <c r="AE60" i="6" a="1"/>
  <c r="AD64" i="6" a="1"/>
  <c r="AC61" i="6" a="1"/>
  <c r="S96" i="6" a="1"/>
  <c r="W62" i="6" a="1"/>
  <c r="U104" i="6" a="1"/>
  <c r="F100" i="6" a="1"/>
  <c r="I101" i="6" a="1"/>
  <c r="D109" i="6" a="1"/>
  <c r="D104" i="6" a="1"/>
  <c r="M67" i="6" a="1"/>
  <c r="D64" i="6" a="1"/>
  <c r="Z73" i="6" a="1"/>
  <c r="E79" i="6" a="1"/>
  <c r="J108" i="6" a="1"/>
  <c r="H81" i="6" a="1"/>
  <c r="Y95" i="6" a="1"/>
  <c r="L104" i="6" a="1"/>
  <c r="M101" i="6" a="1"/>
  <c r="AA107" i="6" a="1"/>
  <c r="Z91" i="6" a="1"/>
  <c r="AD57" i="6" a="1"/>
  <c r="AB63" i="6" a="1"/>
  <c r="V66" i="6" a="1"/>
  <c r="W93" i="6" a="1"/>
  <c r="Z103" i="6" a="1"/>
  <c r="W97" i="6" a="1"/>
  <c r="M48" i="6" a="1"/>
  <c r="C84" i="6" a="1"/>
  <c r="W107" i="6" a="1"/>
  <c r="C67" i="6" a="1"/>
  <c r="O24" i="6" a="1"/>
  <c r="T99" i="6" a="1"/>
  <c r="G100" i="6" a="1"/>
  <c r="AC66" i="6" a="1"/>
  <c r="Q87" i="6" a="1"/>
  <c r="Z76" i="6" a="1"/>
  <c r="AA91" i="6" a="1"/>
  <c r="K106" i="6" a="1"/>
  <c r="C82" i="6" a="1"/>
  <c r="Q51" i="6" a="1"/>
  <c r="H87" i="6" a="1"/>
  <c r="F95" i="6" a="1"/>
  <c r="R83" i="6" a="1"/>
  <c r="I67" i="6" a="1"/>
  <c r="U94" i="6" a="1"/>
  <c r="V103" i="6" a="1"/>
  <c r="AB89" i="6" a="1"/>
  <c r="F74" i="6" a="1"/>
  <c r="K82" i="6" a="1"/>
  <c r="E99" i="6" a="1"/>
  <c r="AE96" i="6" a="1"/>
  <c r="Y31" i="6" a="1"/>
  <c r="J87" i="6" a="1"/>
  <c r="N68" i="6" a="1"/>
  <c r="U62" i="6" a="1"/>
  <c r="K93" i="6" a="1"/>
  <c r="H73" i="6" a="1"/>
  <c r="AC85" i="6" a="1"/>
  <c r="AD105" i="6" a="1"/>
  <c r="V19" i="6" a="1"/>
  <c r="M107" i="6" a="1"/>
  <c r="S42" i="6" a="1"/>
  <c r="T52" i="6" a="1"/>
  <c r="U24" i="6" a="1"/>
  <c r="H72" i="6" a="1"/>
  <c r="J35" i="6" a="1"/>
  <c r="O7" i="6" a="1"/>
  <c r="AA90" i="6" a="1"/>
  <c r="C15" i="6" a="1"/>
  <c r="P53" i="6" a="1"/>
  <c r="AB5" i="6" a="1"/>
  <c r="AB51" i="6" a="1"/>
  <c r="AE50" i="6" a="1"/>
  <c r="AE67" i="6" a="1"/>
  <c r="AA38" i="6" a="1"/>
  <c r="T23" i="6" a="1"/>
  <c r="E53" i="6" a="1"/>
  <c r="AB64" i="6" a="1"/>
  <c r="AD74" i="6" a="1"/>
  <c r="X92" i="6" a="1"/>
  <c r="AA30" i="6" a="1"/>
  <c r="H94" i="6" a="1"/>
  <c r="C106" i="6" a="1"/>
  <c r="S81" i="6" a="1"/>
  <c r="AB54" i="6" a="1"/>
  <c r="M10" i="6" a="1"/>
  <c r="AD73" i="6" a="1"/>
  <c r="AA29" i="6" a="1"/>
  <c r="D81" i="6" a="1"/>
  <c r="V94" i="6" a="1"/>
  <c r="N36" i="6" a="1"/>
  <c r="U47" i="6" a="1"/>
  <c r="AB97" i="6" a="1"/>
  <c r="D95" i="6" a="1"/>
  <c r="AE53" i="6" a="1"/>
  <c r="AD62" i="6" a="1"/>
  <c r="AE21" i="6" a="1"/>
  <c r="N6" i="6" a="1"/>
  <c r="T46" i="6" a="1"/>
  <c r="C7" i="6" a="1"/>
  <c r="G23" i="2" a="1"/>
  <c r="F23" i="2" a="1"/>
  <c r="D6" i="2" a="1"/>
  <c r="U26" i="2" a="1"/>
  <c r="S7" i="2" a="1"/>
  <c r="O28" i="2" a="1"/>
  <c r="E30" i="2" a="1"/>
  <c r="U11" i="2" a="1"/>
  <c r="F11" i="2" a="1"/>
  <c r="U23" i="2" a="1"/>
  <c r="P10" i="2" a="1"/>
  <c r="Q46" i="2" a="1"/>
  <c r="G17" i="2" a="1"/>
  <c r="O7" i="2" a="1"/>
  <c r="E14" i="2" a="1"/>
  <c r="V24" i="2" a="1"/>
  <c r="J12" i="2" a="1"/>
  <c r="X71" i="6" a="1"/>
  <c r="I55" i="6" a="1"/>
  <c r="V90" i="6" a="1"/>
  <c r="L102" i="6" a="1"/>
  <c r="E71" i="6" a="1"/>
  <c r="Z55" i="6" a="1"/>
  <c r="R48" i="6" a="1"/>
  <c r="Q70" i="6" a="1"/>
  <c r="M100" i="6" a="1"/>
  <c r="T78" i="6" a="1"/>
  <c r="T94" i="6" a="1"/>
  <c r="W95" i="6" a="1"/>
  <c r="K100" i="6" a="1"/>
  <c r="K44" i="6" a="1"/>
  <c r="K66" i="6" a="1"/>
  <c r="U76" i="6" a="1"/>
  <c r="D43" i="6" a="1"/>
  <c r="AD97" i="6" a="1"/>
  <c r="U95" i="6" a="1"/>
  <c r="F90" i="6" a="1"/>
  <c r="AD101" i="6" a="1"/>
  <c r="S85" i="6" a="1"/>
  <c r="N95" i="6" a="1"/>
  <c r="E108" i="6" a="1"/>
  <c r="C47" i="6" a="1"/>
  <c r="L105" i="6" a="1"/>
  <c r="F83" i="6" a="1"/>
  <c r="X65" i="6" a="1"/>
  <c r="O80" i="6" a="1"/>
  <c r="F49" i="6" a="1"/>
  <c r="I95" i="6" a="1"/>
  <c r="Z82" i="6" a="1"/>
  <c r="D107" i="6" a="1"/>
  <c r="E103" i="6" a="1"/>
  <c r="S93" i="6" a="1"/>
  <c r="Z107" i="6" a="1"/>
  <c r="D86" i="6" a="1"/>
  <c r="K76" i="6" a="1"/>
  <c r="C68" i="6" a="1"/>
  <c r="T89" i="6" a="1"/>
  <c r="I86" i="6" a="1"/>
  <c r="M72" i="6" a="1"/>
  <c r="H109" i="6" a="1"/>
  <c r="F28" i="6" a="1"/>
  <c r="O76" i="6" a="1"/>
  <c r="O89" i="6" a="1"/>
  <c r="U98" i="6" a="1"/>
  <c r="U70" i="6" a="1"/>
  <c r="L93" i="6" a="1"/>
  <c r="R102" i="6" a="1"/>
  <c r="L88" i="6" a="1"/>
  <c r="Z75" i="6" a="1"/>
  <c r="E101" i="6" a="1"/>
  <c r="N46" i="6" a="1"/>
  <c r="E68" i="6" a="1"/>
  <c r="D102" i="6" a="1"/>
  <c r="N105" i="6" a="1"/>
  <c r="N66" i="6" a="1"/>
  <c r="X96" i="6" a="1"/>
  <c r="O86" i="6" a="1"/>
  <c r="P36" i="6" a="1"/>
  <c r="J76" i="6" a="1"/>
  <c r="F88" i="6" a="1"/>
  <c r="S40" i="6" a="1"/>
  <c r="K18" i="6" a="1"/>
  <c r="N93" i="6" a="1"/>
  <c r="W105" i="6" a="1"/>
  <c r="D83" i="6" a="1"/>
  <c r="V104" i="6" a="1"/>
  <c r="X84" i="6" a="1"/>
  <c r="U79" i="6" a="1"/>
  <c r="O96" i="6" a="1"/>
  <c r="D35" i="6" a="1"/>
  <c r="J82" i="6" a="1"/>
  <c r="D96" i="6" a="1"/>
  <c r="D77" i="6" a="1"/>
  <c r="E31" i="6" a="1"/>
  <c r="Z53" i="6" a="1"/>
  <c r="V18" i="6" a="1"/>
  <c r="AE44" i="6" a="1"/>
  <c r="Q80" i="6" a="1"/>
  <c r="F50" i="6" a="1"/>
  <c r="U73" i="6" a="1"/>
  <c r="AB71" i="6" a="1"/>
  <c r="N89" i="6" a="1"/>
  <c r="P55" i="6" a="1"/>
  <c r="L81" i="6" a="1"/>
  <c r="AA21" i="6" a="1"/>
  <c r="Q27" i="6" a="1"/>
  <c r="C46" i="6" a="1"/>
  <c r="AA61" i="6" a="1"/>
  <c r="L66" i="6" a="1"/>
  <c r="AA62" i="6" a="1"/>
  <c r="H26" i="6" a="1"/>
  <c r="AB107" i="6" a="1"/>
  <c r="I64" i="6" a="1"/>
  <c r="H102" i="6" a="1"/>
  <c r="E96" i="6" a="1"/>
  <c r="AA33" i="6" a="1"/>
  <c r="D52" i="6" a="1"/>
  <c r="E15" i="6" a="1"/>
  <c r="Y63" i="6" a="1"/>
  <c r="AD67" i="6" a="1"/>
  <c r="W30" i="6" a="1"/>
  <c r="M75" i="6" a="1"/>
  <c r="AD77" i="6" a="1"/>
  <c r="M51" i="6" a="1"/>
  <c r="E45" i="6" a="1"/>
  <c r="M64" i="6" a="1"/>
  <c r="P64" i="6" a="1"/>
  <c r="Q34" i="6" a="1"/>
  <c r="F20" i="6" a="1"/>
  <c r="V33" i="6" a="1"/>
  <c r="W44" i="6" a="1"/>
  <c r="S23" i="6" a="1"/>
  <c r="U5" i="6" a="1"/>
  <c r="I25" i="6" a="1"/>
  <c r="K7" i="6" a="1"/>
  <c r="T82" i="6" a="1"/>
  <c r="Y49" i="6" a="1"/>
  <c r="W10" i="6" a="1"/>
  <c r="J12" i="6" a="1"/>
  <c r="T70" i="6" a="1"/>
  <c r="AC77" i="6" a="1"/>
  <c r="H45" i="6" a="1"/>
  <c r="M89" i="6" a="1"/>
  <c r="U68" i="6" a="1"/>
  <c r="Q48" i="6" a="1"/>
  <c r="W9" i="6" a="1"/>
  <c r="AA70" i="6" a="1"/>
  <c r="AD19" i="6" a="1"/>
  <c r="X9" i="6" a="1"/>
  <c r="AB28" i="6" a="1"/>
  <c r="D26" i="6" a="1"/>
  <c r="AA73" i="6" a="1"/>
  <c r="AE27" i="6" a="1"/>
  <c r="AC98" i="6" a="1"/>
  <c r="I22" i="6" a="1"/>
  <c r="AB20" i="6" a="1"/>
  <c r="I34" i="6" a="1"/>
  <c r="X70" i="6" a="1"/>
  <c r="P52" i="6" a="1"/>
  <c r="AA5" i="6" a="1"/>
  <c r="K24" i="2" a="1"/>
  <c r="S17" i="2" a="1"/>
  <c r="Y70" i="6" a="1"/>
  <c r="C70" i="6" a="1"/>
  <c r="Y91" i="6" a="1"/>
  <c r="X75" i="6" a="1"/>
  <c r="G96" i="6" a="1"/>
  <c r="L45" i="6" a="1"/>
  <c r="Z20" i="6" a="1"/>
  <c r="S75" i="6" a="1"/>
  <c r="X62" i="6" a="1"/>
  <c r="S3" i="6" a="1"/>
  <c r="C98" i="6" a="1"/>
  <c r="Y22" i="6" a="1"/>
  <c r="R46" i="6" a="1"/>
  <c r="AC15" i="6" a="1"/>
  <c r="E4" i="6" a="1"/>
  <c r="D75" i="6" a="1"/>
  <c r="AD94" i="6" a="1"/>
  <c r="AE19" i="6" a="1"/>
  <c r="AB52" i="6" a="1"/>
  <c r="H86" i="6" a="1"/>
  <c r="X54" i="6" a="1"/>
  <c r="AD40" i="6" a="1"/>
  <c r="AA98" i="6" a="1"/>
  <c r="X43" i="6" a="1"/>
  <c r="H56" i="6" a="1"/>
  <c r="U49" i="6" a="1"/>
  <c r="G58" i="6" a="1"/>
  <c r="N32" i="6" a="1"/>
  <c r="N12" i="6" a="1"/>
  <c r="K9" i="6" a="1"/>
  <c r="O29" i="6" a="1"/>
  <c r="I44" i="6" a="1"/>
  <c r="O54" i="6" a="1"/>
  <c r="H58" i="6" a="1"/>
  <c r="AD53" i="6" a="1"/>
  <c r="R105" i="6" a="1"/>
  <c r="N67" i="6" a="1"/>
  <c r="F73" i="6" a="1"/>
  <c r="Q95" i="6" a="1"/>
  <c r="R106" i="6" a="1"/>
  <c r="C59" i="6" a="1"/>
  <c r="P18" i="6" a="1"/>
  <c r="R33" i="6" a="1"/>
  <c r="V53" i="6" a="1"/>
  <c r="Y84" i="6" a="1"/>
  <c r="I6" i="6" a="1"/>
  <c r="H92" i="6" a="1"/>
  <c r="K5" i="6" a="1"/>
  <c r="P109" i="6" a="1"/>
  <c r="J60" i="6" a="1"/>
  <c r="AB11" i="6" a="1"/>
  <c r="H14" i="6" a="1"/>
  <c r="Q52" i="6" a="1"/>
  <c r="T98" i="6" a="1"/>
  <c r="F15" i="6" a="1"/>
  <c r="P56" i="6" a="1"/>
  <c r="J30" i="6" a="1"/>
  <c r="AE31" i="6" a="1"/>
  <c r="W14" i="6" a="1"/>
  <c r="AA81" i="6" a="1"/>
  <c r="X45" i="6" a="1"/>
  <c r="F24" i="6" a="1"/>
  <c r="O26" i="6" a="1"/>
  <c r="C32" i="6" a="1"/>
  <c r="E3" i="6" a="1"/>
  <c r="X72" i="6" a="1"/>
  <c r="Q18" i="6" a="1"/>
  <c r="L22" i="6" a="1"/>
  <c r="AC4" i="6" a="1"/>
  <c r="D25" i="6" a="1"/>
  <c r="S73" i="6" a="1"/>
  <c r="X91" i="6" a="1"/>
  <c r="I59" i="6" a="1"/>
  <c r="Z10" i="6" a="1"/>
  <c r="O31" i="6" a="1"/>
  <c r="AB56" i="6" a="1"/>
  <c r="R29" i="6" a="1"/>
  <c r="L14" i="6" a="1"/>
  <c r="K32" i="6" a="1"/>
  <c r="G26" i="6" a="1"/>
  <c r="P23" i="6" a="1"/>
  <c r="G81" i="6" a="1"/>
  <c r="Q4" i="6" a="1"/>
  <c r="E5" i="6" a="1"/>
  <c r="E44" i="6" a="1"/>
  <c r="AE57" i="6" a="1"/>
  <c r="P3" i="6" a="1"/>
  <c r="Q20" i="6" a="1"/>
  <c r="AC28" i="6" a="1"/>
  <c r="AE90" i="6" a="1"/>
  <c r="U37" i="6" a="1"/>
  <c r="Y102" i="6" a="1"/>
  <c r="D41" i="6" a="1"/>
  <c r="D17" i="6" a="1"/>
  <c r="H7" i="6" a="1"/>
  <c r="K45" i="6" a="1"/>
  <c r="AB26" i="6" a="1"/>
  <c r="O45" i="6" a="1"/>
  <c r="R40" i="6" a="1"/>
  <c r="N63" i="6" a="1"/>
  <c r="S46" i="6" a="1"/>
  <c r="L9" i="6" a="1"/>
  <c r="D55" i="6" a="1"/>
  <c r="AC17" i="6" a="1"/>
  <c r="AE10" i="6" a="1"/>
  <c r="G38" i="6" a="1"/>
  <c r="AA18" i="6" a="1"/>
  <c r="J5" i="6" a="1"/>
  <c r="X59" i="6" a="1"/>
  <c r="M20" i="6" a="1"/>
  <c r="P106" i="6" a="1"/>
  <c r="AE62" i="6" a="1"/>
  <c r="R60" i="6" a="1"/>
  <c r="P17" i="6" a="1"/>
  <c r="J42" i="6" a="1"/>
  <c r="S33" i="6" a="1"/>
  <c r="J59" i="6" a="1"/>
  <c r="P58" i="6" a="1"/>
  <c r="C81" i="6" a="1"/>
  <c r="J27" i="6" a="1"/>
  <c r="E74" i="6" a="1"/>
  <c r="R2" i="6" a="1"/>
  <c r="K53" i="6" a="1"/>
  <c r="W16" i="6" a="1"/>
  <c r="L36" i="6" a="1"/>
  <c r="Y85" i="6" a="1"/>
  <c r="K55" i="6" a="1"/>
  <c r="M29" i="6" a="1"/>
  <c r="J75" i="6" a="1"/>
  <c r="T19" i="6" a="1"/>
  <c r="J8" i="6" a="1"/>
  <c r="S32" i="6" a="1"/>
  <c r="AA44" i="6" a="1"/>
  <c r="P34" i="6" a="1"/>
  <c r="X37" i="6" a="1"/>
  <c r="F36" i="6" a="1"/>
  <c r="Y29" i="6" a="1"/>
  <c r="AC30" i="6" a="1"/>
  <c r="E2" i="6" a="1"/>
  <c r="M17" i="6" a="1"/>
  <c r="Y48" i="6" a="1"/>
  <c r="W60" i="6" a="1"/>
  <c r="AB16" i="6" a="1"/>
  <c r="V83" i="6" a="1"/>
  <c r="P39" i="6" a="1"/>
  <c r="Y27" i="6" a="1"/>
  <c r="L10" i="6" a="1"/>
  <c r="V49" i="6" a="1"/>
  <c r="AE2" i="6" a="1"/>
  <c r="N44" i="6" a="1"/>
  <c r="M80" i="6" a="1"/>
  <c r="Y52" i="6" a="1"/>
  <c r="AC2" i="4" a="1"/>
  <c r="W101" i="4" a="1"/>
  <c r="G62" i="4" a="1"/>
  <c r="J84" i="4" a="1"/>
  <c r="AE53" i="4" a="1"/>
  <c r="AE17" i="4" a="1"/>
  <c r="W3" i="4" a="1"/>
  <c r="O69" i="4" a="1"/>
  <c r="D6" i="4" a="1"/>
  <c r="M91" i="4" a="1"/>
  <c r="AD91" i="4" a="1"/>
  <c r="AE75" i="4" a="1"/>
  <c r="R27" i="4" a="1"/>
  <c r="H54" i="4" a="1"/>
  <c r="O76" i="4" a="1"/>
  <c r="AC91" i="4" a="1"/>
  <c r="AC98" i="4" a="1"/>
  <c r="AE87" i="4" a="1"/>
  <c r="AA59" i="4" a="1"/>
  <c r="L46" i="4" a="1"/>
  <c r="AB66" i="4" a="1"/>
  <c r="N47" i="4" a="1"/>
  <c r="D5" i="4" a="1"/>
  <c r="D72" i="4" a="1"/>
  <c r="Z10" i="4" a="1"/>
  <c r="I73" i="4" a="1"/>
  <c r="AC14" i="4" a="1"/>
  <c r="H85" i="4" a="1"/>
  <c r="Q45" i="4" a="1"/>
  <c r="E45" i="4" a="1"/>
  <c r="K40" i="4" a="1"/>
  <c r="AA102" i="4" a="1"/>
  <c r="F78" i="4" a="1"/>
  <c r="G52" i="4" a="1"/>
  <c r="K78" i="4" a="1"/>
  <c r="M5" i="4" a="1"/>
  <c r="M104" i="4" a="1"/>
  <c r="P61" i="4" a="1"/>
  <c r="AC99" i="4" a="1"/>
  <c r="J99" i="4" a="1"/>
  <c r="AA83" i="4" a="1"/>
  <c r="J41" i="4" a="1"/>
  <c r="G8" i="4" a="1"/>
  <c r="R59" i="4" a="1"/>
  <c r="D98" i="4" a="1"/>
  <c r="J91" i="4" a="1"/>
  <c r="V99" i="4" a="1"/>
  <c r="M82" i="4" a="1"/>
  <c r="Y33" i="4" a="1"/>
  <c r="L57" i="4" a="1"/>
  <c r="W90" i="4" a="1"/>
  <c r="Z53" i="4" a="1"/>
  <c r="N20" i="4" a="1"/>
  <c r="N13" i="4" a="1"/>
  <c r="R45" i="4" a="1"/>
  <c r="P4" i="4" a="1"/>
  <c r="W78" i="4" a="1"/>
  <c r="T5" i="4" a="1"/>
  <c r="I102" i="4" a="1"/>
  <c r="R90" i="4" a="1"/>
  <c r="R11" i="4" a="1"/>
  <c r="AE63" i="4" a="1"/>
  <c r="I96" i="4" a="1"/>
  <c r="AC64" i="4" a="1"/>
  <c r="O22" i="4" a="1"/>
  <c r="Y104" i="4" a="1"/>
  <c r="R93" i="4" a="1"/>
  <c r="R77" i="4" a="1"/>
  <c r="I12" i="4" a="1"/>
  <c r="T43" i="4" a="1"/>
  <c r="V89" i="4" a="1"/>
  <c r="L10" i="4" a="1"/>
  <c r="S81" i="4" a="1"/>
  <c r="AF13" i="4" a="1"/>
  <c r="N64" i="4" a="1"/>
  <c r="Q96" i="4" a="1"/>
  <c r="I65" i="4" a="1"/>
  <c r="H51" i="4" a="1"/>
  <c r="I67" i="4" a="1"/>
  <c r="M63" i="4" a="1"/>
  <c r="Z74" i="4" a="1"/>
  <c r="M49" i="4" a="1"/>
  <c r="G7" i="4" a="1"/>
  <c r="I44" i="4" a="1"/>
  <c r="M51" i="4" a="1"/>
  <c r="X101" i="4" a="1"/>
  <c r="Z48" i="4" a="1"/>
  <c r="D60" i="4" a="1"/>
  <c r="AB8" i="4" a="1"/>
  <c r="L17" i="4" a="1"/>
  <c r="F17" i="4" a="1"/>
  <c r="J24" i="2" a="1"/>
  <c r="S8" i="2" a="1"/>
  <c r="L79" i="6" a="1"/>
  <c r="P104" i="6" a="1"/>
  <c r="Q85" i="6" a="1"/>
  <c r="G109" i="6" a="1"/>
  <c r="I80" i="6" a="1"/>
  <c r="AC97" i="6" a="1"/>
  <c r="H71" i="6" a="1"/>
  <c r="G47" i="6" a="1"/>
  <c r="X46" i="6" a="1"/>
  <c r="W50" i="6" a="1"/>
  <c r="R65" i="6" a="1"/>
  <c r="AE12" i="6" a="1"/>
  <c r="D40" i="6" a="1"/>
  <c r="U43" i="6" a="1"/>
  <c r="I9" i="6" a="1"/>
  <c r="K74" i="6" a="1"/>
  <c r="J28" i="6" a="1"/>
  <c r="AE55" i="6" a="1"/>
  <c r="G40" i="6" a="1"/>
  <c r="I33" i="6" a="1"/>
  <c r="X29" i="6" a="1"/>
  <c r="W37" i="6" a="1"/>
  <c r="U103" i="6" a="1"/>
  <c r="U78" i="6" a="1"/>
  <c r="G25" i="6" a="1"/>
  <c r="I17" i="6" a="1"/>
  <c r="Q26" i="6" a="1"/>
  <c r="J57" i="6" a="1"/>
  <c r="F57" i="6" a="1"/>
  <c r="M16" i="6" a="1"/>
  <c r="AB36" i="6" a="1"/>
  <c r="V32" i="6" a="1"/>
  <c r="L53" i="6" a="1"/>
  <c r="Q68" i="6" a="1"/>
  <c r="G45" i="6" a="1"/>
  <c r="AE68" i="6" a="1"/>
  <c r="W64" i="6" a="1"/>
  <c r="W27" i="6" a="1"/>
  <c r="N70" i="6" a="1"/>
  <c r="W82" i="6" a="1"/>
  <c r="R42" i="6" a="1"/>
  <c r="E19" i="6" a="1"/>
  <c r="H42" i="6" a="1"/>
  <c r="U7" i="6" a="1"/>
  <c r="U51" i="6" a="1"/>
  <c r="Y3" i="6" a="1"/>
  <c r="C94" i="6" a="1"/>
  <c r="AD29" i="6" a="1"/>
  <c r="F82" i="6" a="1"/>
  <c r="AE48" i="6" a="1"/>
  <c r="R44" i="6" a="1"/>
  <c r="AC13" i="6" a="1"/>
  <c r="H9" i="6" a="1"/>
  <c r="M27" i="6" a="1"/>
  <c r="Z54" i="6" a="1"/>
  <c r="AD45" i="6" a="1"/>
  <c r="AA6" i="6" a="1"/>
  <c r="Z56" i="6" a="1"/>
  <c r="K8" i="6" a="1"/>
  <c r="T79" i="6" a="1"/>
  <c r="Z15" i="6" a="1"/>
  <c r="L15" i="6" a="1"/>
  <c r="AC23" i="6" a="1"/>
  <c r="U19" i="6" a="1"/>
  <c r="I18" i="6" a="1"/>
  <c r="H10" i="6" a="1"/>
  <c r="N27" i="6" a="1"/>
  <c r="P100" i="6" a="1"/>
  <c r="U44" i="6" a="1"/>
  <c r="O105" i="6" a="1"/>
  <c r="AC88" i="6" a="1"/>
  <c r="M90" i="6" a="1"/>
  <c r="K47" i="6" a="1"/>
  <c r="G16" i="6" a="1"/>
  <c r="AD21" i="6" a="1"/>
  <c r="N42" i="6" a="1"/>
  <c r="AE6" i="6" a="1"/>
  <c r="H28" i="6" a="1"/>
  <c r="AD49" i="6" a="1"/>
  <c r="I8" i="6" a="1"/>
  <c r="H91" i="6" a="1"/>
  <c r="I45" i="6" a="1"/>
  <c r="I60" i="6" a="1"/>
  <c r="G37" i="6" a="1"/>
  <c r="S50" i="6" a="1"/>
  <c r="C92" i="6" a="1"/>
  <c r="N76" i="6" a="1"/>
  <c r="AB45" i="6" a="1"/>
  <c r="C96" i="6" a="1"/>
  <c r="P90" i="6" a="1"/>
  <c r="C109" i="6" a="1"/>
  <c r="AC51" i="6" a="1"/>
  <c r="T42" i="6" a="1"/>
  <c r="Q41" i="6" a="1"/>
  <c r="E49" i="6" a="1"/>
  <c r="N30" i="6" a="1"/>
  <c r="Q17" i="6" a="1"/>
  <c r="AB58" i="6" a="1"/>
  <c r="O33" i="6" a="1"/>
  <c r="K12" i="6" a="1"/>
  <c r="N104" i="6" a="1"/>
  <c r="AD6" i="6" a="1"/>
  <c r="V20" i="6" a="1"/>
  <c r="S61" i="6" a="1"/>
  <c r="C53" i="6" a="1"/>
  <c r="F17" i="6" a="1"/>
  <c r="D34" i="6" a="1"/>
  <c r="T12" i="6" a="1"/>
  <c r="AD86" i="6" a="1"/>
  <c r="I7" i="6" a="1"/>
  <c r="U59" i="6" a="1"/>
  <c r="O20" i="6" a="1"/>
  <c r="AA37" i="6" a="1"/>
  <c r="W26" i="6" a="1"/>
  <c r="C43" i="6" a="1"/>
  <c r="O14" i="6" a="1"/>
  <c r="T55" i="6" a="1"/>
  <c r="K11" i="6" a="1"/>
  <c r="J2" i="6" a="1"/>
  <c r="E26" i="6" a="1"/>
  <c r="X20" i="6" a="1"/>
  <c r="K63" i="6" a="1"/>
  <c r="O94" i="6" a="1"/>
  <c r="T75" i="6" a="1"/>
  <c r="D28" i="6" a="1"/>
  <c r="Q29" i="6" a="1"/>
  <c r="Y68" i="6" a="1"/>
  <c r="W23" i="6" a="1"/>
  <c r="AB9" i="6" a="1"/>
  <c r="U45" i="6" a="1"/>
  <c r="W58" i="6" a="1"/>
  <c r="K16" i="6" a="1"/>
  <c r="Y106" i="6" a="1"/>
  <c r="P79" i="6" a="1"/>
  <c r="R16" i="6" a="1"/>
  <c r="Y66" i="6" a="1"/>
  <c r="AE5" i="6" a="1"/>
  <c r="AE20" i="6" a="1"/>
  <c r="P65" i="6" a="1"/>
  <c r="E35" i="6" a="1"/>
  <c r="AD85" i="6" a="1"/>
  <c r="I49" i="6" a="1"/>
  <c r="K24" i="6" a="1"/>
  <c r="P20" i="6" a="1"/>
  <c r="AE14" i="6" a="1"/>
  <c r="H68" i="6" a="1"/>
  <c r="K10" i="6" a="1"/>
  <c r="AA48" i="6" a="1"/>
  <c r="AD43" i="6" a="1"/>
  <c r="K31" i="4" a="1"/>
  <c r="Y18" i="4" a="1"/>
  <c r="V60" i="4" a="1"/>
  <c r="U63" i="4" a="1"/>
  <c r="AF23" i="4" a="1"/>
  <c r="I92" i="4" a="1"/>
  <c r="R80" i="4" a="1"/>
  <c r="Z71" i="4" a="1"/>
  <c r="AF39" i="4" a="1"/>
  <c r="AC108" i="4" a="1"/>
  <c r="R96" i="4" a="1"/>
  <c r="AE64" i="4" a="1"/>
  <c r="H36" i="4" a="1"/>
  <c r="D12" i="4" a="1"/>
  <c r="AA36" i="4" a="1"/>
  <c r="Z28" i="4" a="1"/>
  <c r="AD7" i="4" a="1"/>
  <c r="AD76" i="4" a="1"/>
  <c r="Y24" i="4" a="1"/>
  <c r="S13" i="4" a="1"/>
  <c r="X90" i="4" a="1"/>
  <c r="AA35" i="4" a="1"/>
  <c r="J74" i="4" a="1"/>
  <c r="I94" i="4" a="1"/>
  <c r="Y48" i="4" a="1"/>
  <c r="L58" i="4" a="1"/>
  <c r="K73" i="4" a="1"/>
  <c r="AB83" i="4" a="1"/>
  <c r="P19" i="4" a="1"/>
  <c r="AB87" i="4" a="1"/>
  <c r="X2" i="4" a="1"/>
  <c r="AD98" i="4" a="1"/>
  <c r="P97" i="4" a="1"/>
  <c r="AF4" i="4" a="1"/>
  <c r="L107" i="4" a="1"/>
  <c r="X57" i="4" a="1"/>
  <c r="I9" i="4" a="1"/>
  <c r="W4" i="4" a="1"/>
  <c r="O67" i="4" a="1"/>
  <c r="U88" i="4" a="1"/>
  <c r="D51" i="4" a="1"/>
  <c r="O38" i="4" a="1"/>
  <c r="J17" i="4" a="1"/>
  <c r="Z108" i="4" a="1"/>
  <c r="AE102" i="4" a="1"/>
  <c r="W11" i="4" a="1"/>
  <c r="L100" i="4" a="1"/>
  <c r="L47" i="4" a="1"/>
  <c r="R38" i="4" a="1"/>
  <c r="AE73" i="4" a="1"/>
  <c r="V79" i="4" a="1"/>
  <c r="Z51" i="4" a="1"/>
  <c r="AA25" i="4" a="1"/>
  <c r="J93" i="4" a="1"/>
  <c r="V32" i="4" a="1"/>
  <c r="Y2" i="4" a="1"/>
  <c r="O3" i="4" a="1"/>
  <c r="J21" i="4" a="1"/>
  <c r="X55" i="4" a="1"/>
  <c r="M61" i="4" a="1"/>
  <c r="M75" i="4" a="1"/>
  <c r="N75" i="4" a="1"/>
  <c r="Z88" i="4" a="1"/>
  <c r="U93" i="4" a="1"/>
  <c r="H37" i="4" a="1"/>
  <c r="E97" i="4" a="1"/>
  <c r="O42" i="4" a="1"/>
  <c r="AC53" i="4" a="1"/>
  <c r="AD81" i="4" a="1"/>
  <c r="AD44" i="4" a="1"/>
  <c r="F31" i="4" a="1"/>
  <c r="M89" i="4" a="1"/>
  <c r="F90" i="4" a="1"/>
  <c r="I106" i="4" a="1"/>
  <c r="W47" i="4" a="1"/>
  <c r="P6" i="2" a="1"/>
  <c r="U18" i="2" a="1"/>
  <c r="O70" i="6" a="1"/>
  <c r="E55" i="6" a="1"/>
  <c r="AE69" i="6" a="1"/>
  <c r="V77" i="6" a="1"/>
  <c r="AA88" i="6" a="1"/>
  <c r="AA96" i="6" a="1"/>
  <c r="K39" i="6" a="1"/>
  <c r="G65" i="6" a="1"/>
  <c r="G57" i="6" a="1"/>
  <c r="N86" i="6" a="1"/>
  <c r="S100" i="6" a="1"/>
  <c r="W6" i="6" a="1"/>
  <c r="G4" i="6" a="1"/>
  <c r="U53" i="6" a="1"/>
  <c r="E11" i="6" a="1"/>
  <c r="AC38" i="6" a="1"/>
  <c r="Z83" i="6" a="1"/>
  <c r="W71" i="6" a="1"/>
  <c r="N37" i="6" a="1"/>
  <c r="N34" i="6" a="1"/>
  <c r="AA39" i="6" a="1"/>
  <c r="C91" i="6" a="1"/>
  <c r="Z95" i="6" a="1"/>
  <c r="S108" i="6" a="1"/>
  <c r="AB68" i="6" a="1"/>
  <c r="AB18" i="6" a="1"/>
  <c r="V29" i="6" a="1"/>
  <c r="V25" i="6" a="1"/>
  <c r="P48" i="6" a="1"/>
  <c r="R15" i="6" a="1"/>
  <c r="N45" i="6" a="1"/>
  <c r="X33" i="6" a="1"/>
  <c r="J19" i="6" a="1"/>
  <c r="I51" i="6" a="1"/>
  <c r="Q44" i="6" a="1"/>
  <c r="E48" i="6" a="1"/>
  <c r="C62" i="6" a="1"/>
  <c r="K109" i="6" a="1"/>
  <c r="I82" i="6" a="1"/>
  <c r="F72" i="6" a="1"/>
  <c r="F5" i="6" a="1"/>
  <c r="K71" i="6" a="1"/>
  <c r="D62" i="6" a="1"/>
  <c r="X10" i="6" a="1"/>
  <c r="S17" i="6" a="1"/>
  <c r="Y12" i="6" a="1"/>
  <c r="M61" i="6" a="1"/>
  <c r="R97" i="6" a="1"/>
  <c r="V70" i="6" a="1"/>
  <c r="P94" i="6" a="1"/>
  <c r="T16" i="6" a="1"/>
  <c r="V2" i="6" a="1"/>
  <c r="H20" i="6" a="1"/>
  <c r="S76" i="6" a="1"/>
  <c r="O41" i="6" a="1"/>
  <c r="D23" i="6" a="1"/>
  <c r="C87" i="6" a="1"/>
  <c r="J25" i="6" a="1"/>
  <c r="S5" i="6" a="1"/>
  <c r="T103" i="6" a="1"/>
  <c r="E9" i="6" a="1"/>
  <c r="O39" i="6" a="1"/>
  <c r="J48" i="6" a="1"/>
  <c r="M85" i="6" a="1"/>
  <c r="AD25" i="6" a="1"/>
  <c r="W47" i="6" a="1"/>
  <c r="Y87" i="6" a="1"/>
  <c r="Y55" i="6" a="1"/>
  <c r="J11" i="6" a="1"/>
  <c r="X36" i="6" a="1"/>
  <c r="P54" i="6" a="1"/>
  <c r="H27" i="6" a="1"/>
  <c r="X5" i="6" a="1"/>
  <c r="C23" i="6" a="1"/>
  <c r="E30" i="6" a="1"/>
  <c r="M46" i="6" a="1"/>
  <c r="Q53" i="6" a="1"/>
  <c r="AC6" i="6" a="1"/>
  <c r="O27" i="6" a="1"/>
  <c r="U29" i="6" a="1"/>
  <c r="U22" i="6" a="1"/>
  <c r="N58" i="6" a="1"/>
  <c r="C34" i="6" a="1"/>
  <c r="O48" i="6" a="1"/>
  <c r="G21" i="6" a="1"/>
  <c r="J16" i="6" a="1"/>
  <c r="S20" i="6" a="1"/>
  <c r="Z49" i="6" a="1"/>
  <c r="I75" i="6" a="1"/>
  <c r="V8" i="6" a="1"/>
  <c r="Y88" i="6" a="1"/>
  <c r="AE86" i="6" a="1"/>
  <c r="F30" i="6" a="1"/>
  <c r="Z33" i="6" a="1"/>
  <c r="P21" i="6" a="1"/>
  <c r="AA89" i="6" a="1"/>
  <c r="V13" i="6" a="1"/>
  <c r="U23" i="6" a="1"/>
  <c r="L37" i="6" a="1"/>
  <c r="G48" i="6" a="1"/>
  <c r="AE30" i="6" a="1"/>
  <c r="L13" i="6" a="1"/>
  <c r="AD31" i="6" a="1"/>
  <c r="P45" i="6" a="1"/>
  <c r="M54" i="6" a="1"/>
  <c r="I32" i="6" a="1"/>
  <c r="P44" i="6" a="1"/>
  <c r="AD51" i="6" a="1"/>
  <c r="Z34" i="6" a="1"/>
  <c r="H35" i="6" a="1"/>
  <c r="N26" i="6" a="1"/>
  <c r="Y82" i="6" a="1"/>
  <c r="Z29" i="6" a="1"/>
  <c r="F18" i="6" a="1"/>
  <c r="F23" i="6" a="1"/>
  <c r="AA51" i="6" a="1"/>
  <c r="K41" i="6" a="1"/>
  <c r="L33" i="6" a="1"/>
  <c r="Q13" i="6" a="1"/>
  <c r="K3" i="6" a="1"/>
  <c r="R54" i="6" a="1"/>
  <c r="M2" i="6" a="1"/>
  <c r="AB76" i="6" a="1"/>
  <c r="P33" i="6" a="1"/>
  <c r="U66" i="6" a="1"/>
  <c r="M47" i="6" a="1"/>
  <c r="U60" i="6" a="1"/>
  <c r="N38" i="6" a="1"/>
  <c r="X64" i="6" a="1"/>
  <c r="T58" i="6" a="1"/>
  <c r="J20" i="6" a="1"/>
  <c r="U14" i="6" a="1"/>
  <c r="AA20" i="6" a="1"/>
  <c r="V21" i="6" a="1"/>
  <c r="V7" i="6" a="1"/>
  <c r="AC48" i="6" a="1"/>
  <c r="Z37" i="6" a="1"/>
  <c r="H48" i="6" a="1"/>
  <c r="AC76" i="6" a="1"/>
  <c r="Z27" i="6" a="1"/>
  <c r="W57" i="6" a="1"/>
  <c r="AD39" i="6" a="1"/>
  <c r="V30" i="6" a="1"/>
  <c r="M33" i="6" a="1"/>
  <c r="AD88" i="6" a="1"/>
  <c r="AE29" i="6" a="1"/>
  <c r="M49" i="6" a="1"/>
  <c r="R57" i="6" a="1"/>
  <c r="H51" i="6" a="1"/>
  <c r="K90" i="6" a="1"/>
  <c r="T50" i="6" a="1"/>
  <c r="U16" i="6" a="1"/>
  <c r="D47" i="4" a="1"/>
  <c r="AD80" i="4" a="1"/>
  <c r="V31" i="4" a="1"/>
  <c r="U53" i="4" a="1"/>
  <c r="U40" i="4" a="1"/>
  <c r="H25" i="4" a="1"/>
  <c r="F107" i="4" a="1"/>
  <c r="AA84" i="4" a="1"/>
  <c r="J75" i="4" a="1"/>
  <c r="D18" i="4" a="1"/>
  <c r="AE96" i="4" a="1"/>
  <c r="AB106" i="4" a="1"/>
  <c r="S58" i="4" a="1"/>
  <c r="Q55" i="4" a="1"/>
  <c r="AD103" i="4" a="1"/>
  <c r="V93" i="4" a="1"/>
  <c r="P51" i="4" a="1"/>
  <c r="O109" i="4" a="1"/>
  <c r="S44" i="4" a="1"/>
  <c r="AE47" i="4" a="1"/>
  <c r="W89" i="4" a="1"/>
  <c r="P66" i="4" a="1"/>
  <c r="I62" i="4" a="1"/>
  <c r="AE20" i="4" a="1"/>
  <c r="V108" i="4" a="1"/>
  <c r="U109" i="4" a="1"/>
  <c r="E101" i="4" a="1"/>
  <c r="T38" i="4" a="1"/>
  <c r="E40" i="4" a="1"/>
  <c r="R52" i="4" a="1"/>
  <c r="V86" i="4" a="1"/>
  <c r="R54" i="4" a="1"/>
  <c r="AD70" i="4" a="1"/>
  <c r="R29" i="4" a="1"/>
  <c r="G59" i="4" a="1"/>
  <c r="K102" i="4" a="1"/>
  <c r="Q12" i="4" a="1"/>
  <c r="G91" i="4" a="1"/>
  <c r="AC44" i="4" a="1"/>
  <c r="M16" i="4" a="1"/>
  <c r="K86" i="4" a="1"/>
  <c r="X40" i="4" a="1"/>
  <c r="T3" i="4" a="1"/>
  <c r="AD16" i="4" a="1"/>
  <c r="S91" i="4" a="1"/>
  <c r="G81" i="4" a="1"/>
  <c r="N98" i="4" a="1"/>
  <c r="P10" i="4" a="1"/>
  <c r="I21" i="4" a="1"/>
  <c r="P27" i="4" a="1"/>
  <c r="D53" i="4" a="1"/>
  <c r="E103" i="4" a="1"/>
  <c r="J12" i="4" a="1"/>
  <c r="X34" i="4" a="1"/>
  <c r="N25" i="4" a="1"/>
  <c r="P40" i="4" a="1"/>
  <c r="P31" i="4" a="1"/>
  <c r="L68" i="4" a="1"/>
  <c r="AE65" i="4" a="1"/>
  <c r="F93" i="4" a="1"/>
  <c r="O90" i="4" a="1"/>
  <c r="P20" i="4" a="1"/>
  <c r="K53" i="4" a="1"/>
  <c r="Z13" i="4" a="1"/>
  <c r="M73" i="4" a="1"/>
  <c r="Q28" i="2" a="1"/>
  <c r="G26" i="2" a="1"/>
  <c r="J99" i="6" a="1"/>
  <c r="Q82" i="6" a="1"/>
  <c r="C90" i="6" a="1"/>
  <c r="E42" i="6" a="1"/>
  <c r="P62" i="6" a="1"/>
  <c r="S57" i="6" a="1"/>
  <c r="I53" i="6" a="1"/>
  <c r="O40" i="6" a="1"/>
  <c r="F89" i="6" a="1"/>
  <c r="D21" i="6" a="1"/>
  <c r="M81" i="6" a="1"/>
  <c r="U50" i="6" a="1"/>
  <c r="S80" i="6" a="1"/>
  <c r="AB43" i="6" a="1"/>
  <c r="Q7" i="6" a="1"/>
  <c r="N24" i="6" a="1"/>
  <c r="E97" i="6" a="1"/>
  <c r="R55" i="6" a="1"/>
  <c r="R27" i="6" a="1"/>
  <c r="M50" i="6" a="1"/>
  <c r="D38" i="6" a="1"/>
  <c r="I93" i="6" a="1"/>
  <c r="Z52" i="6" a="1"/>
  <c r="T97" i="6" a="1"/>
  <c r="T44" i="6" a="1"/>
  <c r="Z43" i="6" a="1"/>
  <c r="AE16" i="6" a="1"/>
  <c r="O25" i="6" a="1"/>
  <c r="M65" i="6" a="1"/>
  <c r="Y83" i="6" a="1"/>
  <c r="F29" i="6" a="1"/>
  <c r="C56" i="6" a="1"/>
  <c r="R31" i="6" a="1"/>
  <c r="X18" i="6" a="1"/>
  <c r="C33" i="6" a="1"/>
  <c r="K13" i="6" a="1"/>
  <c r="U15" i="6" a="1"/>
  <c r="W106" i="6" a="1"/>
  <c r="AB109" i="6" a="1"/>
  <c r="X87" i="6" a="1"/>
  <c r="S79" i="6" a="1"/>
  <c r="Y94" i="6" a="1"/>
  <c r="C24" i="6" a="1"/>
  <c r="W24" i="6" a="1"/>
  <c r="I12" i="6" a="1"/>
  <c r="D36" i="6" a="1"/>
  <c r="Q30" i="6" a="1"/>
  <c r="AA34" i="6" a="1"/>
  <c r="AB84" i="6" a="1"/>
  <c r="AE7" i="6" a="1"/>
  <c r="M34" i="6" a="1"/>
  <c r="E6" i="6" a="1"/>
  <c r="S6" i="6" a="1"/>
  <c r="AB40" i="6" a="1"/>
  <c r="V37" i="6" a="1"/>
  <c r="Q19" i="6" a="1"/>
  <c r="AC53" i="6" a="1"/>
  <c r="F25" i="6" a="1"/>
  <c r="X17" i="6" a="1"/>
  <c r="F38" i="6" a="1"/>
  <c r="P37" i="6" a="1"/>
  <c r="N52" i="6" a="1"/>
  <c r="O49" i="6" a="1"/>
  <c r="F55" i="6" a="1"/>
  <c r="X3" i="6" a="1"/>
  <c r="AC16" i="6" a="1"/>
  <c r="V22" i="6" a="1"/>
  <c r="AA31" i="6" a="1"/>
  <c r="E51" i="6" a="1"/>
  <c r="K34" i="6" a="1"/>
  <c r="P81" i="6" a="1"/>
  <c r="L48" i="6" a="1"/>
  <c r="AE41" i="6" a="1"/>
  <c r="V15" i="6" a="1"/>
  <c r="T21" i="6" a="1"/>
  <c r="P14" i="6" a="1"/>
  <c r="C89" i="6" a="1"/>
  <c r="F66" i="6" a="1"/>
  <c r="P41" i="6" a="1"/>
  <c r="M5" i="6" a="1"/>
  <c r="W3" i="6" a="1"/>
  <c r="D27" i="6" a="1"/>
  <c r="K30" i="6" a="1"/>
  <c r="F102" i="6" a="1"/>
  <c r="AB74" i="6" a="1"/>
  <c r="K19" i="6" a="1"/>
  <c r="N33" i="6" a="1"/>
  <c r="AE17" i="6" a="1"/>
  <c r="I30" i="6" a="1"/>
  <c r="F14" i="6" a="1"/>
  <c r="AD11" i="6" a="1"/>
  <c r="J88" i="6" a="1"/>
  <c r="H88" i="6" a="1"/>
  <c r="R10" i="6" a="1"/>
  <c r="C12" i="6" a="1"/>
  <c r="Y75" i="6" a="1"/>
  <c r="K49" i="6" a="1"/>
  <c r="X4" i="6" a="1"/>
  <c r="AD50" i="6" a="1"/>
  <c r="U10" i="6" a="1"/>
  <c r="I3" i="6" a="1"/>
  <c r="X30" i="6" a="1"/>
  <c r="R37" i="6" a="1"/>
  <c r="U106" i="6" a="1"/>
  <c r="V76" i="6" a="1"/>
  <c r="AD16" i="6" a="1"/>
  <c r="E59" i="6" a="1"/>
  <c r="AA25" i="6" a="1"/>
  <c r="AB42" i="6" a="1"/>
  <c r="Z46" i="6" a="1"/>
  <c r="AE15" i="6" a="1"/>
  <c r="L60" i="6" a="1"/>
  <c r="G61" i="6" a="1"/>
  <c r="N19" i="6" a="1"/>
  <c r="K23" i="6" a="1"/>
  <c r="AA8" i="6" a="1"/>
  <c r="G20" i="6" a="1"/>
  <c r="W83" i="6" a="1"/>
  <c r="AD12" i="6" a="1"/>
  <c r="Q24" i="6" a="1"/>
  <c r="I2" i="6" a="1"/>
  <c r="H53" i="6" a="1"/>
  <c r="AE18" i="6" a="1"/>
  <c r="Z81" i="6" a="1"/>
  <c r="E107" i="6" a="1"/>
  <c r="C54" i="6" a="1"/>
  <c r="Q56" i="6" a="1"/>
  <c r="N43" i="6" a="1"/>
  <c r="H49" i="6" a="1"/>
  <c r="K88" i="6" a="1"/>
  <c r="Z8" i="6" a="1"/>
  <c r="L43" i="6" a="1"/>
  <c r="AA22" i="6" a="1"/>
  <c r="U18" i="6" a="1"/>
  <c r="AB21" i="6" a="1"/>
  <c r="X26" i="6" a="1"/>
  <c r="R41" i="6" a="1"/>
  <c r="S103" i="6" a="1"/>
  <c r="Q31" i="6" a="1"/>
  <c r="C14" i="6" a="1"/>
  <c r="J34" i="6" a="1"/>
  <c r="H24" i="6" a="1"/>
  <c r="M39" i="6" a="1"/>
  <c r="AD26" i="6" a="1"/>
  <c r="AC3" i="6" a="1"/>
  <c r="K37" i="6" a="1"/>
  <c r="C16" i="6" a="1"/>
  <c r="Y5" i="6" a="1"/>
  <c r="G8" i="6" a="1"/>
  <c r="R36" i="6" a="1"/>
  <c r="E8" i="6" a="1"/>
  <c r="U9" i="4" a="1"/>
  <c r="P83" i="4" a="1"/>
  <c r="G53" i="4" a="1"/>
  <c r="AD55" i="4" a="1"/>
  <c r="L77" i="4" a="1"/>
  <c r="AA51" i="4" a="1"/>
  <c r="T60" i="4" a="1"/>
  <c r="AA3" i="4" a="1"/>
  <c r="I108" i="4" a="1"/>
  <c r="G66" i="4" a="1"/>
  <c r="AD108" i="4" a="1"/>
  <c r="Z54" i="4" a="1"/>
  <c r="S51" i="4" a="1"/>
  <c r="AA91" i="4" a="1"/>
  <c r="F92" i="4" a="1"/>
  <c r="U86" i="4" a="1"/>
  <c r="F35" i="4" a="1"/>
  <c r="AA8" i="4" a="1"/>
  <c r="E30" i="4" a="1"/>
  <c r="AB43" i="4" a="1"/>
  <c r="F87" i="4" a="1"/>
  <c r="Y51" i="4" a="1"/>
  <c r="K11" i="4" a="1"/>
  <c r="K48" i="4" a="1"/>
  <c r="W15" i="4" a="1"/>
  <c r="AD8" i="4" a="1"/>
  <c r="AC27" i="4" a="1"/>
  <c r="P15" i="4" a="1"/>
  <c r="D45" i="4" a="1"/>
  <c r="L44" i="4" a="1"/>
  <c r="AB27" i="4" a="1"/>
  <c r="W31" i="4" a="1"/>
  <c r="AF36" i="4" a="1"/>
  <c r="U30" i="4" a="1"/>
  <c r="W106" i="4" a="1"/>
  <c r="W48" i="4" a="1"/>
  <c r="E62" i="4" a="1"/>
  <c r="W44" i="4" a="1"/>
  <c r="U60" i="4" a="1"/>
  <c r="AF76" i="4" a="1"/>
  <c r="K30" i="4" a="1"/>
  <c r="X42" i="4" a="1"/>
  <c r="F61" i="4" a="1"/>
  <c r="AD51" i="4" a="1"/>
  <c r="F40" i="4" a="1"/>
  <c r="R3" i="4" a="1"/>
  <c r="Q20" i="4" a="1"/>
  <c r="G45" i="4" a="1"/>
  <c r="AA93" i="4" a="1"/>
  <c r="AF44" i="4" a="1"/>
  <c r="L19" i="4" a="1"/>
  <c r="N72" i="4" a="1"/>
  <c r="V54" i="4" a="1"/>
  <c r="U76" i="4" a="1"/>
  <c r="I71" i="4" a="1"/>
  <c r="R100" i="4" a="1"/>
  <c r="AA56" i="4" a="1"/>
  <c r="AA12" i="4" a="1"/>
  <c r="H42" i="4" a="1"/>
  <c r="K59" i="4" a="1"/>
  <c r="M54" i="4" a="1"/>
  <c r="D49" i="4" a="1"/>
  <c r="AE54" i="4" a="1"/>
  <c r="AB22" i="4" a="1"/>
  <c r="Y92" i="4" a="1"/>
  <c r="AF32" i="4" a="1"/>
  <c r="AC31" i="4" a="1"/>
  <c r="AD12" i="4" a="1"/>
  <c r="AE8" i="4" a="1"/>
  <c r="AC105" i="4" a="1"/>
  <c r="AC8" i="4" a="1"/>
  <c r="X54" i="4" a="1"/>
  <c r="F77" i="4" a="1"/>
  <c r="W33" i="4" a="1"/>
  <c r="V30" i="4" a="1"/>
  <c r="X5" i="4" a="1"/>
  <c r="S46" i="4" a="1"/>
  <c r="N43" i="4" a="1"/>
  <c r="K19" i="4" a="1"/>
  <c r="Z65" i="4" a="1"/>
  <c r="D87" i="4" a="1"/>
  <c r="O98" i="4" a="1"/>
  <c r="D85" i="4" a="1"/>
  <c r="X32" i="4" a="1"/>
  <c r="J101" i="4" a="1"/>
  <c r="AB45" i="4" a="1"/>
  <c r="V48" i="4" a="1"/>
  <c r="AD92" i="4" a="1"/>
  <c r="W99" i="4" a="1"/>
  <c r="AE90" i="4" a="1"/>
  <c r="AE14" i="4" a="1"/>
  <c r="AA44" i="4" a="1"/>
  <c r="P38" i="4" a="1"/>
  <c r="L24" i="4" a="1"/>
  <c r="AE44" i="4" a="1"/>
  <c r="Q37" i="4" a="1"/>
  <c r="J39" i="4" a="1"/>
  <c r="U20" i="4" a="1"/>
  <c r="I59" i="4" a="1"/>
  <c r="Z47" i="4" a="1"/>
  <c r="G37" i="4" a="1"/>
  <c r="K8" i="2" a="1"/>
  <c r="V12" i="2" a="1"/>
  <c r="P93" i="6" a="1"/>
  <c r="U86" i="6" a="1"/>
  <c r="AC54" i="6" a="1"/>
  <c r="U107" i="6" a="1"/>
  <c r="N96" i="6" a="1"/>
  <c r="T76" i="6" a="1"/>
  <c r="K69" i="6" a="1"/>
  <c r="W17" i="6" a="1"/>
  <c r="I97" i="6" a="1"/>
  <c r="AA103" i="6" a="1"/>
  <c r="D18" i="6" a="1"/>
  <c r="AA55" i="6" a="1"/>
  <c r="V84" i="6" a="1"/>
  <c r="AB38" i="6" a="1"/>
  <c r="N21" i="6" a="1"/>
  <c r="Y39" i="6" a="1"/>
  <c r="X83" i="6" a="1"/>
  <c r="D32" i="6" a="1"/>
  <c r="W43" i="6" a="1"/>
  <c r="Q89" i="6" a="1"/>
  <c r="V36" i="6" a="1"/>
  <c r="F47" i="6" a="1"/>
  <c r="P42" i="6" a="1"/>
  <c r="AA65" i="6" a="1"/>
  <c r="S67" i="6" a="1"/>
  <c r="AE35" i="6" a="1"/>
  <c r="W75" i="6" a="1"/>
  <c r="N11" i="6" a="1"/>
  <c r="T11" i="6" a="1"/>
  <c r="AA85" i="6" a="1"/>
  <c r="N54" i="6" a="1"/>
  <c r="AC90" i="6" a="1"/>
  <c r="O51" i="6" a="1"/>
  <c r="F19" i="6" a="1"/>
  <c r="D37" i="6" a="1"/>
  <c r="N108" i="6" a="1"/>
  <c r="N20" i="6" a="1"/>
  <c r="S83" i="6" a="1"/>
  <c r="W67" i="6" a="1"/>
  <c r="L80" i="6" a="1"/>
  <c r="M31" i="6" a="1"/>
  <c r="U48" i="6" a="1"/>
  <c r="AD14" i="6" a="1"/>
  <c r="AA86" i="6" a="1"/>
  <c r="AA17" i="6" a="1"/>
  <c r="P68" i="6" a="1"/>
  <c r="C11" i="6" a="1"/>
  <c r="AD61" i="6" a="1"/>
  <c r="O88" i="6" a="1"/>
  <c r="AA42" i="6" a="1"/>
  <c r="AB10" i="6" a="1"/>
  <c r="O8" i="6" a="1"/>
  <c r="I57" i="6" a="1"/>
  <c r="I47" i="6" a="1"/>
  <c r="I69" i="6" a="1"/>
  <c r="AA26" i="6" a="1"/>
  <c r="S55" i="6" a="1"/>
  <c r="X28" i="6" a="1"/>
  <c r="C13" i="6" a="1"/>
  <c r="M59" i="6" a="1"/>
  <c r="E66" i="6" a="1"/>
  <c r="AA27" i="6" a="1"/>
  <c r="AB13" i="6" a="1"/>
  <c r="F22" i="6" a="1"/>
  <c r="I24" i="6" a="1"/>
  <c r="F63" i="6" a="1"/>
  <c r="T3" i="6" a="1"/>
  <c r="I13" i="6" a="1"/>
  <c r="Z36" i="6" a="1"/>
  <c r="AD108" i="6" a="1"/>
  <c r="AB95" i="6" a="1"/>
  <c r="G13" i="6" a="1"/>
  <c r="P71" i="6" a="1"/>
  <c r="C79" i="6" a="1"/>
  <c r="Y74" i="6" a="1"/>
  <c r="AA69" i="6" a="1"/>
  <c r="P16" i="6" a="1"/>
  <c r="Q43" i="6" a="1"/>
  <c r="I42" i="6" a="1"/>
  <c r="AC72" i="6" a="1"/>
  <c r="M9" i="6" a="1"/>
  <c r="AD41" i="6" a="1"/>
  <c r="R51" i="6" a="1"/>
  <c r="J96" i="6" a="1"/>
  <c r="I10" i="6" a="1"/>
  <c r="W41" i="6" a="1"/>
  <c r="AE26" i="6" a="1"/>
  <c r="E24" i="6" a="1"/>
  <c r="M36" i="6" a="1"/>
  <c r="T24" i="6" a="1"/>
  <c r="Y61" i="6" a="1"/>
  <c r="O66" i="6" a="1"/>
  <c r="U39" i="6" a="1"/>
  <c r="X86" i="6" a="1"/>
  <c r="E67" i="6" a="1"/>
  <c r="Q55" i="6" a="1"/>
  <c r="AC18" i="6" a="1"/>
  <c r="R75" i="6" a="1"/>
  <c r="V78" i="6" a="1"/>
  <c r="AE38" i="6" a="1"/>
  <c r="R20" i="6" a="1"/>
  <c r="L26" i="6" a="1"/>
  <c r="AC7" i="6" a="1"/>
  <c r="Z90" i="6" a="1"/>
  <c r="D31" i="6" a="1"/>
  <c r="C19" i="6" a="1"/>
  <c r="G30" i="6" a="1"/>
  <c r="X15" i="6" a="1"/>
  <c r="G29" i="6" a="1"/>
  <c r="Y33" i="6" a="1"/>
  <c r="AC67" i="6" a="1"/>
  <c r="S26" i="6" a="1"/>
  <c r="K36" i="6" a="1"/>
  <c r="Z104" i="6" a="1"/>
  <c r="Z47" i="6" a="1"/>
  <c r="L74" i="6" a="1"/>
  <c r="J31" i="6" a="1"/>
  <c r="T39" i="6" a="1"/>
  <c r="F8" i="6" a="1"/>
  <c r="AC78" i="6" a="1"/>
  <c r="I20" i="6" a="1"/>
  <c r="E36" i="6" a="1"/>
  <c r="AD37" i="6" a="1"/>
  <c r="L61" i="6" a="1"/>
  <c r="L69" i="6" a="1"/>
  <c r="R4" i="6" a="1"/>
  <c r="K50" i="6" a="1"/>
  <c r="O64" i="6" a="1"/>
  <c r="D54" i="6" a="1"/>
  <c r="C25" i="6" a="1"/>
  <c r="Z24" i="6" a="1"/>
  <c r="T7" i="6" a="1"/>
  <c r="N2" i="6" a="1"/>
  <c r="V38" i="6" a="1"/>
  <c r="AD33" i="6" a="1"/>
  <c r="L8" i="6" a="1"/>
  <c r="N74" i="6" a="1"/>
  <c r="W4" i="6" a="1"/>
  <c r="D48" i="6" a="1"/>
  <c r="V26" i="6" a="1"/>
  <c r="J84" i="6" a="1"/>
  <c r="U64" i="6" a="1"/>
  <c r="Z9" i="6" a="1"/>
  <c r="X22" i="6" a="1"/>
  <c r="K27" i="6" a="1"/>
  <c r="X19" i="6" a="1"/>
  <c r="W28" i="6" a="1"/>
  <c r="O16" i="6" a="1"/>
  <c r="O10" i="6" a="1"/>
  <c r="Z2" i="6" a="1"/>
  <c r="L99" i="4" a="1"/>
  <c r="AE46" i="4" a="1"/>
  <c r="U32" i="4" a="1"/>
  <c r="T99" i="4" a="1"/>
  <c r="I35" i="4" a="1"/>
  <c r="Z46" i="4" a="1"/>
  <c r="V92" i="4" a="1"/>
  <c r="U37" i="4" a="1"/>
  <c r="Y8" i="4" a="1"/>
  <c r="AC83" i="4" a="1"/>
  <c r="S28" i="4" a="1"/>
  <c r="L94" i="4" a="1"/>
  <c r="U27" i="4" a="1"/>
  <c r="AF84" i="4" a="1"/>
  <c r="G49" i="4" a="1"/>
  <c r="Y50" i="4" a="1"/>
  <c r="S102" i="4" a="1"/>
  <c r="X102" i="4" a="1"/>
  <c r="AB24" i="4" a="1"/>
  <c r="W14" i="4" a="1"/>
  <c r="K81" i="4" a="1"/>
  <c r="J102" i="4" a="1"/>
  <c r="M78" i="4" a="1"/>
  <c r="P53" i="4" a="1"/>
  <c r="J50" i="4" a="1"/>
  <c r="N87" i="4" a="1"/>
  <c r="Z81" i="4" a="1"/>
  <c r="AC106" i="4" a="1"/>
  <c r="X31" i="4" a="1"/>
  <c r="O14" i="4" a="1"/>
  <c r="R56" i="4" a="1"/>
  <c r="AD5" i="4" a="1"/>
  <c r="AB25" i="4" a="1"/>
  <c r="I23" i="4" a="1"/>
  <c r="F46" i="4" a="1"/>
  <c r="AA94" i="4" a="1"/>
  <c r="T71" i="4" a="1"/>
  <c r="AA10" i="4" a="1"/>
  <c r="T77" i="4" a="1"/>
  <c r="G97" i="4" a="1"/>
  <c r="J35" i="4" a="1"/>
  <c r="E79" i="4" a="1"/>
  <c r="G56" i="4" a="1"/>
  <c r="AF91" i="4" a="1"/>
  <c r="Z6" i="4" a="1"/>
  <c r="AE105" i="4" a="1"/>
  <c r="U6" i="4" a="1"/>
  <c r="T98" i="4" a="1"/>
  <c r="T12" i="4" a="1"/>
  <c r="AB79" i="4" a="1"/>
  <c r="R39" i="4" a="1"/>
  <c r="M107" i="4" a="1"/>
  <c r="E24" i="4" a="1"/>
  <c r="I33" i="4" a="1"/>
  <c r="J89" i="4" a="1"/>
  <c r="O85" i="4" a="1"/>
  <c r="AD52" i="4" a="1"/>
  <c r="F56" i="4" a="1"/>
  <c r="U26" i="4" a="1"/>
  <c r="Q109" i="4" a="1"/>
  <c r="H21" i="4" a="1"/>
  <c r="K36" i="4" a="1"/>
  <c r="D15" i="4" a="1"/>
  <c r="I53" i="4" a="1"/>
  <c r="G34" i="4" a="1"/>
  <c r="M23" i="4" a="1"/>
  <c r="AD97" i="4" a="1"/>
  <c r="J36" i="4" a="1"/>
  <c r="W17" i="4" a="1"/>
  <c r="S35" i="4" a="1"/>
  <c r="AA87" i="4" a="1"/>
  <c r="O99" i="4" a="1"/>
  <c r="L34" i="4" a="1"/>
  <c r="W76" i="4" a="1"/>
  <c r="AE25" i="4" a="1"/>
  <c r="T104" i="4" a="1"/>
  <c r="I25" i="4" a="1"/>
  <c r="G86" i="4" a="1"/>
  <c r="H86" i="4" a="1"/>
  <c r="K7" i="4" a="1"/>
  <c r="G44" i="4" a="1"/>
  <c r="M2" i="4" a="1"/>
  <c r="Z86" i="4" a="1"/>
  <c r="U12" i="4" a="1"/>
  <c r="T16" i="4" a="1"/>
  <c r="AD87" i="4" a="1"/>
  <c r="D82" i="4" a="1"/>
  <c r="AF57" i="4" a="1"/>
  <c r="P63" i="4" a="1"/>
  <c r="J87" i="4" a="1"/>
  <c r="O89" i="4" a="1"/>
  <c r="Q87" i="4" a="1"/>
  <c r="U85" i="4" a="1"/>
  <c r="H18" i="4" a="1"/>
  <c r="J45" i="4" a="1"/>
  <c r="J65" i="4" a="1"/>
  <c r="AD93" i="4" a="1"/>
  <c r="AE38" i="4" a="1"/>
  <c r="D9" i="4" a="1"/>
  <c r="S53" i="4" a="1"/>
  <c r="N95" i="4" a="1"/>
  <c r="K30" i="2" a="1"/>
  <c r="L103" i="6" a="1"/>
  <c r="K96" i="6" a="1"/>
  <c r="M94" i="6" a="1"/>
  <c r="T81" i="6" a="1"/>
  <c r="M52" i="6" a="1"/>
  <c r="AC108" i="6" a="1"/>
  <c r="R62" i="6" a="1"/>
  <c r="L44" i="6" a="1"/>
  <c r="K61" i="6" a="1"/>
  <c r="L5" i="6" a="1"/>
  <c r="L72" i="6" a="1"/>
  <c r="G33" i="6" a="1"/>
  <c r="M12" i="6" a="1"/>
  <c r="T15" i="6" a="1"/>
  <c r="X67" i="6" a="1"/>
  <c r="Z44" i="6" a="1"/>
  <c r="U92" i="6" a="1"/>
  <c r="Y34" i="6" a="1"/>
  <c r="G34" i="6" a="1"/>
  <c r="M87" i="6" a="1"/>
  <c r="X63" i="6" a="1"/>
  <c r="N80" i="6" a="1"/>
  <c r="W94" i="6" a="1"/>
  <c r="J89" i="6" a="1"/>
  <c r="N7" i="6" a="1"/>
  <c r="N51" i="6" a="1"/>
  <c r="G43" i="6" a="1"/>
  <c r="AA32" i="6" a="1"/>
  <c r="C8" i="6" a="1"/>
  <c r="AC37" i="6" a="1"/>
  <c r="AD42" i="6" a="1"/>
  <c r="U89" i="6" a="1"/>
  <c r="E72" i="6" a="1"/>
  <c r="X16" i="6" a="1"/>
  <c r="V16" i="6" a="1"/>
  <c r="O85" i="6" a="1"/>
  <c r="L17" i="6" a="1"/>
  <c r="R68" i="6" a="1"/>
  <c r="H74" i="6" a="1"/>
  <c r="J52" i="6" a="1"/>
  <c r="Q36" i="6" a="1"/>
  <c r="Z88" i="6" a="1"/>
  <c r="Y73" i="6" a="1"/>
  <c r="W29" i="6" a="1"/>
  <c r="G68" i="6" a="1"/>
  <c r="J70" i="6" a="1"/>
  <c r="J37" i="6" a="1"/>
  <c r="D44" i="6" a="1"/>
  <c r="D58" i="6" a="1"/>
  <c r="L51" i="6" a="1"/>
  <c r="R38" i="6" a="1"/>
  <c r="R14" i="6" a="1"/>
  <c r="I4" i="6" a="1"/>
  <c r="M28" i="6" a="1"/>
  <c r="J50" i="6" a="1"/>
  <c r="AA3" i="6" a="1"/>
  <c r="M45" i="6" a="1"/>
  <c r="R9" i="6" a="1"/>
  <c r="X8" i="6" a="1"/>
  <c r="AC42" i="6" a="1"/>
  <c r="AC32" i="6" a="1"/>
  <c r="N87" i="6" a="1"/>
  <c r="M38" i="6" a="1"/>
  <c r="AC25" i="6" a="1"/>
  <c r="G12" i="6" a="1"/>
  <c r="L29" i="6" a="1"/>
  <c r="Z72" i="6" a="1"/>
  <c r="P30" i="6" a="1"/>
  <c r="U17" i="6" a="1"/>
  <c r="O42" i="6" a="1"/>
  <c r="L35" i="6" a="1"/>
  <c r="R34" i="6" a="1"/>
  <c r="AA28" i="6" a="1"/>
  <c r="D90" i="6" a="1"/>
  <c r="AA9" i="6" a="1"/>
  <c r="S51" i="6" a="1"/>
  <c r="T10" i="6" a="1"/>
  <c r="E60" i="6" a="1"/>
  <c r="S27" i="6" a="1"/>
  <c r="M92" i="6" a="1"/>
  <c r="M3" i="6" a="1"/>
  <c r="V57" i="6" a="1"/>
  <c r="Y19" i="6" a="1"/>
  <c r="V73" i="6" a="1"/>
  <c r="AC43" i="6" a="1"/>
  <c r="H32" i="6" a="1"/>
  <c r="Z28" i="6" a="1"/>
  <c r="O19" i="6" a="1"/>
  <c r="AC62" i="6" a="1"/>
  <c r="E38" i="6" a="1"/>
  <c r="K99" i="6" a="1"/>
  <c r="Z80" i="6" a="1"/>
  <c r="S22" i="6" a="1"/>
  <c r="AC59" i="6" a="1"/>
  <c r="D98" i="6" a="1"/>
  <c r="Y32" i="6" a="1"/>
  <c r="P46" i="6" a="1"/>
  <c r="X11" i="6" a="1"/>
  <c r="P78" i="6" a="1"/>
  <c r="C17" i="6" a="1"/>
  <c r="L38" i="6" a="1"/>
  <c r="S8" i="6" a="1"/>
  <c r="Z86" i="6" a="1"/>
  <c r="J45" i="6" a="1"/>
  <c r="I56" i="6" a="1"/>
  <c r="H55" i="6" a="1"/>
  <c r="H69" i="6" a="1"/>
  <c r="F7" i="6" a="1"/>
  <c r="U12" i="6" a="1"/>
  <c r="AB25" i="6" a="1"/>
  <c r="M21" i="6" a="1"/>
  <c r="N60" i="6" a="1"/>
  <c r="G98" i="6" a="1"/>
  <c r="D76" i="6" a="1"/>
  <c r="D73" i="6" a="1"/>
  <c r="K58" i="6" a="1"/>
  <c r="J4" i="6" a="1"/>
  <c r="T26" i="6" a="1"/>
  <c r="M35" i="6" a="1"/>
  <c r="I99" i="6" a="1"/>
  <c r="F26" i="6" a="1"/>
  <c r="G2" i="6" a="1"/>
  <c r="Y56" i="6" a="1"/>
  <c r="E20" i="6" a="1"/>
  <c r="AB22" i="6" a="1"/>
  <c r="E14" i="6" a="1"/>
  <c r="T32" i="6" a="1"/>
  <c r="F78" i="6" a="1"/>
  <c r="Z3" i="6" a="1"/>
  <c r="J103" i="6" a="1"/>
  <c r="M11" i="6" a="1"/>
  <c r="H8" i="6" a="1"/>
  <c r="C27" i="6" a="1"/>
  <c r="H19" i="6" a="1"/>
  <c r="Q2" i="6" a="1"/>
  <c r="X60" i="6" a="1"/>
  <c r="V89" i="6" a="1"/>
  <c r="J29" i="6" a="1"/>
  <c r="Z48" i="6" a="1"/>
  <c r="AD89" i="6" a="1"/>
  <c r="N18" i="6" a="1"/>
  <c r="Q11" i="6" a="1"/>
  <c r="D88" i="6" a="1"/>
  <c r="M8" i="6" a="1"/>
  <c r="O6" i="6" a="1"/>
  <c r="Y59" i="6" a="1"/>
  <c r="Y18" i="6" a="1"/>
  <c r="T5" i="6" a="1"/>
  <c r="W42" i="6" a="1"/>
  <c r="I41" i="6" a="1"/>
  <c r="T85" i="6" a="1"/>
  <c r="X2" i="6" a="1"/>
  <c r="AA108" i="4" a="1"/>
  <c r="AD32" i="4" a="1"/>
  <c r="Q106" i="4" a="1"/>
  <c r="G94" i="4" a="1"/>
  <c r="T47" i="4" a="1"/>
  <c r="AE82" i="4" a="1"/>
  <c r="I64" i="4" a="1"/>
  <c r="G67" i="4" a="1"/>
  <c r="H95" i="4" a="1"/>
  <c r="Q80" i="4" a="1"/>
  <c r="N74" i="4" a="1"/>
  <c r="R97" i="4" a="1"/>
  <c r="X75" i="4" a="1"/>
  <c r="P91" i="4" a="1"/>
  <c r="AB81" i="4" a="1"/>
  <c r="J8" i="4" a="1"/>
  <c r="V43" i="4" a="1"/>
  <c r="N108" i="4" a="1"/>
  <c r="U17" i="4" a="1"/>
  <c r="Z73" i="4" a="1"/>
  <c r="U90" i="4" a="1"/>
  <c r="G48" i="4" a="1"/>
  <c r="P49" i="4" a="1"/>
  <c r="D2" i="4" a="1"/>
  <c r="R24" i="4" a="1"/>
  <c r="AC3" i="4" a="1"/>
  <c r="H26" i="4" a="1"/>
  <c r="T75" i="4" a="1"/>
  <c r="D31" i="4" a="1"/>
  <c r="F23" i="4" a="1"/>
  <c r="K16" i="4" a="1"/>
  <c r="L67" i="4" a="1"/>
  <c r="M70" i="4" a="1"/>
  <c r="AB9" i="4" a="1"/>
  <c r="N38" i="4" a="1"/>
  <c r="S77" i="4" a="1"/>
  <c r="N44" i="4" a="1"/>
  <c r="M27" i="4" a="1"/>
  <c r="L42" i="4" a="1"/>
  <c r="K100" i="4" a="1"/>
  <c r="T28" i="4" a="1"/>
  <c r="H76" i="4" a="1"/>
  <c r="D105" i="4" a="1"/>
  <c r="AC15" i="4" a="1"/>
  <c r="U65" i="4" a="1"/>
  <c r="V75" i="4" a="1"/>
  <c r="M15" i="4" a="1"/>
  <c r="K52" i="4" a="1"/>
  <c r="S75" i="4" a="1"/>
  <c r="M6" i="4" a="1"/>
  <c r="V8" i="4" a="1"/>
  <c r="E81" i="4" a="1"/>
  <c r="E68" i="4" a="1"/>
  <c r="AC48" i="4" a="1"/>
  <c r="M60" i="4" a="1"/>
  <c r="AB78" i="4" a="1"/>
  <c r="M83" i="4" a="1"/>
  <c r="AE23" i="4" a="1"/>
  <c r="F57" i="4" a="1"/>
  <c r="AA97" i="4" a="1"/>
  <c r="Z3" i="4" a="1"/>
  <c r="AB47" i="4" a="1"/>
  <c r="P87" i="4" a="1"/>
  <c r="L27" i="4" a="1"/>
  <c r="L16" i="4" a="1"/>
  <c r="R88" i="4" a="1"/>
  <c r="O44" i="4" a="1"/>
  <c r="E95" i="4" a="1"/>
  <c r="AA92" i="4" a="1"/>
  <c r="T61" i="4" a="1"/>
  <c r="AC78" i="4" a="1"/>
  <c r="S21" i="4" a="1"/>
  <c r="Z56" i="4" a="1"/>
  <c r="AB70" i="4" a="1"/>
  <c r="AB26" i="4" a="1"/>
  <c r="P35" i="4" a="1"/>
  <c r="Z102" i="4" a="1"/>
  <c r="H102" i="4" a="1"/>
  <c r="H107" i="4" a="1"/>
  <c r="N34" i="4" a="1"/>
  <c r="I36" i="4" a="1"/>
  <c r="G74" i="4" a="1"/>
  <c r="N79" i="4" a="1"/>
  <c r="AE81" i="4" a="1"/>
  <c r="AD19" i="4" a="1"/>
  <c r="T66" i="4" a="1"/>
  <c r="AA72" i="4" a="1"/>
  <c r="T102" i="4" a="1"/>
  <c r="AD20" i="4" a="1"/>
  <c r="I93" i="4" a="1"/>
  <c r="AE78" i="4" a="1"/>
  <c r="U31" i="2" a="1"/>
  <c r="E84" i="6" a="1"/>
  <c r="X57" i="6" a="1"/>
  <c r="D60" i="6" a="1"/>
  <c r="AC109" i="6" a="1"/>
  <c r="AE84" i="6" a="1"/>
  <c r="K105" i="6" a="1"/>
  <c r="AE80" i="6" a="1"/>
  <c r="AE85" i="6" a="1"/>
  <c r="X103" i="6" a="1"/>
  <c r="R93" i="6" a="1"/>
  <c r="AC103" i="6" a="1"/>
  <c r="T56" i="6" a="1"/>
  <c r="AB77" i="6" a="1"/>
  <c r="AD48" i="6" a="1"/>
  <c r="R78" i="6" a="1"/>
  <c r="T38" i="6" a="1"/>
  <c r="I90" i="6" a="1"/>
  <c r="AC52" i="6" a="1"/>
  <c r="Y24" i="6" a="1"/>
  <c r="W73" i="6" a="1"/>
  <c r="X80" i="6" a="1"/>
  <c r="O61" i="6" a="1"/>
  <c r="I77" i="6" a="1"/>
  <c r="V101" i="6" a="1"/>
  <c r="J71" i="6" a="1"/>
  <c r="Z14" i="6" a="1"/>
  <c r="G74" i="6" a="1"/>
  <c r="K20" i="6" a="1"/>
  <c r="W35" i="6" a="1"/>
  <c r="I14" i="6" a="1"/>
  <c r="J9" i="6" a="1"/>
  <c r="X82" i="6" a="1"/>
  <c r="L31" i="6" a="1"/>
  <c r="L7" i="6" a="1"/>
  <c r="M95" i="6" a="1"/>
  <c r="R70" i="6" a="1"/>
  <c r="AD30" i="6" a="1"/>
  <c r="AB47" i="6" a="1"/>
  <c r="AB34" i="6" a="1"/>
  <c r="V109" i="6" a="1"/>
  <c r="Y8" i="6" a="1"/>
  <c r="T67" i="6" a="1"/>
  <c r="O77" i="6" a="1"/>
  <c r="W77" i="6" a="1"/>
  <c r="J62" i="6" a="1"/>
  <c r="J51" i="6" a="1"/>
  <c r="AB14" i="6" a="1"/>
  <c r="I63" i="6" a="1"/>
  <c r="X105" i="6" a="1"/>
  <c r="AD4" i="6" a="1"/>
  <c r="J86" i="6" a="1"/>
  <c r="AC107" i="6" a="1"/>
  <c r="S44" i="6" a="1"/>
  <c r="AC34" i="6" a="1"/>
  <c r="S16" i="6" a="1"/>
  <c r="AA35" i="6" a="1"/>
  <c r="O22" i="6" a="1"/>
  <c r="U32" i="6" a="1"/>
  <c r="V12" i="6" a="1"/>
  <c r="Y20" i="6" a="1"/>
  <c r="V81" i="6" a="1"/>
  <c r="Z97" i="6" a="1"/>
  <c r="Z35" i="6" a="1"/>
  <c r="U58" i="6" a="1"/>
  <c r="J58" i="6" a="1"/>
  <c r="M24" i="6" a="1"/>
  <c r="C22" i="6" a="1"/>
  <c r="R63" i="6" a="1"/>
  <c r="X38" i="6" a="1"/>
  <c r="X44" i="6" a="1"/>
  <c r="D30" i="6" a="1"/>
  <c r="V61" i="6" a="1"/>
  <c r="H6" i="6" a="1"/>
  <c r="G42" i="6" a="1"/>
  <c r="K51" i="6" a="1"/>
  <c r="Y41" i="6" a="1"/>
  <c r="N13" i="6" a="1"/>
  <c r="T35" i="6" a="1"/>
  <c r="AC5" i="6" a="1"/>
  <c r="AB35" i="6" a="1"/>
  <c r="O12" i="6" a="1"/>
  <c r="S10" i="6" a="1"/>
  <c r="F31" i="6" a="1"/>
  <c r="Z23" i="6" a="1"/>
  <c r="AC35" i="6" a="1"/>
  <c r="R18" i="6" a="1"/>
  <c r="E21" i="6" a="1"/>
  <c r="F97" i="6" a="1"/>
  <c r="AB15" i="6" a="1"/>
  <c r="S24" i="6" a="1"/>
  <c r="V9" i="6" a="1"/>
  <c r="D56" i="6" a="1"/>
  <c r="E25" i="6" a="1"/>
  <c r="C10" i="6" a="1"/>
  <c r="L77" i="6" a="1"/>
  <c r="AC65" i="6" a="1"/>
  <c r="C42" i="6" a="1"/>
  <c r="G59" i="6" a="1"/>
  <c r="P35" i="6" a="1"/>
  <c r="D85" i="6" a="1"/>
  <c r="H22" i="6" a="1"/>
  <c r="M32" i="6" a="1"/>
  <c r="P89" i="6" a="1"/>
  <c r="K52" i="6" a="1"/>
  <c r="D42" i="6" a="1"/>
  <c r="M56" i="6" a="1"/>
  <c r="T63" i="6" a="1"/>
  <c r="W31" i="6" a="1"/>
  <c r="V47" i="6" a="1"/>
  <c r="W59" i="6" a="1"/>
  <c r="AA43" i="6" a="1"/>
  <c r="X25" i="6" a="1"/>
  <c r="R39" i="6" a="1"/>
  <c r="P6" i="6" a="1"/>
  <c r="C61" i="6" a="1"/>
  <c r="F40" i="6" a="1"/>
  <c r="G51" i="6" a="1"/>
  <c r="H62" i="6" a="1"/>
  <c r="I50" i="6" a="1"/>
  <c r="AD72" i="6" a="1"/>
  <c r="T17" i="6" a="1"/>
  <c r="T33" i="6" a="1"/>
  <c r="AC31" i="6" a="1"/>
  <c r="X6" i="6" a="1"/>
  <c r="Q38" i="6" a="1"/>
  <c r="N25" i="6" a="1"/>
  <c r="M57" i="6" a="1"/>
  <c r="Y50" i="6" a="1"/>
  <c r="Z105" i="6" a="1"/>
  <c r="V5" i="6" a="1"/>
  <c r="AA14" i="6" a="1"/>
  <c r="O2" i="6" a="1"/>
  <c r="AC20" i="6" a="1"/>
  <c r="L32" i="6" a="1"/>
  <c r="S45" i="6" a="1"/>
  <c r="G3" i="6" a="1"/>
  <c r="P50" i="6" a="1"/>
  <c r="V58" i="6" a="1"/>
  <c r="AE65" i="6" a="1"/>
  <c r="S37" i="6" a="1"/>
  <c r="J77" i="6" a="1"/>
  <c r="G23" i="6" a="1"/>
  <c r="W39" i="6" a="1"/>
  <c r="Z69" i="6" a="1"/>
  <c r="Y2" i="6" a="1"/>
  <c r="J24" i="6" a="1"/>
  <c r="C63" i="6" a="1"/>
  <c r="W8" i="6" a="1"/>
  <c r="D4" i="4" a="1"/>
  <c r="AC65" i="4" a="1"/>
  <c r="J66" i="4" a="1"/>
  <c r="T88" i="4" a="1"/>
  <c r="M80" i="4" a="1"/>
  <c r="J33" i="4" a="1"/>
  <c r="M12" i="2" a="1"/>
  <c r="K103" i="6" a="1"/>
  <c r="E40" i="6" a="1"/>
  <c r="S82" i="6" a="1"/>
  <c r="H67" i="6" a="1"/>
  <c r="AE89" i="6" a="1"/>
  <c r="P103" i="6" a="1"/>
  <c r="R73" i="6" a="1"/>
  <c r="T47" i="6" a="1"/>
  <c r="G97" i="6" a="1"/>
  <c r="G105" i="6" a="1"/>
  <c r="AC95" i="6" a="1"/>
  <c r="AC56" i="6" a="1"/>
  <c r="R77" i="6" a="1"/>
  <c r="P22" i="6" a="1"/>
  <c r="I35" i="6" a="1"/>
  <c r="P31" i="6" a="1"/>
  <c r="C37" i="6" a="1"/>
  <c r="H44" i="6" a="1"/>
  <c r="Z21" i="6" a="1"/>
  <c r="Y103" i="6" a="1"/>
  <c r="G86" i="6" a="1"/>
  <c r="Q97" i="6" a="1"/>
  <c r="C45" i="6" a="1"/>
  <c r="L49" i="6" a="1"/>
  <c r="U69" i="6" a="1"/>
  <c r="Q28" i="6" a="1"/>
  <c r="U30" i="6" a="1"/>
  <c r="R76" i="6" a="1"/>
  <c r="S12" i="6" a="1"/>
  <c r="E46" i="6" a="1"/>
  <c r="S39" i="6" a="1"/>
  <c r="G63" i="6" a="1"/>
  <c r="L16" i="6" a="1"/>
  <c r="U52" i="6" a="1"/>
  <c r="AB106" i="6" a="1"/>
  <c r="I68" i="6" a="1"/>
  <c r="G9" i="6" a="1"/>
  <c r="C97" i="6" a="1"/>
  <c r="AD91" i="6" a="1"/>
  <c r="F75" i="6" a="1"/>
  <c r="N9" i="6" a="1"/>
  <c r="U65" i="6" a="1"/>
  <c r="F64" i="6" a="1"/>
  <c r="F42" i="6" a="1"/>
  <c r="W51" i="6" a="1"/>
  <c r="E27" i="6" a="1"/>
  <c r="U35" i="6" a="1"/>
  <c r="G54" i="6" a="1"/>
  <c r="T14" i="6" a="1"/>
  <c r="C77" i="6" a="1"/>
  <c r="AB29" i="6" a="1"/>
  <c r="P70" i="6" a="1"/>
  <c r="P24" i="6" a="1"/>
  <c r="M40" i="6" a="1"/>
  <c r="Z39" i="6" a="1"/>
  <c r="F67" i="6" a="1"/>
  <c r="AD17" i="6" a="1"/>
  <c r="P19" i="6" a="1"/>
  <c r="Z25" i="6" a="1"/>
  <c r="O52" i="6" a="1"/>
  <c r="L83" i="6" a="1"/>
  <c r="S7" i="6" a="1"/>
  <c r="J44" i="6" a="1"/>
  <c r="S31" i="6" a="1"/>
  <c r="AD46" i="6" a="1"/>
  <c r="C18" i="6" a="1"/>
  <c r="U21" i="6" a="1"/>
  <c r="S28" i="6" a="1"/>
  <c r="AB87" i="6" a="1"/>
  <c r="E32" i="6" a="1"/>
  <c r="AB70" i="6" a="1"/>
  <c r="Y37" i="6" a="1"/>
  <c r="P25" i="6" a="1"/>
  <c r="V40" i="6" a="1"/>
  <c r="Q96" i="6" a="1"/>
  <c r="G56" i="6" a="1"/>
  <c r="Z42" i="6" a="1"/>
  <c r="AE47" i="6" a="1"/>
  <c r="G18" i="6" a="1"/>
  <c r="F70" i="6" a="1"/>
  <c r="AA7" i="6" a="1"/>
  <c r="N40" i="6" a="1"/>
  <c r="F39" i="6" a="1"/>
  <c r="Q91" i="6" a="1"/>
  <c r="D20" i="6" a="1"/>
  <c r="N10" i="6" a="1"/>
  <c r="S43" i="6" a="1"/>
  <c r="O4" i="6" a="1"/>
  <c r="G44" i="6" a="1"/>
  <c r="AE78" i="6" a="1"/>
  <c r="O38" i="6" a="1"/>
  <c r="R12" i="6" a="1"/>
  <c r="E29" i="6" a="1"/>
  <c r="Z12" i="6" a="1"/>
  <c r="AE88" i="6" a="1"/>
  <c r="R84" i="6" a="1"/>
  <c r="M13" i="6" a="1"/>
  <c r="AE24" i="6" a="1"/>
  <c r="S59" i="6" a="1"/>
  <c r="E22" i="6" a="1"/>
  <c r="I79" i="6" a="1"/>
  <c r="E7" i="6" a="1"/>
  <c r="E37" i="6" a="1"/>
  <c r="I29" i="6" a="1"/>
  <c r="J41" i="6" a="1"/>
  <c r="AB27" i="6" a="1"/>
  <c r="T43" i="6" a="1"/>
  <c r="S21" i="6" a="1"/>
  <c r="M79" i="6" a="1"/>
  <c r="AD83" i="6" a="1"/>
  <c r="L4" i="6" a="1"/>
  <c r="U54" i="6" a="1"/>
  <c r="H31" i="6" a="1"/>
  <c r="H60" i="6" a="1"/>
  <c r="AE56" i="6" a="1"/>
  <c r="AE4" i="6" a="1"/>
  <c r="V44" i="6" a="1"/>
  <c r="G15" i="6" a="1"/>
  <c r="R66" i="6" a="1"/>
  <c r="K14" i="6" a="1"/>
  <c r="G14" i="6" a="1"/>
  <c r="AC21" i="6" a="1"/>
  <c r="M19" i="6" a="1"/>
  <c r="O13" i="6" a="1"/>
  <c r="W2" i="6" a="1"/>
  <c r="K31" i="6" a="1"/>
  <c r="G46" i="6" a="1"/>
  <c r="C5" i="6" a="1"/>
  <c r="F12" i="6" a="1"/>
  <c r="H16" i="6" a="1"/>
  <c r="W66" i="6" a="1"/>
  <c r="Y25" i="6" a="1"/>
  <c r="I58" i="6" a="1"/>
  <c r="O50" i="6" a="1"/>
  <c r="U2" i="6" a="1"/>
  <c r="E13" i="6" a="1"/>
  <c r="J10" i="6" a="1"/>
  <c r="Q42" i="6" a="1"/>
  <c r="AA63" i="6" a="1"/>
  <c r="C80" i="6" a="1"/>
  <c r="AE9" i="6" a="1"/>
  <c r="E62" i="6" a="1"/>
  <c r="Z4" i="6" a="1"/>
  <c r="K28" i="6" a="1"/>
  <c r="J21" i="6" a="1"/>
  <c r="V39" i="6" a="1"/>
  <c r="AB33" i="6" a="1"/>
  <c r="F2" i="6" a="1"/>
  <c r="F52" i="6" a="1"/>
  <c r="Z18" i="6" a="1"/>
  <c r="AA16" i="6" a="1"/>
  <c r="N22" i="4" a="1"/>
  <c r="D81" i="4" a="1"/>
  <c r="E35" i="4" a="1"/>
  <c r="P18" i="4" a="1"/>
  <c r="O13" i="4" a="1"/>
  <c r="H101" i="4" a="1"/>
  <c r="F82" i="4" a="1"/>
  <c r="R41" i="4" a="1"/>
  <c r="Z66" i="4" a="1"/>
  <c r="AE59" i="4" a="1"/>
  <c r="K41" i="4" a="1"/>
  <c r="Z70" i="4" a="1"/>
  <c r="P16" i="4" a="1"/>
  <c r="G29" i="4" a="1"/>
  <c r="W41" i="4" a="1"/>
  <c r="K35" i="4" a="1"/>
  <c r="E15" i="4" a="1"/>
  <c r="T86" i="4" a="1"/>
  <c r="AA66" i="4" a="1"/>
  <c r="W34" i="4" a="1"/>
  <c r="K26" i="4" a="1"/>
  <c r="X15" i="4" a="1"/>
  <c r="AC49" i="4" a="1"/>
  <c r="AA32" i="4" a="1"/>
  <c r="N89" i="4" a="1"/>
  <c r="I69" i="4" a="1"/>
  <c r="N16" i="4" a="1"/>
  <c r="F102" i="4" a="1"/>
  <c r="H16" i="4" a="1"/>
  <c r="X59" i="4" a="1"/>
  <c r="K64" i="4" a="1"/>
  <c r="AB98" i="4" a="1"/>
  <c r="G22" i="4" a="1"/>
  <c r="X33" i="4" a="1"/>
  <c r="U106" i="4" a="1"/>
  <c r="J54" i="4" a="1"/>
  <c r="S92" i="4" a="1"/>
  <c r="T31" i="4" a="1"/>
  <c r="T9" i="4" a="1"/>
  <c r="K66" i="4" a="1"/>
  <c r="R75" i="4" a="1"/>
  <c r="K50" i="4" a="1"/>
  <c r="E105" i="4" a="1"/>
  <c r="G26" i="4" a="1"/>
  <c r="N59" i="4" a="1"/>
  <c r="J15" i="4" a="1"/>
  <c r="W87" i="4" a="1"/>
  <c r="U71" i="4" a="1"/>
  <c r="T41" i="4" a="1"/>
  <c r="O24" i="4" a="1"/>
  <c r="M18" i="4" a="1"/>
  <c r="G36" i="4" a="1"/>
  <c r="I41" i="4" a="1"/>
  <c r="AA24" i="4" a="1"/>
  <c r="V50" i="4" a="1"/>
  <c r="S64" i="4" a="1"/>
  <c r="R33" i="4" a="1"/>
  <c r="L48" i="4" a="1"/>
  <c r="Q66" i="4" a="1"/>
  <c r="X48" i="4" a="1"/>
  <c r="G38" i="4" a="1"/>
  <c r="AB17" i="4" a="1"/>
  <c r="Q104" i="4" a="1"/>
  <c r="G65" i="4" a="1"/>
  <c r="Z31" i="4" a="1"/>
  <c r="V28" i="4" a="1"/>
  <c r="M65" i="4" a="1"/>
  <c r="M29" i="4" a="1"/>
  <c r="Q64" i="4" a="1"/>
  <c r="AA73" i="4" a="1"/>
  <c r="V61" i="4" a="1"/>
  <c r="Q62" i="4" a="1"/>
  <c r="P45" i="4" a="1"/>
  <c r="Z35" i="4" a="1"/>
  <c r="U51" i="4" a="1"/>
  <c r="S52" i="4" a="1"/>
  <c r="L3" i="2" a="1"/>
  <c r="P105" i="6" a="1"/>
  <c r="V95" i="6" a="1"/>
  <c r="T66" i="6" a="1"/>
  <c r="H106" i="6" a="1"/>
  <c r="P74" i="6" a="1"/>
  <c r="F77" i="6" a="1"/>
  <c r="AD18" i="6" a="1"/>
  <c r="I94" i="6" a="1"/>
  <c r="Q50" i="6" a="1"/>
  <c r="K83" i="6" a="1"/>
  <c r="I40" i="6" a="1"/>
  <c r="N75" i="6" a="1"/>
  <c r="M23" i="6" a="1"/>
  <c r="AA57" i="6" a="1"/>
  <c r="X77" i="6" a="1"/>
  <c r="H29" i="6" a="1"/>
  <c r="H36" i="6" a="1"/>
  <c r="Q22" i="6" a="1"/>
  <c r="C39" i="6" a="1"/>
  <c r="J109" i="6" a="1"/>
  <c r="W84" i="6" a="1"/>
  <c r="AA60" i="6" a="1"/>
  <c r="W54" i="6" a="1"/>
  <c r="AC40" i="6" a="1"/>
  <c r="J7" i="6" a="1"/>
  <c r="L52" i="6" a="1"/>
  <c r="G7" i="6" a="1"/>
  <c r="P29" i="6" a="1"/>
  <c r="H77" i="6" a="1"/>
  <c r="S9" i="6" a="1"/>
  <c r="W18" i="6" a="1"/>
  <c r="N5" i="6" a="1"/>
  <c r="AD103" i="6" a="1"/>
  <c r="Q46" i="6" a="1"/>
  <c r="G93" i="6" a="1"/>
  <c r="L65" i="6" a="1"/>
  <c r="T53" i="6" a="1"/>
  <c r="X24" i="6" a="1"/>
  <c r="E70" i="6" a="1"/>
  <c r="Q92" i="6" a="1"/>
  <c r="R45" i="6" a="1"/>
  <c r="AE91" i="6" a="1"/>
  <c r="AE100" i="6" a="1"/>
  <c r="P40" i="6" a="1"/>
  <c r="K43" i="6" a="1"/>
  <c r="C52" i="6" a="1"/>
  <c r="K6" i="6" a="1"/>
  <c r="Y65" i="6" a="1"/>
  <c r="D51" i="6" a="1"/>
  <c r="AD28" i="6" a="1"/>
  <c r="S53" i="6" a="1"/>
  <c r="N35" i="6" a="1"/>
  <c r="T18" i="6" a="1"/>
  <c r="L50" i="6" a="1"/>
  <c r="X12" i="6" a="1"/>
  <c r="I5" i="6" a="1"/>
  <c r="AD66" i="6" a="1"/>
  <c r="I26" i="6" a="1"/>
  <c r="E75" i="6" a="1"/>
  <c r="J23" i="6" a="1"/>
  <c r="AC39" i="6" a="1"/>
  <c r="N55" i="6" a="1"/>
  <c r="Q6" i="6" a="1"/>
  <c r="AE42" i="6" a="1"/>
  <c r="AA24" i="6" a="1"/>
  <c r="M26" i="6" a="1"/>
  <c r="Q58" i="6" a="1"/>
  <c r="D19" i="6" a="1"/>
  <c r="T30" i="6" a="1"/>
  <c r="H30" i="6" a="1"/>
  <c r="H76" i="6" a="1"/>
  <c r="H41" i="6" a="1"/>
  <c r="Z79" i="6" a="1"/>
  <c r="I21" i="6" a="1"/>
  <c r="AC47" i="6" a="1"/>
  <c r="K87" i="6" a="1"/>
  <c r="X41" i="6" a="1"/>
  <c r="AE34" i="6" a="1"/>
  <c r="K35" i="6" a="1"/>
  <c r="C35" i="6" a="1"/>
  <c r="N29" i="6" a="1"/>
  <c r="U13" i="6" a="1"/>
  <c r="AD5" i="6" a="1"/>
  <c r="G24" i="6" a="1"/>
  <c r="N50" i="6" a="1"/>
  <c r="AD9" i="6" a="1"/>
  <c r="I39" i="6" a="1"/>
  <c r="X56" i="6" a="1"/>
  <c r="G17" i="6" a="1"/>
  <c r="AD84" i="6" a="1"/>
  <c r="H11" i="6" a="1"/>
  <c r="C44" i="6" a="1"/>
  <c r="X40" i="6" a="1"/>
  <c r="D50" i="6" a="1"/>
  <c r="V46" i="6" a="1"/>
  <c r="X88" i="6" a="1"/>
  <c r="M70" i="6" a="1"/>
  <c r="J67" i="6" a="1"/>
  <c r="T45" i="6" a="1"/>
  <c r="J53" i="6" a="1"/>
  <c r="P59" i="6" a="1"/>
  <c r="AC8" i="6" a="1"/>
  <c r="L30" i="6" a="1"/>
  <c r="T13" i="6" a="1"/>
  <c r="G60" i="6" a="1"/>
  <c r="S36" i="6" a="1"/>
  <c r="Y17" i="6" a="1"/>
  <c r="P4" i="6" a="1"/>
  <c r="U33" i="6" a="1"/>
  <c r="Q21" i="6" a="1"/>
  <c r="V23" i="6" a="1"/>
  <c r="I36" i="6" a="1"/>
  <c r="I16" i="6" a="1"/>
  <c r="O34" i="6" a="1"/>
  <c r="AD44" i="6" a="1"/>
  <c r="AD27" i="6" a="1"/>
  <c r="AA23" i="6" a="1"/>
  <c r="AC12" i="6" a="1"/>
  <c r="R26" i="6" a="1"/>
  <c r="L24" i="6" a="1"/>
  <c r="M6" i="6" a="1"/>
  <c r="C41" i="6" a="1"/>
  <c r="O44" i="6" a="1"/>
  <c r="Y45" i="6" a="1"/>
  <c r="AC2" i="6" a="1"/>
  <c r="P32" i="6" a="1"/>
  <c r="AB4" i="6" a="1"/>
  <c r="L12" i="6" a="1"/>
  <c r="L21" i="6" a="1"/>
  <c r="I23" i="6" a="1"/>
  <c r="Q8" i="6" a="1"/>
  <c r="N23" i="6" a="1"/>
  <c r="O23" i="6" a="1"/>
  <c r="S14" i="6" a="1"/>
  <c r="K2" i="6" a="1"/>
  <c r="AE8" i="6" a="1"/>
  <c r="AA12" i="6" a="1"/>
  <c r="AA15" i="6" a="1"/>
  <c r="G49" i="6" a="1"/>
  <c r="Q69" i="6" a="1"/>
  <c r="X42" i="6" a="1"/>
  <c r="U28" i="6" a="1"/>
  <c r="G10" i="6" a="1"/>
  <c r="H13" i="6" a="1"/>
  <c r="AD82" i="6" a="1"/>
  <c r="K95" i="6" a="1"/>
  <c r="AE36" i="6" a="1"/>
  <c r="P2" i="6" a="1"/>
  <c r="Q88" i="6" a="1"/>
  <c r="U27" i="6" a="1"/>
  <c r="W33" i="6" a="1"/>
  <c r="AE74" i="4" a="1"/>
  <c r="J51" i="4" a="1"/>
  <c r="I52" i="4" a="1"/>
  <c r="AE16" i="4" a="1"/>
  <c r="K54" i="4" a="1"/>
  <c r="O58" i="4" a="1"/>
  <c r="AB56" i="4" a="1"/>
  <c r="J49" i="4" a="1"/>
  <c r="E6" i="4" a="1"/>
  <c r="N26" i="4" a="1"/>
  <c r="I8" i="4" a="1"/>
  <c r="O103" i="4" a="1"/>
  <c r="V40" i="4" a="1"/>
  <c r="O40" i="4" a="1"/>
  <c r="AB38" i="4" a="1"/>
  <c r="T107" i="4" a="1"/>
  <c r="AE89" i="4" a="1"/>
  <c r="W18" i="4" a="1"/>
  <c r="E17" i="4" a="1"/>
  <c r="W28" i="4" a="1"/>
  <c r="J26" i="4" a="1"/>
  <c r="M17" i="4" a="1"/>
  <c r="P23" i="4" a="1"/>
  <c r="V7" i="4" a="1"/>
  <c r="AD73" i="4" a="1"/>
  <c r="T82" i="4" a="1"/>
  <c r="J77" i="4" a="1"/>
  <c r="H11" i="4" a="1"/>
  <c r="N86" i="4" a="1"/>
  <c r="G13" i="4" a="1"/>
  <c r="X87" i="4" a="1"/>
  <c r="T32" i="4" a="1"/>
  <c r="E77" i="4" a="1"/>
  <c r="L36" i="4" a="1"/>
  <c r="O107" i="4" a="1"/>
  <c r="O48" i="4" a="1"/>
  <c r="Z77" i="4" a="1"/>
  <c r="L55" i="4" a="1"/>
  <c r="W81" i="4" a="1"/>
  <c r="Z38" i="4" a="1"/>
  <c r="L93" i="4" a="1"/>
  <c r="G104" i="4" a="1"/>
  <c r="AC54" i="4" a="1"/>
  <c r="O108" i="4" a="1"/>
  <c r="H67" i="4" a="1"/>
  <c r="R79" i="4" a="1"/>
  <c r="Y29" i="4" a="1"/>
  <c r="Q23" i="4" a="1"/>
  <c r="E49" i="4" a="1"/>
  <c r="J16" i="4" a="1"/>
  <c r="P57" i="4" a="1"/>
  <c r="Z21" i="4" a="1"/>
  <c r="M13" i="4" a="1"/>
  <c r="J43" i="4" a="1"/>
  <c r="AF66" i="4" a="1"/>
  <c r="R13" i="4" a="1"/>
  <c r="F52" i="4" a="1"/>
  <c r="N6" i="4" a="1"/>
  <c r="N12" i="4" a="1"/>
  <c r="AF93" i="4" a="1"/>
  <c r="AC81" i="4" a="1"/>
  <c r="O34" i="4" a="1"/>
  <c r="Y12" i="4" a="1"/>
  <c r="L29" i="4" a="1"/>
  <c r="E25" i="2" a="1"/>
  <c r="AB78" i="6" a="1"/>
  <c r="Z71" i="6" a="1"/>
  <c r="AA97" i="6" a="1"/>
  <c r="S84" i="6" a="1"/>
  <c r="H57" i="6" a="1"/>
  <c r="S63" i="6" a="1"/>
  <c r="L63" i="6" a="1"/>
  <c r="AA53" i="6" a="1"/>
  <c r="AA102" i="6" a="1"/>
  <c r="X101" i="6" a="1"/>
  <c r="AA45" i="6" a="1"/>
  <c r="V48" i="6" a="1"/>
  <c r="W22" i="6" a="1"/>
  <c r="F59" i="6" a="1"/>
  <c r="N16" i="6" a="1"/>
  <c r="C30" i="6" a="1"/>
  <c r="AC49" i="6" a="1"/>
  <c r="U34" i="6" a="1"/>
  <c r="AD23" i="6" a="1"/>
  <c r="X107" i="6" a="1"/>
  <c r="E33" i="6" a="1"/>
  <c r="S89" i="6" a="1"/>
  <c r="X104" i="6" a="1"/>
  <c r="O32" i="6" a="1"/>
  <c r="F84" i="6" a="1"/>
  <c r="S18" i="6" a="1"/>
  <c r="AB62" i="6" a="1"/>
  <c r="L34" i="6" a="1"/>
  <c r="G53" i="6" a="1"/>
  <c r="Y10" i="6" a="1"/>
  <c r="T29" i="6" a="1"/>
  <c r="E17" i="6" a="1"/>
  <c r="C66" i="6" a="1"/>
  <c r="M53" i="6" a="1"/>
  <c r="G6" i="6" a="1"/>
  <c r="J33" i="6" a="1"/>
  <c r="AD102" i="6" a="1"/>
  <c r="O3" i="6" a="1"/>
  <c r="Z100" i="6" a="1"/>
  <c r="V60" i="6" a="1"/>
  <c r="V100" i="6" a="1"/>
  <c r="Q57" i="6" a="1"/>
  <c r="Q74" i="6" a="1"/>
  <c r="H4" i="6" a="1"/>
  <c r="R13" i="6" a="1"/>
  <c r="AA40" i="6" a="1"/>
  <c r="S30" i="6" a="1"/>
  <c r="T65" i="6" a="1"/>
  <c r="V86" i="6" a="1"/>
  <c r="Q45" i="6" a="1"/>
  <c r="G22" i="6" a="1"/>
  <c r="F53" i="6" a="1"/>
  <c r="Q15" i="6" a="1"/>
  <c r="AE104" i="6" a="1"/>
  <c r="L47" i="6" a="1"/>
  <c r="N3" i="6" a="1"/>
  <c r="AB50" i="6" a="1"/>
  <c r="AC19" i="6" a="1"/>
  <c r="AE74" i="6" a="1"/>
  <c r="I19" i="6" a="1"/>
  <c r="AD75" i="6" a="1"/>
  <c r="Z19" i="6" a="1"/>
  <c r="I31" i="6" a="1"/>
  <c r="V6" i="6" a="1"/>
  <c r="O28" i="6" a="1"/>
  <c r="AB55" i="6" a="1"/>
  <c r="C55" i="6" a="1"/>
  <c r="V54" i="6" a="1"/>
  <c r="AE43" i="6" a="1"/>
  <c r="Y35" i="6" a="1"/>
  <c r="D61" i="6" a="1"/>
  <c r="U67" i="6" a="1"/>
  <c r="W48" i="6" a="1"/>
  <c r="N31" i="6" a="1"/>
  <c r="Z31" i="6" a="1"/>
  <c r="J102" i="6" a="1"/>
  <c r="F13" i="6" a="1"/>
  <c r="V50" i="6" a="1"/>
  <c r="T31" i="6" a="1"/>
  <c r="E65" i="6" a="1"/>
  <c r="R28" i="6" a="1"/>
  <c r="Q101" i="6" a="1"/>
  <c r="AB57" i="6" a="1"/>
  <c r="F27" i="6" a="1"/>
  <c r="AD59" i="6" a="1"/>
  <c r="F80" i="6" a="1"/>
  <c r="AB23" i="6" a="1"/>
  <c r="T54" i="6" a="1"/>
  <c r="H3" i="6" a="1"/>
  <c r="J3" i="6" a="1"/>
  <c r="AC46" i="6" a="1"/>
  <c r="U88" i="6" a="1"/>
  <c r="D74" i="6" a="1"/>
  <c r="Y43" i="6" a="1"/>
  <c r="X95" i="6" a="1"/>
  <c r="N53" i="6" a="1"/>
  <c r="F91" i="6" a="1"/>
  <c r="E41" i="6" a="1"/>
  <c r="X61" i="6" a="1"/>
  <c r="S38" i="6" a="1"/>
  <c r="K42" i="6" a="1"/>
  <c r="S29" i="6" a="1"/>
  <c r="Y13" i="6" a="1"/>
  <c r="Y7" i="6" a="1"/>
  <c r="F16" i="6" a="1"/>
  <c r="E16" i="6" a="1"/>
  <c r="T41" i="6" a="1"/>
  <c r="L25" i="6" a="1"/>
  <c r="J17" i="6" a="1"/>
  <c r="E28" i="6" a="1"/>
  <c r="H5" i="6" a="1"/>
  <c r="AC80" i="6" a="1"/>
  <c r="M97" i="6" a="1"/>
  <c r="F81" i="6" a="1"/>
  <c r="T74" i="6" a="1"/>
  <c r="H37" i="6" a="1"/>
  <c r="AD36" i="6" a="1"/>
  <c r="W20" i="6" a="1"/>
  <c r="N4" i="6" a="1"/>
  <c r="M43" i="6" a="1"/>
  <c r="M73" i="6" a="1"/>
  <c r="P9" i="6" a="1"/>
  <c r="G35" i="6" a="1"/>
  <c r="R17" i="6" a="1"/>
  <c r="O78" i="6" a="1"/>
  <c r="L2" i="6" a="1"/>
  <c r="AC22" i="6" a="1"/>
  <c r="V28" i="6" a="1"/>
  <c r="V102" i="6" a="1"/>
  <c r="O36" i="6" a="1"/>
  <c r="P5" i="6" a="1"/>
  <c r="O9" i="6" a="1"/>
  <c r="I76" i="6" a="1"/>
  <c r="J14" i="6" a="1"/>
  <c r="V43" i="6" a="1"/>
  <c r="H2" i="6" a="1"/>
  <c r="M14" i="6" a="1"/>
  <c r="I27" i="6" a="1"/>
  <c r="O47" i="6" a="1"/>
  <c r="O83" i="6" a="1"/>
  <c r="G67" i="6" a="1"/>
  <c r="M15" i="6" a="1"/>
  <c r="AC57" i="6" a="1"/>
  <c r="T71" i="6" a="1"/>
  <c r="AA47" i="6" a="1"/>
  <c r="W104" i="6" a="1"/>
  <c r="J15" i="6" a="1"/>
  <c r="Q10" i="6" a="1"/>
  <c r="S2" i="6" a="1"/>
  <c r="R58" i="6" a="1"/>
  <c r="R21" i="6" a="1"/>
  <c r="I73" i="6" a="1"/>
  <c r="AB102" i="4" a="1"/>
  <c r="R94" i="4" a="1"/>
  <c r="AB69" i="4" a="1"/>
  <c r="Y36" i="4" a="1"/>
  <c r="E23" i="4" a="1"/>
  <c r="W2" i="4" a="1"/>
  <c r="M21" i="4" a="1"/>
  <c r="V64" i="4" a="1"/>
  <c r="D57" i="4" a="1"/>
  <c r="M30" i="4" a="1"/>
  <c r="AE29" i="4" a="1"/>
  <c r="F15" i="4" a="1"/>
  <c r="AE21" i="4" a="1"/>
  <c r="T22" i="4" a="1"/>
  <c r="L86" i="4" a="1"/>
  <c r="E8" i="4" a="1"/>
  <c r="AC90" i="4" a="1"/>
  <c r="V20" i="4" a="1"/>
  <c r="J7" i="4" a="1"/>
  <c r="N35" i="4" a="1"/>
  <c r="Y16" i="4" a="1"/>
  <c r="U35" i="4" a="1"/>
  <c r="K24" i="4" a="1"/>
  <c r="AC67" i="4" a="1"/>
  <c r="E42" i="4" a="1"/>
  <c r="AC18" i="4" a="1"/>
  <c r="AE85" i="4" a="1"/>
  <c r="N30" i="4" a="1"/>
  <c r="U84" i="4" a="1"/>
  <c r="T19" i="4" a="1"/>
  <c r="AD9" i="4" a="1"/>
  <c r="K97" i="4" a="1"/>
  <c r="X3" i="4" a="1"/>
  <c r="I10" i="4" a="1"/>
  <c r="AC24" i="4" a="1"/>
  <c r="L75" i="4" a="1"/>
  <c r="X68" i="4" a="1"/>
  <c r="G6" i="4" a="1"/>
  <c r="AA62" i="4" a="1"/>
  <c r="AB94" i="4" a="1"/>
  <c r="I42" i="4" a="1"/>
  <c r="U8" i="4" a="1"/>
  <c r="Q24" i="4" a="1"/>
  <c r="AD41" i="4" a="1"/>
  <c r="F14" i="4" a="1"/>
  <c r="P21" i="4" a="1"/>
  <c r="B2" i="4" a="1"/>
  <c r="AD29" i="4" a="1"/>
  <c r="R48" i="4" a="1"/>
  <c r="J103" i="4" a="1"/>
  <c r="E106" i="4" a="1"/>
  <c r="AE43" i="4" a="1"/>
  <c r="O25" i="4" a="1"/>
  <c r="P103" i="4" a="1"/>
  <c r="M105" i="4" a="1"/>
  <c r="S8" i="4" a="1"/>
  <c r="F99" i="4" a="1"/>
  <c r="H57" i="4" a="1"/>
  <c r="P37" i="4" a="1"/>
  <c r="H109" i="4" a="1"/>
  <c r="T14" i="4" a="1"/>
  <c r="S12" i="4" a="1"/>
  <c r="K51" i="4" a="1"/>
  <c r="Y35" i="4" a="1"/>
  <c r="W12" i="4" a="1"/>
  <c r="X56" i="4" a="1"/>
  <c r="P102" i="4" a="1"/>
  <c r="O29" i="4" a="1"/>
  <c r="N31" i="4" a="1"/>
  <c r="J14" i="4" a="1"/>
  <c r="AD43" i="4" a="1"/>
  <c r="V84" i="4" a="1"/>
  <c r="AC92" i="4" a="1"/>
  <c r="M100" i="4" a="1"/>
  <c r="M32" i="4" a="1"/>
  <c r="AC33" i="4" a="1"/>
  <c r="K47" i="4" a="1"/>
  <c r="K21" i="4" a="1"/>
  <c r="M81" i="4" a="1"/>
  <c r="Q75" i="4" a="1"/>
  <c r="Y107" i="4" a="1"/>
  <c r="P48" i="4" a="1"/>
  <c r="S49" i="4" a="1"/>
  <c r="AD85" i="4" a="1"/>
  <c r="O12" i="4" a="1"/>
  <c r="AB32" i="4" a="1"/>
  <c r="AA63" i="4" a="1"/>
  <c r="F85" i="4" a="1"/>
  <c r="Y75" i="4" a="1"/>
  <c r="M79" i="4" a="1"/>
  <c r="X17" i="4" a="1"/>
  <c r="Q38" i="4" a="1"/>
  <c r="I17" i="4" a="1"/>
  <c r="D91" i="4" a="1"/>
  <c r="I109" i="4" a="1"/>
  <c r="Q83" i="4" a="1"/>
  <c r="P92" i="4" a="1"/>
  <c r="G2" i="4" a="1"/>
  <c r="O101" i="4" a="1"/>
  <c r="H31" i="4" a="1"/>
  <c r="X21" i="4" a="1"/>
  <c r="D10" i="4" a="1"/>
  <c r="H11" i="2" a="1"/>
  <c r="AE95" i="6" a="1"/>
  <c r="T73" i="6" a="1"/>
  <c r="W90" i="6" a="1"/>
  <c r="N78" i="6" a="1"/>
  <c r="AE99" i="6" a="1"/>
  <c r="S107" i="6" a="1"/>
  <c r="D106" i="6" a="1"/>
  <c r="AB91" i="6" a="1"/>
  <c r="F108" i="6" a="1"/>
  <c r="Z45" i="6" a="1"/>
  <c r="Z67" i="6" a="1"/>
  <c r="C40" i="6" a="1"/>
  <c r="T9" i="6" a="1"/>
  <c r="R5" i="6" a="1"/>
  <c r="S4" i="6" a="1"/>
  <c r="U57" i="6" a="1"/>
  <c r="K38" i="6" a="1"/>
  <c r="K15" i="6" a="1"/>
  <c r="O46" i="6" a="1"/>
  <c r="S66" i="6" a="1"/>
  <c r="D94" i="6" a="1"/>
  <c r="X81" i="6" a="1"/>
  <c r="AB81" i="6" a="1"/>
  <c r="AE25" i="6" a="1"/>
  <c r="P15" i="6" a="1"/>
  <c r="U3" i="6" a="1"/>
  <c r="X76" i="6" a="1"/>
  <c r="F6" i="6" a="1"/>
  <c r="W15" i="6" a="1"/>
  <c r="AD20" i="6" a="1"/>
  <c r="L89" i="6" a="1"/>
  <c r="Z11" i="6" a="1"/>
  <c r="S94" i="6" a="1"/>
  <c r="N39" i="6" a="1"/>
  <c r="R3" i="6" a="1"/>
  <c r="AE97" i="6" a="1"/>
  <c r="T93" i="6" a="1"/>
  <c r="O81" i="6" a="1"/>
  <c r="E73" i="6" a="1"/>
  <c r="Y89" i="6" a="1"/>
  <c r="AD71" i="6" a="1"/>
  <c r="D47" i="6" a="1"/>
  <c r="X106" i="6" a="1"/>
  <c r="R53" i="6" a="1"/>
  <c r="G5" i="6" a="1"/>
  <c r="J18" i="6" a="1"/>
  <c r="Y21" i="6" a="1"/>
  <c r="R50" i="6" a="1"/>
  <c r="U72" i="6" a="1"/>
  <c r="AB7" i="6" a="1"/>
  <c r="H25" i="6" a="1"/>
  <c r="Y42" i="6" a="1"/>
  <c r="V41" i="6" a="1"/>
  <c r="F96" i="6" a="1"/>
  <c r="H54" i="6" a="1"/>
  <c r="R32" i="6" a="1"/>
  <c r="Y26" i="6" a="1"/>
  <c r="AD58" i="6" a="1"/>
  <c r="W52" i="6" a="1"/>
  <c r="Z13" i="6" a="1"/>
  <c r="Q32" i="6" a="1"/>
  <c r="L6" i="6" a="1"/>
  <c r="G28" i="6" a="1"/>
  <c r="K26" i="6" a="1"/>
  <c r="AC10" i="6" a="1"/>
  <c r="R49" i="6" a="1"/>
  <c r="I85" i="6" a="1"/>
  <c r="T25" i="6" a="1"/>
  <c r="P27" i="6" a="1"/>
  <c r="W53" i="6" a="1"/>
  <c r="W88" i="6" a="1"/>
  <c r="K91" i="6" a="1"/>
  <c r="AC14" i="6" a="1"/>
  <c r="R43" i="6" a="1"/>
  <c r="H66" i="6" a="1"/>
  <c r="Y14" i="6" a="1"/>
  <c r="P28" i="6" a="1"/>
  <c r="U11" i="6" a="1"/>
  <c r="J64" i="6" a="1"/>
  <c r="G32" i="6" a="1"/>
  <c r="L98" i="6" a="1"/>
  <c r="AC29" i="6" a="1"/>
  <c r="E23" i="6" a="1"/>
  <c r="P11" i="6" a="1"/>
  <c r="I15" i="6" a="1"/>
  <c r="T6" i="6" a="1"/>
  <c r="AA13" i="6" a="1"/>
  <c r="H39" i="6" a="1"/>
  <c r="M7" i="6" a="1"/>
  <c r="U25" i="6" a="1"/>
  <c r="H95" i="6" a="1"/>
  <c r="AC64" i="6" a="1"/>
  <c r="V35" i="6" a="1"/>
  <c r="J32" i="6" a="1"/>
  <c r="N8" i="6" a="1"/>
  <c r="I108" i="6" a="1"/>
  <c r="P8" i="6" a="1"/>
  <c r="C51" i="6" a="1"/>
  <c r="C6" i="6" a="1"/>
  <c r="X58" i="6" a="1"/>
  <c r="Y9" i="6" a="1"/>
  <c r="Y60" i="6" a="1"/>
  <c r="W38" i="6" a="1"/>
  <c r="Z51" i="6" a="1"/>
  <c r="AE23" i="6" a="1"/>
  <c r="O63" i="6" a="1"/>
  <c r="D24" i="6" a="1"/>
  <c r="P51" i="6" a="1"/>
  <c r="T37" i="6" a="1"/>
  <c r="L3" i="6" a="1"/>
  <c r="Q40" i="6" a="1"/>
  <c r="R8" i="6" a="1"/>
  <c r="J38" i="6" a="1"/>
  <c r="W36" i="6" a="1"/>
  <c r="S41" i="6" a="1"/>
  <c r="AC36" i="6" a="1"/>
  <c r="M60" i="6" a="1"/>
  <c r="W7" i="6" a="1"/>
  <c r="O15" i="6" a="1"/>
  <c r="R6" i="6" a="1"/>
  <c r="AA2" i="6" a="1"/>
  <c r="S91" i="6" a="1"/>
  <c r="S48" i="6" a="1"/>
  <c r="O18" i="6" a="1"/>
  <c r="E80" i="6" a="1"/>
  <c r="AA19" i="6" a="1"/>
  <c r="K40" i="6" a="1"/>
  <c r="W21" i="6" a="1"/>
  <c r="AE37" i="6" a="1"/>
  <c r="Y28" i="6" a="1"/>
  <c r="K59" i="6" a="1"/>
  <c r="S15" i="6" a="1"/>
  <c r="O5" i="6" a="1"/>
  <c r="AD34" i="6" a="1"/>
  <c r="C103" i="6" a="1"/>
  <c r="T4" i="6" a="1"/>
  <c r="G11" i="6" a="1"/>
  <c r="Q16" i="6" a="1"/>
  <c r="X74" i="6" a="1"/>
  <c r="R24" i="6" a="1"/>
  <c r="L20" i="6" a="1"/>
  <c r="P43" i="6" a="1"/>
  <c r="F37" i="6" a="1"/>
  <c r="P38" i="6" a="1"/>
  <c r="V34" i="6" a="1"/>
  <c r="F44" i="6" a="1"/>
  <c r="AE81" i="6" a="1"/>
  <c r="AD2" i="6" a="1"/>
  <c r="X21" i="6" a="1"/>
  <c r="U101" i="6" a="1"/>
  <c r="N17" i="6" a="1"/>
  <c r="M95" i="4" a="1"/>
  <c r="P30" i="4" a="1"/>
  <c r="AA11" i="4" a="1"/>
  <c r="M66" i="4" a="1"/>
  <c r="D108" i="4" a="1"/>
  <c r="H53" i="4" a="1"/>
  <c r="AA65" i="4" a="1"/>
  <c r="Q76" i="4" a="1"/>
  <c r="W98" i="4" a="1"/>
  <c r="AA77" i="4" a="1"/>
  <c r="I39" i="4" a="1"/>
  <c r="E39" i="4" a="1"/>
  <c r="V80" i="4" a="1"/>
  <c r="U99" i="4" a="1"/>
  <c r="Q85" i="4" a="1"/>
  <c r="T35" i="4" a="1"/>
  <c r="G99" i="4" a="1"/>
  <c r="AC101" i="4" a="1"/>
  <c r="N63" i="4" a="1"/>
  <c r="AC30" i="4" a="1"/>
  <c r="Y68" i="4" a="1"/>
  <c r="N96" i="4" a="1"/>
  <c r="Y47" i="4" a="1"/>
  <c r="W24" i="4" a="1"/>
  <c r="E59" i="4" a="1"/>
  <c r="V96" i="4" a="1"/>
  <c r="AE52" i="4" a="1"/>
  <c r="AA41" i="4" a="1"/>
  <c r="D73" i="4" a="1"/>
  <c r="AB72" i="4" a="1"/>
  <c r="J30" i="4" a="1"/>
  <c r="P2" i="4" a="1"/>
  <c r="E46" i="4" a="1"/>
  <c r="X91" i="4" a="1"/>
  <c r="H70" i="4" a="1"/>
  <c r="M58" i="4" a="1"/>
  <c r="Y43" i="4" a="1"/>
  <c r="N71" i="4" a="1"/>
  <c r="Y85" i="4" a="1"/>
  <c r="Q58" i="4" a="1"/>
  <c r="K23" i="4" a="1"/>
  <c r="Y20" i="4" a="1"/>
  <c r="O62" i="4" a="1"/>
  <c r="O16" i="4" a="1"/>
  <c r="F96" i="4" a="1"/>
  <c r="AA101" i="4" a="1"/>
  <c r="AB33" i="4" a="1"/>
  <c r="AC45" i="4" a="1"/>
  <c r="R62" i="4" a="1"/>
  <c r="Y102" i="4" a="1"/>
  <c r="AA4" i="4" a="1"/>
  <c r="AB14" i="4" a="1"/>
  <c r="S83" i="4" a="1"/>
  <c r="AA50" i="4" a="1"/>
  <c r="AB92" i="4" a="1"/>
  <c r="J76" i="4" a="1"/>
  <c r="AD13" i="4" a="1"/>
  <c r="D90" i="4" a="1"/>
  <c r="X7" i="4" a="1"/>
  <c r="K44" i="4" a="1"/>
  <c r="J31" i="4" a="1"/>
  <c r="P17" i="4" a="1"/>
  <c r="E102" i="4" a="1"/>
  <c r="Z109" i="4" a="1"/>
  <c r="D54" i="4" a="1"/>
  <c r="V37" i="4" a="1"/>
  <c r="U108" i="4" a="1"/>
  <c r="I82" i="4" a="1"/>
  <c r="S15" i="4" a="1"/>
  <c r="S40" i="4" a="1"/>
  <c r="F66" i="4" a="1"/>
  <c r="F24" i="4" a="1"/>
  <c r="R25" i="4" a="1"/>
  <c r="J73" i="4" a="1"/>
  <c r="L5" i="4" a="1"/>
  <c r="N70" i="4" a="1"/>
  <c r="R68" i="4" a="1"/>
  <c r="L12" i="4" a="1"/>
  <c r="AB13" i="4" a="1"/>
  <c r="T87" i="4" a="1"/>
  <c r="U96" i="4" a="1"/>
  <c r="E78" i="4" a="1"/>
  <c r="G12" i="4" a="1"/>
  <c r="X65" i="4" a="1"/>
  <c r="Q11" i="4" a="1"/>
  <c r="AA88" i="4" a="1"/>
  <c r="W39" i="4" a="1"/>
  <c r="AD105" i="4" a="1"/>
  <c r="O31" i="4" a="1"/>
  <c r="Y28" i="4" a="1"/>
  <c r="AB48" i="4" a="1"/>
  <c r="Z87" i="4" a="1"/>
  <c r="Y65" i="4" a="1"/>
  <c r="P86" i="4" a="1"/>
  <c r="F83" i="4" a="1"/>
  <c r="S93" i="4" a="1"/>
  <c r="AC5" i="4" a="1"/>
  <c r="E58" i="4" a="1"/>
  <c r="U38" i="4" a="1"/>
  <c r="P95" i="4" a="1"/>
  <c r="H29" i="4" a="1"/>
  <c r="U49" i="4" a="1"/>
  <c r="M4" i="2" a="1"/>
  <c r="AB102" i="6" a="1"/>
  <c r="K22" i="6" a="1"/>
  <c r="F48" i="6" a="1"/>
  <c r="S70" i="6" a="1"/>
  <c r="P60" i="6" a="1"/>
  <c r="J6" i="6" a="1"/>
  <c r="X52" i="6" a="1"/>
  <c r="O87" i="6" a="1"/>
  <c r="M4" i="6" a="1"/>
  <c r="T27" i="6" a="1"/>
  <c r="U4" i="6" a="1"/>
  <c r="AD67" i="4" a="1"/>
  <c r="K22" i="4" a="1"/>
  <c r="E90" i="4" a="1"/>
  <c r="R18" i="4" a="1"/>
  <c r="J95" i="4" a="1"/>
  <c r="AF89" i="4" a="1"/>
  <c r="S26" i="4" a="1"/>
  <c r="Q42" i="4" a="1"/>
  <c r="O43" i="4" a="1"/>
  <c r="W65" i="4" a="1"/>
  <c r="P3" i="4" a="1"/>
  <c r="G80" i="4" a="1"/>
  <c r="Q90" i="4" a="1"/>
  <c r="V35" i="4" a="1"/>
  <c r="AA80" i="4" a="1"/>
  <c r="K87" i="4" a="1"/>
  <c r="E86" i="4" a="1"/>
  <c r="T95" i="4" a="1"/>
  <c r="Y100" i="4" a="1"/>
  <c r="J57" i="4" a="1"/>
  <c r="AA16" i="4" a="1"/>
  <c r="E107" i="4" a="1"/>
  <c r="F37" i="4" a="1"/>
  <c r="Y53" i="4" a="1"/>
  <c r="AB80" i="4" a="1"/>
  <c r="N14" i="4" a="1"/>
  <c r="AC20" i="4" a="1"/>
  <c r="P62" i="4" a="1"/>
  <c r="AA38" i="4" a="1"/>
  <c r="M39" i="4" a="1"/>
  <c r="F67" i="4" a="1"/>
  <c r="I58" i="4" a="1"/>
  <c r="O80" i="4" a="1"/>
  <c r="I100" i="4" a="1"/>
  <c r="W36" i="4" a="1"/>
  <c r="U4" i="4" a="1"/>
  <c r="AA6" i="4" a="1"/>
  <c r="K8" i="4" a="1"/>
  <c r="K13" i="4" a="1"/>
  <c r="J69" i="4" a="1"/>
  <c r="M9" i="4" a="1"/>
  <c r="X4" i="4" a="1"/>
  <c r="G69" i="4" a="1"/>
  <c r="AD14" i="4" a="1"/>
  <c r="AC47" i="4" a="1"/>
  <c r="L7" i="4" a="1"/>
  <c r="AD65" i="4" a="1"/>
  <c r="E89" i="4" a="1"/>
  <c r="X9" i="4" a="1"/>
  <c r="L92" i="4" a="1"/>
  <c r="AF11" i="4" a="1"/>
  <c r="Q105" i="4" a="1"/>
  <c r="F84" i="4" a="1"/>
  <c r="I89" i="4" a="1"/>
  <c r="Z4" i="4" a="1"/>
  <c r="AF64" i="4" a="1"/>
  <c r="AE28" i="4" a="1"/>
  <c r="D11" i="4" a="1"/>
  <c r="M108" i="4" a="1"/>
  <c r="W56" i="4" a="1"/>
  <c r="S85" i="4" a="1"/>
  <c r="Z41" i="4" a="1"/>
  <c r="AD57" i="4" a="1"/>
  <c r="H78" i="4" a="1"/>
  <c r="D104" i="4" a="1"/>
  <c r="G27" i="4" a="1"/>
  <c r="T76" i="4" a="1"/>
  <c r="V11" i="4" a="1"/>
  <c r="O102" i="4" a="1"/>
  <c r="I46" i="4" a="1"/>
  <c r="D89" i="4" a="1"/>
  <c r="L78" i="4" a="1"/>
  <c r="AF85" i="4" a="1"/>
  <c r="D59" i="4" a="1"/>
  <c r="AB10" i="4" a="1"/>
  <c r="Z44" i="4" a="1"/>
  <c r="Y30" i="4" a="1"/>
  <c r="V25" i="4" a="1"/>
  <c r="Z19" i="4" a="1"/>
  <c r="T10" i="4" a="1"/>
  <c r="S34" i="4" a="1"/>
  <c r="E19" i="4" a="1"/>
  <c r="AF7" i="4" a="1"/>
  <c r="K39" i="4" a="1"/>
  <c r="AE106" i="4" a="1"/>
  <c r="M96" i="4" a="1"/>
  <c r="N69" i="4" a="1"/>
  <c r="J92" i="4" a="1"/>
  <c r="J55" i="4" a="1"/>
  <c r="F26" i="4" a="1"/>
  <c r="M20" i="4" a="1"/>
  <c r="L63" i="4" a="1"/>
  <c r="E63" i="4" a="1"/>
  <c r="O61" i="4" a="1"/>
  <c r="AB54" i="4" a="1"/>
  <c r="O19" i="4" a="1"/>
  <c r="W37" i="4" a="1"/>
  <c r="V17" i="4" a="1"/>
  <c r="T109" i="4" a="1"/>
  <c r="AD38" i="4" a="1"/>
  <c r="AF38" i="4" a="1"/>
  <c r="Q33" i="4" a="1"/>
  <c r="R49" i="4" a="1"/>
  <c r="W108" i="4" a="1"/>
  <c r="Q69" i="4" a="1"/>
  <c r="U3" i="4" a="1"/>
  <c r="O27" i="4" a="1"/>
  <c r="K28" i="4" a="1"/>
  <c r="I30" i="4" a="1"/>
  <c r="AC25" i="4" a="1"/>
  <c r="AD18" i="4" a="1"/>
  <c r="U104" i="4" a="1"/>
  <c r="K96" i="4" a="1"/>
  <c r="AA20" i="4" a="1"/>
  <c r="L65" i="4" a="1"/>
  <c r="G102" i="4" a="1"/>
  <c r="X81" i="4" a="1"/>
  <c r="R2" i="4" a="1"/>
  <c r="Q7" i="4" a="1"/>
  <c r="D65" i="4" a="1"/>
  <c r="E100" i="4" a="1"/>
  <c r="Q16" i="4" a="1"/>
  <c r="P54" i="4" a="1"/>
  <c r="AB68" i="4" a="1"/>
  <c r="X98" i="4" a="1"/>
  <c r="U100" i="4" a="1"/>
  <c r="O74" i="4" a="1"/>
  <c r="D109" i="4" a="1"/>
  <c r="H71" i="4" a="1"/>
  <c r="Q70" i="4" a="1"/>
  <c r="F70" i="4" a="1"/>
  <c r="T26" i="4" a="1"/>
  <c r="AB64" i="4" a="1"/>
  <c r="H48" i="4" a="1"/>
  <c r="R23" i="4" a="1"/>
  <c r="U79" i="4" a="1"/>
  <c r="AA23" i="4" a="1"/>
  <c r="AA5" i="4" a="1"/>
  <c r="I78" i="4" a="1"/>
  <c r="Y86" i="4" a="1"/>
  <c r="X14" i="4" a="1"/>
  <c r="AD25" i="4" a="1"/>
  <c r="AA29" i="4" a="1"/>
  <c r="Z33" i="4" a="1"/>
  <c r="I20" i="4" a="1"/>
  <c r="P69" i="4" a="1"/>
  <c r="T30" i="4" a="1"/>
  <c r="M47" i="4" a="1"/>
  <c r="N73" i="4" a="1"/>
  <c r="I84" i="4" a="1"/>
  <c r="U7" i="4" a="1"/>
  <c r="D27" i="4" a="1"/>
  <c r="AC75" i="4" a="1"/>
  <c r="AD30" i="4" a="1"/>
  <c r="L38" i="4" a="1"/>
  <c r="Y10" i="4" a="1"/>
  <c r="AE41" i="4" a="1"/>
  <c r="Q59" i="4" a="1"/>
  <c r="I47" i="4" a="1"/>
  <c r="N91" i="4" a="1"/>
  <c r="Y97" i="4" a="1"/>
  <c r="Q103" i="4" a="1"/>
  <c r="I26" i="4" a="1"/>
  <c r="Z39" i="4" a="1"/>
  <c r="D20" i="4" a="1"/>
  <c r="F91" i="4" a="1"/>
  <c r="W102" i="4" a="1"/>
  <c r="AF73" i="4" a="1"/>
  <c r="I19" i="4" a="1"/>
  <c r="N40" i="4" a="1"/>
  <c r="U36" i="4" a="1"/>
  <c r="AC63" i="4" a="1"/>
  <c r="V6" i="4" a="1"/>
  <c r="AC85" i="4" a="1"/>
  <c r="X67" i="4" a="1"/>
  <c r="S67" i="4" a="1"/>
  <c r="P67" i="4" a="1"/>
  <c r="T17" i="4" a="1"/>
  <c r="N68" i="4" a="1"/>
  <c r="Y38" i="4" a="1"/>
  <c r="F48" i="4" a="1"/>
  <c r="I76" i="4" a="1"/>
  <c r="M14" i="4" a="1"/>
  <c r="Q81" i="4" a="1"/>
  <c r="O10" i="4" a="1"/>
  <c r="R7" i="4" a="1"/>
  <c r="Z98" i="4" a="1"/>
  <c r="L73" i="4" a="1"/>
  <c r="V71" i="4" a="1"/>
  <c r="AC51" i="4" a="1"/>
  <c r="AF88" i="4" a="1"/>
  <c r="AF54" i="4" a="1"/>
  <c r="AF42" i="4" a="1"/>
  <c r="L64" i="4" a="1"/>
  <c r="Y49" i="4" a="1"/>
  <c r="G68" i="4" a="1"/>
  <c r="AA43" i="4" a="1"/>
  <c r="AE31" i="4" a="1"/>
  <c r="S73" i="4" a="1"/>
  <c r="AA90" i="4" a="1"/>
  <c r="W55" i="4" a="1"/>
  <c r="Z50" i="4" a="1"/>
  <c r="M24" i="4" a="1"/>
  <c r="J10" i="4" a="1"/>
  <c r="E2" i="4" a="1"/>
  <c r="V12" i="4" a="1"/>
  <c r="K75" i="4" a="1"/>
  <c r="G73" i="4" a="1"/>
  <c r="Y6" i="6" a="1"/>
  <c r="R74" i="6" a="1"/>
  <c r="AC41" i="6" a="1"/>
  <c r="Z38" i="6" a="1"/>
  <c r="Q72" i="6" a="1"/>
  <c r="E43" i="6" a="1"/>
  <c r="V82" i="6" a="1"/>
  <c r="Z50" i="6" a="1"/>
  <c r="U82" i="6" a="1"/>
  <c r="H17" i="6" a="1"/>
  <c r="I46" i="6" a="1"/>
  <c r="K21" i="6" a="1"/>
  <c r="H22" i="4" a="1"/>
  <c r="E85" i="4" a="1"/>
  <c r="O84" i="4" a="1"/>
  <c r="AD35" i="4" a="1"/>
  <c r="W68" i="4" a="1"/>
  <c r="S99" i="4" a="1"/>
  <c r="AD72" i="4" a="1"/>
  <c r="AB89" i="4" a="1"/>
  <c r="S24" i="4" a="1"/>
  <c r="F74" i="4" a="1"/>
  <c r="AA21" i="4" a="1"/>
  <c r="T2" i="4" a="1"/>
  <c r="W20" i="4" a="1"/>
  <c r="P90" i="4" a="1"/>
  <c r="F50" i="4" a="1"/>
  <c r="AD26" i="4" a="1"/>
  <c r="E21" i="4" a="1"/>
  <c r="W22" i="4" a="1"/>
  <c r="H62" i="4" a="1"/>
  <c r="P104" i="4" a="1"/>
  <c r="G9" i="4" a="1"/>
  <c r="AE57" i="4" a="1"/>
  <c r="E57" i="4" a="1"/>
  <c r="R9" i="4" a="1"/>
  <c r="F45" i="4" a="1"/>
  <c r="AC57" i="4" a="1"/>
  <c r="T4" i="4" a="1"/>
  <c r="U2" i="4" a="1"/>
  <c r="H15" i="4" a="1"/>
  <c r="V76" i="4" a="1"/>
  <c r="AB73" i="4" a="1"/>
  <c r="Y42" i="4" a="1"/>
  <c r="V34" i="4" a="1"/>
  <c r="U41" i="4" a="1"/>
  <c r="S38" i="4" a="1"/>
  <c r="J58" i="4" a="1"/>
  <c r="T90" i="4" a="1"/>
  <c r="AB104" i="4" a="1"/>
  <c r="S30" i="4" a="1"/>
  <c r="P72" i="4" a="1"/>
  <c r="O82" i="4" a="1"/>
  <c r="S50" i="4" a="1"/>
  <c r="X47" i="4" a="1"/>
  <c r="Y78" i="4" a="1"/>
  <c r="AD100" i="4" a="1"/>
  <c r="L18" i="4" a="1"/>
  <c r="S11" i="4" a="1"/>
  <c r="AD71" i="4" a="1"/>
  <c r="H13" i="4" a="1"/>
  <c r="E37" i="4" a="1"/>
  <c r="Z34" i="4" a="1"/>
  <c r="D75" i="4" a="1"/>
  <c r="F44" i="4" a="1"/>
  <c r="Q39" i="4" a="1"/>
  <c r="AB90" i="4" a="1"/>
  <c r="E7" i="4" a="1"/>
  <c r="P47" i="4" a="1"/>
  <c r="AA60" i="4" a="1"/>
  <c r="U15" i="4" a="1"/>
  <c r="V57" i="4" a="1"/>
  <c r="Q48" i="4" a="1"/>
  <c r="N58" i="4" a="1"/>
  <c r="P78" i="4" a="1"/>
  <c r="U62" i="4" a="1"/>
  <c r="V18" i="4" a="1"/>
  <c r="AD84" i="4" a="1"/>
  <c r="N82" i="4" a="1"/>
  <c r="U66" i="4" a="1"/>
  <c r="D32" i="4" a="1"/>
  <c r="AE50" i="4" a="1"/>
  <c r="AE35" i="4" a="1"/>
  <c r="Z32" i="4" a="1"/>
  <c r="W67" i="4" a="1"/>
  <c r="H33" i="4" a="1"/>
  <c r="O39" i="4" a="1"/>
  <c r="AA14" i="4" a="1"/>
  <c r="D24" i="4" a="1"/>
  <c r="O47" i="4" a="1"/>
  <c r="H103" i="4" a="1"/>
  <c r="Y59" i="4" a="1"/>
  <c r="E51" i="4" a="1"/>
  <c r="W93" i="4" a="1"/>
  <c r="AE33" i="4" a="1"/>
  <c r="Q71" i="4" a="1"/>
  <c r="P34" i="4" a="1"/>
  <c r="Q65" i="4" a="1"/>
  <c r="Z104" i="4" a="1"/>
  <c r="X39" i="4" a="1"/>
  <c r="M62" i="4" a="1"/>
  <c r="R20" i="4" a="1"/>
  <c r="O104" i="4" a="1"/>
  <c r="N81" i="4" a="1"/>
  <c r="G43" i="4" a="1"/>
  <c r="P76" i="4" a="1"/>
  <c r="S32" i="4" a="1"/>
  <c r="D78" i="4" a="1"/>
  <c r="AF109" i="4" a="1"/>
  <c r="O57" i="4" a="1"/>
  <c r="AF96" i="4" a="1"/>
  <c r="Z26" i="4" a="1"/>
  <c r="AE109" i="4" a="1"/>
  <c r="R53" i="4" a="1"/>
  <c r="AA17" i="4" a="1"/>
  <c r="E22" i="4" a="1"/>
  <c r="N102" i="4" a="1"/>
  <c r="M41" i="4" a="1"/>
  <c r="Z17" i="4" a="1"/>
  <c r="E96" i="4" a="1"/>
  <c r="X13" i="4" a="1"/>
  <c r="R86" i="4" a="1"/>
  <c r="S79" i="4" a="1"/>
  <c r="AE36" i="4" a="1"/>
  <c r="P96" i="4" a="1"/>
  <c r="D22" i="4" a="1"/>
  <c r="F39" i="4" a="1"/>
  <c r="W52" i="4" a="1"/>
  <c r="N78" i="4" a="1"/>
  <c r="E104" i="4" a="1"/>
  <c r="V109" i="4" a="1"/>
  <c r="AC55" i="4" a="1"/>
  <c r="Y15" i="4" a="1"/>
  <c r="H38" i="4" a="1"/>
  <c r="U102" i="4" a="1"/>
  <c r="H100" i="4" a="1"/>
  <c r="H98" i="4" a="1"/>
  <c r="X73" i="4" a="1"/>
  <c r="W66" i="4" a="1"/>
  <c r="K67" i="4" a="1"/>
  <c r="H60" i="4" a="1"/>
  <c r="AF60" i="4" a="1"/>
  <c r="R15" i="4" a="1"/>
  <c r="Y58" i="4" a="1"/>
  <c r="AE88" i="4" a="1"/>
  <c r="N8" i="4" a="1"/>
  <c r="P75" i="4" a="1"/>
  <c r="AA49" i="4" a="1"/>
  <c r="AA48" i="4" a="1"/>
  <c r="G82" i="4" a="1"/>
  <c r="AC76" i="4" a="1"/>
  <c r="Z91" i="4" a="1"/>
  <c r="AB101" i="4" a="1"/>
  <c r="H12" i="4" a="1"/>
  <c r="K29" i="4" a="1"/>
  <c r="L9" i="4" a="1"/>
  <c r="I34" i="4" a="1"/>
  <c r="U46" i="4" a="1"/>
  <c r="U69" i="4" a="1"/>
  <c r="G108" i="4" a="1"/>
  <c r="L84" i="4" a="1"/>
  <c r="U43" i="4" a="1"/>
  <c r="X52" i="4" a="1"/>
  <c r="AE76" i="4" a="1"/>
  <c r="U72" i="4" a="1"/>
  <c r="AE94" i="4" a="1"/>
  <c r="F73" i="4" a="1"/>
  <c r="E69" i="4" a="1"/>
  <c r="F20" i="4" a="1"/>
  <c r="AD90" i="4" a="1"/>
  <c r="W35" i="4" a="1"/>
  <c r="K72" i="4" a="1"/>
  <c r="AC42" i="4" a="1"/>
  <c r="AE26" i="4" a="1"/>
  <c r="Y40" i="4" a="1"/>
  <c r="E9" i="4" a="1"/>
  <c r="U97" i="4" a="1"/>
  <c r="AD34" i="4" a="1"/>
  <c r="I31" i="4" a="1"/>
  <c r="M45" i="4" a="1"/>
  <c r="P22" i="4" a="1"/>
  <c r="AF53" i="4" a="1"/>
  <c r="L6" i="4" a="1"/>
  <c r="O17" i="4" a="1"/>
  <c r="L97" i="4" a="1"/>
  <c r="I77" i="4" a="1"/>
  <c r="Y6" i="4" a="1"/>
  <c r="Y67" i="4" a="1"/>
  <c r="E4" i="4" a="1"/>
  <c r="H68" i="4" a="1"/>
  <c r="R4" i="4" a="1"/>
  <c r="AF106" i="4" a="1"/>
  <c r="W107" i="4" a="1"/>
  <c r="G64" i="4" a="1"/>
  <c r="X51" i="4" a="1"/>
  <c r="P68" i="4" a="1"/>
  <c r="AB85" i="4" a="1"/>
  <c r="X108" i="4" a="1"/>
  <c r="W104" i="4" a="1"/>
  <c r="P12" i="4" a="1"/>
  <c r="AC32" i="4" a="1"/>
  <c r="O46" i="4" a="1"/>
  <c r="K45" i="4" a="1"/>
  <c r="I72" i="4" a="1"/>
  <c r="AA15" i="4" a="1"/>
  <c r="R66" i="4" a="1"/>
  <c r="R16" i="4" a="1"/>
  <c r="S97" i="4" a="1"/>
  <c r="AD61" i="4" a="1"/>
  <c r="X106" i="4" a="1"/>
  <c r="Y25" i="4" a="1"/>
  <c r="E84" i="4" a="1"/>
  <c r="Z25" i="4" a="1"/>
  <c r="K101" i="4" a="1"/>
  <c r="M46" i="4" a="1"/>
  <c r="Y13" i="4" a="1"/>
  <c r="R34" i="4" a="1"/>
  <c r="E93" i="4" a="1"/>
  <c r="L103" i="4" a="1"/>
  <c r="AA18" i="4" a="1"/>
  <c r="M50" i="4" a="1"/>
  <c r="J72" i="4" a="1"/>
  <c r="Q100" i="4" a="1"/>
  <c r="E52" i="4" a="1"/>
  <c r="J109" i="4" a="1"/>
  <c r="Y103" i="4" a="1"/>
  <c r="E3" i="4" a="1"/>
  <c r="W96" i="6" a="1"/>
  <c r="I54" i="6" a="1"/>
  <c r="AB12" i="6" a="1"/>
  <c r="G39" i="6" a="1"/>
  <c r="V27" i="6" a="1"/>
  <c r="T80" i="6" a="1"/>
  <c r="R7" i="6" a="1"/>
  <c r="Z7" i="6" a="1"/>
  <c r="R23" i="6" a="1"/>
  <c r="U20" i="6" a="1"/>
  <c r="C36" i="6" a="1"/>
  <c r="Y38" i="6" a="1"/>
  <c r="L82" i="4" a="1"/>
  <c r="W53" i="4" a="1"/>
  <c r="U68" i="4" a="1"/>
  <c r="D68" i="4" a="1"/>
  <c r="AD54" i="4" a="1"/>
  <c r="X72" i="4" a="1"/>
  <c r="AD48" i="4" a="1"/>
  <c r="X18" i="4" a="1"/>
  <c r="AF49" i="4" a="1"/>
  <c r="P14" i="4" a="1"/>
  <c r="T105" i="4" a="1"/>
  <c r="L66" i="4" a="1"/>
  <c r="AE79" i="4" a="1"/>
  <c r="O7" i="4" a="1"/>
  <c r="Z92" i="4" a="1"/>
  <c r="AC89" i="4" a="1"/>
  <c r="AA109" i="4" a="1"/>
  <c r="D7" i="4" a="1"/>
  <c r="G76" i="4" a="1"/>
  <c r="W57" i="4" a="1"/>
  <c r="R92" i="4" a="1"/>
  <c r="Y93" i="4" a="1"/>
  <c r="X74" i="4" a="1"/>
  <c r="P11" i="4" a="1"/>
  <c r="N106" i="4" a="1"/>
  <c r="D52" i="4" a="1"/>
  <c r="Y79" i="4" a="1"/>
  <c r="V26" i="4" a="1"/>
  <c r="O23" i="4" a="1"/>
  <c r="T69" i="4" a="1"/>
  <c r="AB93" i="4" a="1"/>
  <c r="M68" i="4" a="1"/>
  <c r="Q27" i="4" a="1"/>
  <c r="J104" i="4" a="1"/>
  <c r="R102" i="4" a="1"/>
  <c r="F76" i="4" a="1"/>
  <c r="G109" i="4" a="1"/>
  <c r="K109" i="4" a="1"/>
  <c r="AF47" i="4" a="1"/>
  <c r="Y82" i="4" a="1"/>
  <c r="M59" i="4" a="1"/>
  <c r="H50" i="4" a="1"/>
  <c r="E54" i="4" a="1"/>
  <c r="R42" i="4" a="1"/>
  <c r="P94" i="4" a="1"/>
  <c r="G33" i="4" a="1"/>
  <c r="V88" i="4" a="1"/>
  <c r="AD102" i="4" a="1"/>
  <c r="AA37" i="4" a="1"/>
  <c r="S47" i="4" a="1"/>
  <c r="G79" i="4" a="1"/>
  <c r="AA105" i="4" a="1"/>
  <c r="K61" i="4" a="1"/>
  <c r="H10" i="4" a="1"/>
  <c r="O33" i="4" a="1"/>
  <c r="U44" i="4" a="1"/>
  <c r="N11" i="4" a="1"/>
  <c r="O72" i="4" a="1"/>
  <c r="G17" i="4" a="1"/>
  <c r="L33" i="4" a="1"/>
  <c r="V16" i="4" a="1"/>
  <c r="AA71" i="4" a="1"/>
  <c r="N66" i="4" a="1"/>
  <c r="I15" i="4" a="1"/>
  <c r="H24" i="4" a="1"/>
  <c r="G88" i="4" a="1"/>
  <c r="Z93" i="4" a="1"/>
  <c r="I90" i="4" a="1"/>
  <c r="D84" i="4" a="1"/>
  <c r="V63" i="4" a="1"/>
  <c r="M72" i="4" a="1"/>
  <c r="P9" i="4" a="1"/>
  <c r="Y72" i="4" a="1"/>
  <c r="U57" i="4" a="1"/>
  <c r="W25" i="4" a="1"/>
  <c r="T18" i="4" a="1"/>
  <c r="D42" i="4" a="1"/>
  <c r="AA46" i="4" a="1"/>
  <c r="AF56" i="4" a="1"/>
  <c r="N104" i="4" a="1"/>
  <c r="T62" i="4" a="1"/>
  <c r="W63" i="4" a="1"/>
  <c r="AB23" i="4" a="1"/>
  <c r="D74" i="4" a="1"/>
  <c r="O97" i="4" a="1"/>
  <c r="I55" i="4" a="1"/>
  <c r="D80" i="4" a="1"/>
  <c r="AC97" i="4" a="1"/>
  <c r="Y54" i="4" a="1"/>
  <c r="W58" i="4" a="1"/>
  <c r="M94" i="4" a="1"/>
  <c r="AD11" i="4" a="1"/>
  <c r="H92" i="4" a="1"/>
  <c r="J60" i="4" a="1"/>
  <c r="D99" i="4" a="1"/>
  <c r="R37" i="4" a="1"/>
  <c r="K80" i="4" a="1"/>
  <c r="X92" i="4" a="1"/>
  <c r="T93" i="4" a="1"/>
  <c r="W86" i="4" a="1"/>
  <c r="I16" i="4" a="1"/>
  <c r="AF51" i="4" a="1"/>
  <c r="I104" i="4" a="1"/>
  <c r="AF63" i="4" a="1"/>
  <c r="X23" i="4" a="1"/>
  <c r="L15" i="4" a="1"/>
  <c r="V65" i="4" a="1"/>
  <c r="G19" i="4" a="1"/>
  <c r="W9" i="4" a="1"/>
  <c r="T106" i="4" a="1"/>
  <c r="P88" i="4" a="1"/>
  <c r="AF97" i="4" a="1"/>
  <c r="M11" i="4" a="1"/>
  <c r="AF17" i="4" a="1"/>
  <c r="R28" i="4" a="1"/>
  <c r="AE98" i="4" a="1"/>
  <c r="T20" i="4" a="1"/>
  <c r="AF15" i="4" a="1"/>
  <c r="D55" i="4" a="1"/>
  <c r="I91" i="4" a="1"/>
  <c r="X97" i="4" a="1"/>
  <c r="N103" i="4" a="1"/>
  <c r="AB84" i="4" a="1"/>
  <c r="W61" i="4" a="1"/>
  <c r="AE45" i="4" a="1"/>
  <c r="I27" i="4" a="1"/>
  <c r="S10" i="4" a="1"/>
  <c r="S42" i="4" a="1"/>
  <c r="E53" i="4" a="1"/>
  <c r="AA55" i="4" a="1"/>
  <c r="F11" i="4" a="1"/>
  <c r="G51" i="4" a="1"/>
  <c r="AE48" i="4" a="1"/>
  <c r="S22" i="4" a="1"/>
  <c r="AA104" i="4" a="1"/>
  <c r="E43" i="4" a="1"/>
  <c r="AC74" i="4" a="1"/>
  <c r="X71" i="4" a="1"/>
  <c r="V94" i="4" a="1"/>
  <c r="K55" i="4" a="1"/>
  <c r="AE72" i="4" a="1"/>
  <c r="D37" i="4" a="1"/>
  <c r="H88" i="4" a="1"/>
  <c r="AF29" i="4" a="1"/>
  <c r="AB77" i="4" a="1"/>
  <c r="W27" i="4" a="1"/>
  <c r="T59" i="4" a="1"/>
  <c r="O71" i="4" a="1"/>
  <c r="Q54" i="4" a="1"/>
  <c r="H2" i="4" a="1"/>
  <c r="AA76" i="4" a="1"/>
  <c r="L85" i="4" a="1"/>
  <c r="J44" i="4" a="1"/>
  <c r="Q14" i="4" a="1"/>
  <c r="Z105" i="4" a="1"/>
  <c r="AF50" i="4" a="1"/>
  <c r="AB67" i="4" a="1"/>
  <c r="M10" i="4" a="1"/>
  <c r="E18" i="4" a="1"/>
  <c r="Q44" i="4" a="1"/>
  <c r="AF31" i="4" a="1"/>
  <c r="H32" i="4" a="1"/>
  <c r="F89" i="4" a="1"/>
  <c r="K98" i="4" a="1"/>
  <c r="H108" i="4" a="1"/>
  <c r="Z14" i="4" a="1"/>
  <c r="G101" i="4" a="1"/>
  <c r="AE77" i="4" a="1"/>
  <c r="N9" i="4" a="1"/>
  <c r="V72" i="4" a="1"/>
  <c r="AE42" i="4" a="1"/>
  <c r="V85" i="4" a="1"/>
  <c r="AE7" i="4" a="1"/>
  <c r="W97" i="4" a="1"/>
  <c r="W40" i="4" a="1"/>
  <c r="AB99" i="4" a="1"/>
  <c r="J85" i="4" a="1"/>
  <c r="AA30" i="4" a="1"/>
  <c r="I24" i="4" a="1"/>
  <c r="AA82" i="4" a="1"/>
  <c r="K49" i="4" a="1"/>
  <c r="H47" i="4" a="1"/>
  <c r="T37" i="4" a="1"/>
  <c r="J64" i="4" a="1"/>
  <c r="F25" i="4" a="1"/>
  <c r="J62" i="4" a="1"/>
  <c r="X27" i="4" a="1"/>
  <c r="P24" i="4" a="1"/>
  <c r="J48" i="4" a="1"/>
  <c r="T70" i="4" a="1"/>
  <c r="Q61" i="4" a="1"/>
  <c r="N101" i="4" a="1"/>
  <c r="O100" i="4" a="1"/>
  <c r="V69" i="4" a="1"/>
  <c r="U11" i="4" a="1"/>
  <c r="Y5" i="4" a="1"/>
  <c r="Y74" i="4" a="1"/>
  <c r="AB65" i="4" a="1"/>
  <c r="T23" i="4" a="1"/>
  <c r="J94" i="4" a="1"/>
  <c r="H9" i="4" a="1"/>
  <c r="R17" i="4" a="1"/>
  <c r="K57" i="4" a="1"/>
  <c r="O94" i="4" a="1"/>
  <c r="T73" i="4" a="1"/>
  <c r="H56" i="4" a="1"/>
  <c r="X107" i="4" a="1"/>
  <c r="AC66" i="4" a="1"/>
  <c r="V68" i="4" a="1"/>
  <c r="Q72" i="4" a="1"/>
  <c r="I66" i="6" a="1"/>
  <c r="AB61" i="6" a="1"/>
  <c r="Z57" i="6" a="1"/>
  <c r="P26" i="6" a="1"/>
  <c r="AD80" i="6" a="1"/>
  <c r="I72" i="6" a="1"/>
  <c r="S35" i="6" a="1"/>
  <c r="C28" i="6" a="1"/>
  <c r="R11" i="6" a="1"/>
  <c r="T49" i="6" a="1"/>
  <c r="AE46" i="6" a="1"/>
  <c r="S52" i="6" a="1"/>
  <c r="AA19" i="4" a="1"/>
  <c r="N39" i="4" a="1"/>
  <c r="AB31" i="4" a="1"/>
  <c r="M67" i="4" a="1"/>
  <c r="E71" i="4" a="1"/>
  <c r="M57" i="4" a="1"/>
  <c r="AC13" i="4" a="1"/>
  <c r="R95" i="4" a="1"/>
  <c r="H3" i="4" a="1"/>
  <c r="AC36" i="4" a="1"/>
  <c r="W85" i="4" a="1"/>
  <c r="Y41" i="4" a="1"/>
  <c r="Z58" i="4" a="1"/>
  <c r="Q43" i="4" a="1"/>
  <c r="X82" i="4" a="1"/>
  <c r="S60" i="4" a="1"/>
  <c r="AB107" i="4" a="1"/>
  <c r="T97" i="4" a="1"/>
  <c r="M74" i="4" a="1"/>
  <c r="Q91" i="4" a="1"/>
  <c r="R46" i="4" a="1"/>
  <c r="Z63" i="4" a="1"/>
  <c r="I38" i="4" a="1"/>
  <c r="E26" i="4" a="1"/>
  <c r="AA99" i="4" a="1"/>
  <c r="AD28" i="4" a="1"/>
  <c r="V100" i="4" a="1"/>
  <c r="R63" i="4" a="1"/>
  <c r="M76" i="4" a="1"/>
  <c r="Y77" i="4" a="1"/>
  <c r="T92" i="4" a="1"/>
  <c r="D94" i="4" a="1"/>
  <c r="AF37" i="4" a="1"/>
  <c r="Q5" i="4" a="1"/>
  <c r="X85" i="4" a="1"/>
  <c r="D23" i="4" a="1"/>
  <c r="AA85" i="4" a="1"/>
  <c r="F106" i="4" a="1"/>
  <c r="Z55" i="4" a="1"/>
  <c r="I43" i="4" a="1"/>
  <c r="M43" i="4" a="1"/>
  <c r="AD40" i="4" a="1"/>
  <c r="H83" i="4" a="1"/>
  <c r="X64" i="4" a="1"/>
  <c r="H97" i="4" a="1"/>
  <c r="L59" i="4" a="1"/>
  <c r="AD27" i="4" a="1"/>
  <c r="E16" i="4" a="1"/>
  <c r="P33" i="4" a="1"/>
  <c r="AD37" i="4" a="1"/>
  <c r="Q101" i="4" a="1"/>
  <c r="N33" i="4" a="1"/>
  <c r="AC60" i="4" a="1"/>
  <c r="U81" i="4" a="1"/>
  <c r="AF61" i="4" a="1"/>
  <c r="O93" i="4" a="1"/>
  <c r="Z16" i="4" a="1"/>
  <c r="Q73" i="4" a="1"/>
  <c r="U14" i="4" a="1"/>
  <c r="Q77" i="4" a="1"/>
  <c r="AB53" i="4" a="1"/>
  <c r="S16" i="4" a="1"/>
  <c r="D83" i="4" a="1"/>
  <c r="AE40" i="4" a="1"/>
  <c r="G105" i="4" a="1"/>
  <c r="AA33" i="4" a="1"/>
  <c r="R107" i="4" a="1"/>
  <c r="I99" i="4" a="1"/>
  <c r="AD74" i="4" a="1"/>
  <c r="V104" i="4" a="1"/>
  <c r="AF102" i="4" a="1"/>
  <c r="S4" i="4" a="1"/>
  <c r="AB4" i="4" a="1"/>
  <c r="AD10" i="4" a="1"/>
  <c r="T56" i="4" a="1"/>
  <c r="O106" i="4" a="1"/>
  <c r="R81" i="4" a="1"/>
  <c r="S90" i="4" a="1"/>
  <c r="P8" i="4" a="1"/>
  <c r="W91" i="4" a="1"/>
  <c r="L95" i="4" a="1"/>
  <c r="R22" i="4" a="1"/>
  <c r="R26" i="4" a="1"/>
  <c r="I88" i="4" a="1"/>
  <c r="P59" i="4" a="1"/>
  <c r="AE93" i="4" a="1"/>
  <c r="AA100" i="4" a="1"/>
  <c r="AA26" i="4" a="1"/>
  <c r="G106" i="4" a="1"/>
  <c r="P73" i="4" a="1"/>
  <c r="M93" i="4" a="1"/>
  <c r="V101" i="4" a="1"/>
  <c r="Q34" i="4" a="1"/>
  <c r="S106" i="4" a="1"/>
  <c r="T49" i="4" a="1"/>
  <c r="N84" i="4" a="1"/>
  <c r="E33" i="4" a="1"/>
  <c r="I81" i="4" a="1"/>
  <c r="D67" i="4" a="1"/>
  <c r="G21" i="4" a="1"/>
  <c r="V49" i="4" a="1"/>
  <c r="P6" i="4" a="1"/>
  <c r="AF34" i="4" a="1"/>
  <c r="X61" i="4" a="1"/>
  <c r="T96" i="4" a="1"/>
  <c r="H4" i="4" a="1"/>
  <c r="G60" i="4" a="1"/>
  <c r="O59" i="4" a="1"/>
  <c r="Y73" i="4" a="1"/>
  <c r="K6" i="4" a="1"/>
  <c r="W75" i="4" a="1"/>
  <c r="Q31" i="4" a="1"/>
  <c r="M88" i="4" a="1"/>
  <c r="D50" i="4" a="1"/>
  <c r="G95" i="4" a="1"/>
  <c r="AD21" i="4" a="1"/>
  <c r="AF19" i="4" a="1"/>
  <c r="Y76" i="4" a="1"/>
  <c r="AD59" i="4" a="1"/>
  <c r="Q6" i="4" a="1"/>
  <c r="AE70" i="4" a="1"/>
  <c r="X99" i="4" a="1"/>
  <c r="AD60" i="4" a="1"/>
  <c r="N62" i="4" a="1"/>
  <c r="H79" i="4" a="1"/>
  <c r="V81" i="4" a="1"/>
  <c r="N107" i="4" a="1"/>
  <c r="G92" i="4" a="1"/>
  <c r="G85" i="4" a="1"/>
  <c r="F33" i="4" a="1"/>
  <c r="AA9" i="4" a="1"/>
  <c r="J56" i="4" a="1"/>
  <c r="U77" i="4" a="1"/>
  <c r="R65" i="4" a="1"/>
  <c r="X37" i="4" a="1"/>
  <c r="I75" i="4" a="1"/>
  <c r="N27" i="4" a="1"/>
  <c r="O18" i="4" a="1"/>
  <c r="E25" i="4" a="1"/>
  <c r="L70" i="4" a="1"/>
  <c r="AC50" i="4" a="1"/>
  <c r="T79" i="4" a="1"/>
  <c r="Q25" i="4" a="1"/>
  <c r="M109" i="4" a="1"/>
  <c r="D17" i="4" a="1"/>
  <c r="P56" i="4" a="1"/>
  <c r="U19" i="4" a="1"/>
  <c r="S5" i="4" a="1"/>
  <c r="R87" i="4" a="1"/>
  <c r="Y14" i="4" a="1"/>
  <c r="K106" i="4" a="1"/>
  <c r="F13" i="4" a="1"/>
  <c r="P93" i="4" a="1"/>
  <c r="P26" i="4" a="1"/>
  <c r="U89" i="4" a="1"/>
  <c r="P60" i="4" a="1"/>
  <c r="Q3" i="4" a="1"/>
  <c r="G3" i="4" a="1"/>
  <c r="AF58" i="4" a="1"/>
  <c r="AB3" i="4" a="1"/>
  <c r="D106" i="4" a="1"/>
  <c r="AB52" i="4" a="1"/>
  <c r="I63" i="4" a="1"/>
  <c r="L21" i="4" a="1"/>
  <c r="Z62" i="4" a="1"/>
  <c r="Q88" i="4" a="1"/>
  <c r="P50" i="4" a="1"/>
  <c r="H20" i="4" a="1"/>
  <c r="P109" i="4" a="1"/>
  <c r="U75" i="4" a="1"/>
  <c r="S103" i="4" a="1"/>
  <c r="S37" i="4" a="1"/>
  <c r="L49" i="4" a="1"/>
  <c r="S68" i="4" a="1"/>
  <c r="K5" i="4" a="1"/>
  <c r="I66" i="4" a="1"/>
  <c r="U56" i="4" a="1"/>
  <c r="W29" i="4" a="1"/>
  <c r="F3" i="4" a="1"/>
  <c r="N24" i="4" a="1"/>
  <c r="X24" i="4" a="1"/>
  <c r="L56" i="4" a="1"/>
  <c r="AF20" i="4" a="1"/>
  <c r="P52" i="4" a="1"/>
  <c r="L106" i="4" a="1"/>
  <c r="I50" i="4" a="1"/>
  <c r="AB41" i="4" a="1"/>
  <c r="U24" i="4" a="1"/>
  <c r="V24" i="4" a="1"/>
  <c r="F5" i="4" a="1"/>
  <c r="AE12" i="4" a="1"/>
  <c r="E28" i="4" a="1"/>
  <c r="V82" i="4" a="1"/>
  <c r="Q97" i="4" a="1"/>
  <c r="AF55" i="4" a="1"/>
  <c r="H66" i="4" a="1"/>
  <c r="S29" i="4" a="1"/>
  <c r="F79" i="4" a="1"/>
  <c r="Z78" i="4" a="1"/>
  <c r="K58" i="4" a="1"/>
  <c r="Z61" i="4" a="1"/>
  <c r="W26" i="4" a="1"/>
  <c r="N18" i="4" a="1"/>
  <c r="AF21" i="4" a="1"/>
  <c r="H40" i="4" a="1"/>
  <c r="K25" i="4" a="1"/>
  <c r="Q36" i="4" a="1"/>
  <c r="O75" i="6" a="1"/>
  <c r="C60" i="6" a="1"/>
  <c r="AD13" i="6" a="1"/>
  <c r="L68" i="6" a="1"/>
  <c r="W89" i="6" a="1"/>
  <c r="AC9" i="6" a="1"/>
  <c r="AE54" i="6" a="1"/>
  <c r="V31" i="6" a="1"/>
  <c r="Y96" i="6" a="1"/>
  <c r="Q9" i="6" a="1"/>
  <c r="AD54" i="6" a="1"/>
  <c r="AC26" i="6" a="1"/>
  <c r="H15" i="6" a="1"/>
  <c r="V67" i="4" a="1"/>
  <c r="U45" i="4" a="1"/>
  <c r="V98" i="4" a="1"/>
  <c r="G50" i="4" a="1"/>
  <c r="L4" i="4" a="1"/>
  <c r="J2" i="4" a="1"/>
  <c r="F49" i="4" a="1"/>
  <c r="H96" i="4" a="1"/>
  <c r="Q63" i="4" a="1"/>
  <c r="AF79" i="4" a="1"/>
  <c r="AE39" i="4" a="1"/>
  <c r="AC88" i="4" a="1"/>
  <c r="N28" i="4" a="1"/>
  <c r="H75" i="4" a="1"/>
  <c r="P64" i="4" a="1"/>
  <c r="E66" i="4" a="1"/>
  <c r="P43" i="4" a="1"/>
  <c r="Q35" i="4" a="1"/>
  <c r="M25" i="4" a="1"/>
  <c r="L8" i="4" a="1"/>
  <c r="Q60" i="4" a="1"/>
  <c r="S63" i="4" a="1"/>
  <c r="O56" i="4" a="1"/>
  <c r="V38" i="4" a="1"/>
  <c r="AD46" i="4" a="1"/>
  <c r="AD64" i="4" a="1"/>
  <c r="J68" i="4" a="1"/>
  <c r="AF108" i="4" a="1"/>
  <c r="W92" i="4" a="1"/>
  <c r="AE108" i="4" a="1"/>
  <c r="F71" i="4" a="1"/>
  <c r="P39" i="4" a="1"/>
  <c r="J4" i="4" a="1"/>
  <c r="I7" i="4" a="1"/>
  <c r="AB37" i="4" a="1"/>
  <c r="Z68" i="4" a="1"/>
  <c r="D25" i="4" a="1"/>
  <c r="AA98" i="4" a="1"/>
  <c r="L79" i="4" a="1"/>
  <c r="U23" i="4" a="1"/>
  <c r="AA58" i="4" a="1"/>
  <c r="K60" i="4" a="1"/>
  <c r="M99" i="4" a="1"/>
  <c r="AF9" i="4" a="1"/>
  <c r="Z67" i="4" a="1"/>
  <c r="S7" i="4" a="1"/>
  <c r="AF100" i="4" a="1"/>
  <c r="D29" i="4" a="1"/>
  <c r="L74" i="4" a="1"/>
  <c r="Z15" i="4" a="1"/>
  <c r="V58" i="4" a="1"/>
  <c r="W94" i="4" a="1"/>
  <c r="Q79" i="4" a="1"/>
  <c r="X38" i="4" a="1"/>
  <c r="G58" i="4" a="1"/>
  <c r="S9" i="4" a="1"/>
  <c r="AA79" i="4" a="1"/>
  <c r="M84" i="4" a="1"/>
  <c r="I70" i="4" a="1"/>
  <c r="F55" i="4" a="1"/>
  <c r="H46" i="4" a="1"/>
  <c r="J9" i="4" a="1"/>
  <c r="L104" i="4" a="1"/>
  <c r="AD17" i="4" a="1"/>
  <c r="L61" i="4" a="1"/>
  <c r="AC22" i="4" a="1"/>
  <c r="M71" i="4" a="1"/>
  <c r="D39" i="4" a="1"/>
  <c r="M77" i="4" a="1"/>
  <c r="Q17" i="4" a="1"/>
  <c r="E56" i="4" a="1"/>
  <c r="T25" i="4" a="1"/>
  <c r="AE103" i="4" a="1"/>
  <c r="W49" i="4" a="1"/>
  <c r="S39" i="4" a="1"/>
  <c r="R36" i="4" a="1"/>
  <c r="V53" i="4" a="1"/>
  <c r="Q9" i="4" a="1"/>
  <c r="AB75" i="4" a="1"/>
  <c r="AD39" i="4" a="1"/>
  <c r="Y90" i="4" a="1"/>
  <c r="W95" i="4" a="1"/>
  <c r="W88" i="4" a="1"/>
  <c r="V46" i="4" a="1"/>
  <c r="H87" i="4" a="1"/>
  <c r="AD101" i="4" a="1"/>
  <c r="D35" i="4" a="1"/>
  <c r="D76" i="4" a="1"/>
  <c r="AC77" i="4" a="1"/>
  <c r="AE51" i="4" a="1"/>
  <c r="AC61" i="4" a="1"/>
  <c r="H28" i="4" a="1"/>
  <c r="R69" i="4" a="1"/>
  <c r="Z11" i="4" a="1"/>
  <c r="J63" i="4" a="1"/>
  <c r="R108" i="4" a="1"/>
  <c r="U18" i="4" a="1"/>
  <c r="E29" i="4" a="1"/>
  <c r="V45" i="4" a="1"/>
  <c r="X66" i="4" a="1"/>
  <c r="V21" i="4" a="1"/>
  <c r="V42" i="4" a="1"/>
  <c r="P42" i="4" a="1"/>
  <c r="R19" i="4" a="1"/>
  <c r="F8" i="4" a="1"/>
  <c r="I29" i="4" a="1"/>
  <c r="M28" i="4" a="1"/>
  <c r="K17" i="4" a="1"/>
  <c r="AB46" i="4" a="1"/>
  <c r="U82" i="4" a="1"/>
  <c r="I22" i="4" a="1"/>
  <c r="E87" i="4" a="1"/>
  <c r="X78" i="4" a="1"/>
  <c r="AE18" i="4" a="1"/>
  <c r="J81" i="4" a="1"/>
  <c r="H82" i="4" a="1"/>
  <c r="U92" i="4" a="1"/>
  <c r="Z84" i="4" a="1"/>
  <c r="O65" i="4" a="1"/>
  <c r="H34" i="4" a="1"/>
  <c r="AA31" i="4" a="1"/>
  <c r="AC62" i="4" a="1"/>
  <c r="N53" i="4" a="1"/>
  <c r="K77" i="4" a="1"/>
  <c r="L13" i="4" a="1"/>
  <c r="AB34" i="4" a="1"/>
  <c r="AE91" i="4" a="1"/>
  <c r="G23" i="4" a="1"/>
  <c r="S27" i="4" a="1"/>
  <c r="AA45" i="4" a="1"/>
  <c r="H93" i="4" a="1"/>
  <c r="O11" i="4" a="1"/>
  <c r="I18" i="4" a="1"/>
  <c r="F100" i="4" a="1"/>
  <c r="X69" i="4" a="1"/>
  <c r="J32" i="4" a="1"/>
  <c r="J29" i="4" a="1"/>
  <c r="D95" i="4" a="1"/>
  <c r="J97" i="4" a="1"/>
  <c r="Y94" i="4" a="1"/>
  <c r="Y80" i="4" a="1"/>
  <c r="T52" i="4" a="1"/>
  <c r="AA54" i="4" a="1"/>
  <c r="L76" i="4" a="1"/>
  <c r="E11" i="4" a="1"/>
  <c r="N17" i="4" a="1"/>
  <c r="F16" i="4" a="1"/>
  <c r="L71" i="4" a="1"/>
  <c r="Z43" i="4" a="1"/>
  <c r="H49" i="4" a="1"/>
  <c r="I32" i="4" a="1"/>
  <c r="AE68" i="4" a="1"/>
  <c r="J20" i="4" a="1"/>
  <c r="U50" i="4" a="1"/>
  <c r="AB74" i="4" a="1"/>
  <c r="K46" i="4" a="1"/>
  <c r="J67" i="4" a="1"/>
  <c r="Y9" i="4" a="1"/>
  <c r="AB21" i="4" a="1"/>
  <c r="AE5" i="4" a="1"/>
  <c r="X19" i="4" a="1"/>
  <c r="E82" i="4" a="1"/>
  <c r="P107" i="4" a="1"/>
  <c r="F59" i="4" a="1"/>
  <c r="V9" i="4" a="1"/>
  <c r="AC79" i="4" a="1"/>
  <c r="K95" i="4" a="1"/>
  <c r="X29" i="4" a="1"/>
  <c r="O5" i="4" a="1"/>
  <c r="D43" i="4" a="1"/>
  <c r="R14" i="4" a="1"/>
  <c r="J78" i="4" a="1"/>
  <c r="S69" i="4" a="1"/>
  <c r="AF3" i="4" a="1"/>
  <c r="T44" i="4" a="1"/>
  <c r="AB100" i="4" a="1"/>
  <c r="F98" i="4" a="1"/>
  <c r="P82" i="4" a="1"/>
  <c r="I37" i="4" a="1"/>
  <c r="R58" i="4" a="1"/>
  <c r="E64" i="4" a="1"/>
  <c r="Z45" i="4" a="1"/>
  <c r="AF52" i="4" a="1"/>
  <c r="L52" i="4" a="1"/>
  <c r="Y44" i="4" a="1"/>
  <c r="O41" i="4" a="1"/>
  <c r="K62" i="4" a="1"/>
  <c r="Y34" i="4" a="1"/>
  <c r="AB76" i="4" a="1"/>
  <c r="Z85" i="4" a="1"/>
  <c r="AC102" i="4" a="1"/>
  <c r="G78" i="4" a="1"/>
  <c r="Z96" i="4" a="1"/>
  <c r="V23" i="4" a="1"/>
  <c r="I103" i="4" a="1"/>
  <c r="AB30" i="4" a="1"/>
  <c r="D93" i="4" a="1"/>
  <c r="S66" i="4" a="1"/>
  <c r="P5" i="4" a="1"/>
  <c r="U80" i="4" a="1"/>
  <c r="D34" i="4" a="1"/>
  <c r="Z12" i="4" a="1"/>
  <c r="AA22" i="4" a="1"/>
  <c r="S95" i="4" a="1"/>
  <c r="F103" i="4" a="1"/>
  <c r="N77" i="4" a="1"/>
  <c r="H17" i="4" a="1"/>
  <c r="X93" i="4" a="1"/>
  <c r="U67" i="4" a="1"/>
  <c r="AD63" i="4" a="1"/>
  <c r="L98" i="4" a="1"/>
  <c r="X35" i="4" a="1"/>
  <c r="AA67" i="4" a="1"/>
  <c r="S61" i="4" a="1"/>
  <c r="V19" i="4" a="1"/>
  <c r="U103" i="4" a="1"/>
  <c r="D101" i="4" a="1"/>
  <c r="N51" i="4" a="1"/>
  <c r="S72" i="4" a="1"/>
  <c r="T57" i="4" a="1"/>
  <c r="AE24" i="4" a="1"/>
  <c r="K105" i="4" a="1"/>
  <c r="AA47" i="4" a="1"/>
  <c r="U101" i="4" a="1"/>
  <c r="R43" i="4" a="1"/>
  <c r="J70" i="4" a="1"/>
  <c r="E108" i="4" a="1"/>
  <c r="AC56" i="4" a="1"/>
  <c r="X63" i="4" a="1"/>
  <c r="M56" i="4" a="1"/>
  <c r="Q41" i="4" a="1"/>
  <c r="R61" i="4" a="1"/>
  <c r="AF95" i="4" a="1"/>
  <c r="Z9" i="4" a="1"/>
  <c r="O15" i="4" a="1"/>
  <c r="P98" i="4" a="1"/>
  <c r="O75" i="4" a="1"/>
  <c r="Z64" i="6" a="1"/>
  <c r="Z16" i="6" a="1"/>
  <c r="Y54" i="6" a="1"/>
  <c r="R108" i="6" a="1"/>
  <c r="AC44" i="6" a="1"/>
  <c r="Z5" i="6" a="1"/>
  <c r="AB6" i="6" a="1"/>
  <c r="T68" i="6" a="1"/>
  <c r="J36" i="6" a="1"/>
  <c r="T2" i="6" a="1"/>
  <c r="M71" i="6" a="1"/>
  <c r="N48" i="6" a="1"/>
  <c r="AE6" i="4" a="1"/>
  <c r="V83" i="4" a="1"/>
  <c r="L101" i="4" a="1"/>
  <c r="K90" i="4" a="1"/>
  <c r="I5" i="4" a="1"/>
  <c r="T11" i="4" a="1"/>
  <c r="K43" i="4" a="1"/>
  <c r="F108" i="4" a="1"/>
  <c r="X10" i="4" a="1"/>
  <c r="O37" i="4" a="1"/>
  <c r="Y83" i="4" a="1"/>
  <c r="H55" i="4" a="1"/>
  <c r="N94" i="4" a="1"/>
  <c r="X25" i="4" a="1"/>
  <c r="U5" i="4" a="1"/>
  <c r="U59" i="4" a="1"/>
  <c r="Z59" i="4" a="1"/>
  <c r="AE19" i="4" a="1"/>
  <c r="M48" i="4" a="1"/>
  <c r="M98" i="4" a="1"/>
  <c r="AA78" i="4" a="1"/>
  <c r="P41" i="4" a="1"/>
  <c r="AB91" i="4" a="1"/>
  <c r="O77" i="4" a="1"/>
  <c r="V70" i="4" a="1"/>
  <c r="E72" i="4" a="1"/>
  <c r="L109" i="4" a="1"/>
  <c r="U31" i="4" a="1"/>
  <c r="AC87" i="4" a="1"/>
  <c r="AD95" i="4" a="1"/>
  <c r="P29" i="4" a="1"/>
  <c r="AA40" i="4" a="1"/>
  <c r="Q68" i="4" a="1"/>
  <c r="AC4" i="4" a="1"/>
  <c r="R109" i="4" a="1"/>
  <c r="I28" i="4" a="1"/>
  <c r="Y98" i="4" a="1"/>
  <c r="P100" i="4" a="1"/>
  <c r="F88" i="4" a="1"/>
  <c r="D56" i="4" a="1"/>
  <c r="AA61" i="4" a="1"/>
  <c r="T84" i="4" a="1"/>
  <c r="S86" i="4" a="1"/>
  <c r="O68" i="4" a="1"/>
  <c r="F38" i="4" a="1"/>
  <c r="AF46" i="4" a="1"/>
  <c r="D19" i="4" a="1"/>
  <c r="AD2" i="4" a="1"/>
  <c r="AE13" i="4" a="1"/>
  <c r="X103" i="4" a="1"/>
  <c r="I57" i="4" a="1"/>
  <c r="R99" i="4" a="1"/>
  <c r="M3" i="4" a="1"/>
  <c r="F51" i="4" a="1"/>
  <c r="AB103" i="4" a="1"/>
  <c r="Q30" i="4" a="1"/>
  <c r="AC94" i="4" a="1"/>
  <c r="K104" i="4" a="1"/>
  <c r="W79" i="4" a="1"/>
  <c r="I86" i="4" a="1"/>
  <c r="Q84" i="4" a="1"/>
  <c r="P28" i="4" a="1"/>
  <c r="H14" i="4" a="1"/>
  <c r="AE86" i="4" a="1"/>
  <c r="O78" i="4" a="1"/>
  <c r="M22" i="4" a="1"/>
  <c r="F72" i="4" a="1"/>
  <c r="S18" i="4" a="1"/>
  <c r="O26" i="4" a="1"/>
  <c r="Y81" i="4" a="1"/>
  <c r="AC7" i="4" a="1"/>
  <c r="W100" i="4" a="1"/>
  <c r="AC29" i="4" a="1"/>
  <c r="AC10" i="4" a="1"/>
  <c r="J28" i="4" a="1"/>
  <c r="AC39" i="4" a="1"/>
  <c r="E34" i="4" a="1"/>
  <c r="Y108" i="4" a="1"/>
  <c r="M8" i="4" a="1"/>
  <c r="O2" i="4" a="1"/>
  <c r="W59" i="4" a="1"/>
  <c r="O51" i="4" a="1"/>
  <c r="AE49" i="4" a="1"/>
  <c r="K4" i="4" a="1"/>
  <c r="H27" i="4" a="1"/>
  <c r="AF24" i="4" a="1"/>
  <c r="V52" i="4" a="1"/>
  <c r="G54" i="4" a="1"/>
  <c r="Y4" i="4" a="1"/>
  <c r="Q18" i="4" a="1"/>
  <c r="S74" i="4" a="1"/>
  <c r="AE95" i="4" a="1"/>
  <c r="T40" i="4" a="1"/>
  <c r="Y11" i="4" a="1"/>
  <c r="G32" i="4" a="1"/>
  <c r="L31" i="4" a="1"/>
  <c r="J100" i="4" a="1"/>
  <c r="K91" i="4" a="1"/>
  <c r="T7" i="4" a="1"/>
  <c r="R74" i="4" a="1"/>
  <c r="D102" i="4" a="1"/>
  <c r="Y99" i="4" a="1"/>
  <c r="AA74" i="4" a="1"/>
  <c r="L83" i="4" a="1"/>
  <c r="W109" i="4" a="1"/>
  <c r="I56" i="4" a="1"/>
  <c r="T54" i="4" a="1"/>
  <c r="T108" i="4" a="1"/>
  <c r="Q47" i="4" a="1"/>
  <c r="AB39" i="4" a="1"/>
  <c r="T89" i="4" a="1"/>
  <c r="AF77" i="4" a="1"/>
  <c r="F30" i="4" a="1"/>
  <c r="K79" i="4" a="1"/>
  <c r="H63" i="4" a="1"/>
  <c r="N83" i="4" a="1"/>
  <c r="Y55" i="4" a="1"/>
  <c r="L89" i="4" a="1"/>
  <c r="Q53" i="4" a="1"/>
  <c r="N57" i="4" a="1"/>
  <c r="I107" i="4" a="1"/>
  <c r="E41" i="4" a="1"/>
  <c r="N65" i="4" a="1"/>
  <c r="H106" i="4" a="1"/>
  <c r="Y26" i="4" a="1"/>
  <c r="U28" i="4" a="1"/>
  <c r="E12" i="4" a="1"/>
  <c r="AF27" i="4" a="1"/>
  <c r="L35" i="4" a="1"/>
  <c r="V10" i="4" a="1"/>
  <c r="W96" i="4" a="1"/>
  <c r="AC17" i="4" a="1"/>
  <c r="I60" i="4" a="1"/>
  <c r="Z29" i="4" a="1"/>
  <c r="S65" i="4" a="1"/>
  <c r="D26" i="4" a="1"/>
  <c r="AE80" i="4" a="1"/>
  <c r="X84" i="4" a="1"/>
  <c r="AC46" i="4" a="1"/>
  <c r="W62" i="4" a="1"/>
  <c r="L108" i="4" a="1"/>
  <c r="R47" i="4" a="1"/>
  <c r="D64" i="4" a="1"/>
  <c r="P71" i="4" a="1"/>
  <c r="T103" i="4" a="1"/>
  <c r="O35" i="4" a="1"/>
  <c r="Z94" i="4" a="1"/>
  <c r="X26" i="4" a="1"/>
  <c r="F4" i="4" a="1"/>
  <c r="D66" i="4" a="1"/>
  <c r="S48" i="4" a="1"/>
  <c r="AA81" i="4" a="1"/>
  <c r="X53" i="4" a="1"/>
  <c r="AF67" i="4" a="1"/>
  <c r="Y22" i="4" a="1"/>
  <c r="L32" i="4" a="1"/>
  <c r="AE107" i="4" a="1"/>
  <c r="X46" i="4" a="1"/>
  <c r="AF104" i="4" a="1"/>
  <c r="R89" i="4" a="1"/>
  <c r="I83" i="4" a="1"/>
  <c r="T48" i="4" a="1"/>
  <c r="S17" i="4" a="1"/>
  <c r="R101" i="4" a="1"/>
  <c r="AD31" i="4" a="1"/>
  <c r="I101" i="4" a="1"/>
  <c r="G77" i="4" a="1"/>
  <c r="U91" i="4" a="1"/>
  <c r="I54" i="4" a="1"/>
  <c r="AE101" i="4" a="1"/>
  <c r="AF10" i="4" a="1"/>
  <c r="X105" i="4" a="1"/>
  <c r="N60" i="4" a="1"/>
  <c r="M102" i="4" a="1"/>
  <c r="AD24" i="4" a="1"/>
  <c r="E67" i="4" a="1"/>
  <c r="L53" i="4" a="1"/>
  <c r="N67" i="4" a="1"/>
  <c r="Z40" i="4" a="1"/>
  <c r="V73" i="4" a="1"/>
  <c r="AA95" i="4" a="1"/>
  <c r="Z36" i="4" a="1"/>
  <c r="Q89" i="4" a="1"/>
  <c r="R32" i="4" a="1"/>
  <c r="G96" i="4" a="1"/>
  <c r="I68" i="4" a="1"/>
  <c r="AD3" i="4" a="1"/>
  <c r="AB44" i="4" a="1"/>
  <c r="Y63" i="4" a="1"/>
  <c r="Y89" i="4" a="1"/>
  <c r="AB7" i="4" a="1"/>
  <c r="AA103" i="4" a="1"/>
  <c r="S109" i="4" a="1"/>
  <c r="AC26" i="4" a="1"/>
  <c r="V95" i="4" a="1"/>
  <c r="AF35" i="4" a="1"/>
  <c r="K89" i="4" a="1"/>
  <c r="X70" i="4" a="1"/>
  <c r="X20" i="4" a="1"/>
  <c r="J22" i="4" a="1"/>
  <c r="D84" i="6" a="1"/>
  <c r="AD8" i="6" a="1"/>
  <c r="F34" i="6" a="1"/>
  <c r="N47" i="6" a="1"/>
  <c r="AA36" i="6" a="1"/>
  <c r="AB44" i="6" a="1"/>
  <c r="AD22" i="6" a="1"/>
  <c r="X7" i="6" a="1"/>
  <c r="V51" i="6" a="1"/>
  <c r="Q5" i="6" a="1"/>
  <c r="L39" i="6" a="1"/>
  <c r="V62" i="6" a="1"/>
  <c r="Q14" i="6" a="1"/>
  <c r="AF90" i="4" a="1"/>
  <c r="S82" i="4" a="1"/>
  <c r="AC21" i="4" a="1"/>
  <c r="N36" i="4" a="1"/>
  <c r="G87" i="4" a="1"/>
  <c r="AB97" i="4" a="1"/>
  <c r="I61" i="4" a="1"/>
  <c r="W69" i="4" a="1"/>
  <c r="P79" i="4" a="1"/>
  <c r="O92" i="4" a="1"/>
  <c r="G47" i="4" a="1"/>
  <c r="J96" i="4" a="1"/>
  <c r="Y45" i="4" a="1"/>
  <c r="P25" i="4" a="1"/>
  <c r="AA53" i="4" a="1"/>
  <c r="AC16" i="4" a="1"/>
  <c r="S3" i="4" a="1"/>
  <c r="AF12" i="4" a="1"/>
  <c r="J52" i="4" a="1"/>
  <c r="AC68" i="4" a="1"/>
  <c r="M92" i="4" a="1"/>
  <c r="N3" i="4" a="1"/>
  <c r="Z49" i="4" a="1"/>
  <c r="F53" i="4" a="1"/>
  <c r="H59" i="4" a="1"/>
  <c r="E38" i="4" a="1"/>
  <c r="Y23" i="4" a="1"/>
  <c r="V3" i="4" a="1"/>
  <c r="E80" i="4" a="1"/>
  <c r="AE56" i="4" a="1"/>
  <c r="O8" i="4" a="1"/>
  <c r="F6" i="4" a="1"/>
  <c r="H65" i="4" a="1"/>
  <c r="O21" i="4" a="1"/>
  <c r="D16" i="4" a="1"/>
  <c r="L41" i="4" a="1"/>
  <c r="P7" i="4" a="1"/>
  <c r="L91" i="4" a="1"/>
  <c r="U78" i="4" a="1"/>
  <c r="J79" i="4" a="1"/>
  <c r="Z107" i="4" a="1"/>
  <c r="X96" i="4" a="1"/>
  <c r="Q51" i="4" a="1"/>
  <c r="M40" i="4" a="1"/>
  <c r="G15" i="4" a="1"/>
  <c r="Q86" i="4" a="1"/>
  <c r="I98" i="4" a="1"/>
  <c r="AC107" i="4" a="1"/>
  <c r="V91" i="4" a="1"/>
  <c r="J38" i="4" a="1"/>
  <c r="D48" i="4" a="1"/>
  <c r="L37" i="4" a="1"/>
  <c r="R30" i="4" a="1"/>
  <c r="G10" i="4" a="1"/>
  <c r="W73" i="4" a="1"/>
  <c r="G18" i="4" a="1"/>
  <c r="AC9" i="4" a="1"/>
  <c r="O6" i="4" a="1"/>
  <c r="N50" i="4" a="1"/>
  <c r="T6" i="4" a="1"/>
  <c r="E75" i="4" a="1"/>
  <c r="Q19" i="4" a="1"/>
  <c r="D8" i="4" a="1"/>
  <c r="Y39" i="4" a="1"/>
  <c r="S70" i="4" a="1"/>
  <c r="Y106" i="4" a="1"/>
  <c r="X95" i="4" a="1"/>
  <c r="AE83" i="4" a="1"/>
  <c r="Y69" i="4" a="1"/>
  <c r="Z2" i="4" a="1"/>
  <c r="P108" i="4" a="1"/>
  <c r="P77" i="4" a="1"/>
  <c r="G70" i="4" a="1"/>
  <c r="V97" i="4" a="1"/>
  <c r="W74" i="4" a="1"/>
  <c r="O49" i="4" a="1"/>
  <c r="K107" i="4" a="1"/>
  <c r="L50" i="4" a="1"/>
  <c r="O96" i="4" a="1"/>
  <c r="W77" i="4" a="1"/>
  <c r="J11" i="4" a="1"/>
  <c r="T21" i="4" a="1"/>
  <c r="AC11" i="4" a="1"/>
  <c r="N80" i="4" a="1"/>
  <c r="P80" i="4" a="1"/>
  <c r="M19" i="4" a="1"/>
  <c r="X11" i="4" a="1"/>
  <c r="AA70" i="4" a="1"/>
  <c r="L23" i="4" a="1"/>
  <c r="AD68" i="4" a="1"/>
  <c r="N21" i="4" a="1"/>
  <c r="T33" i="4" a="1"/>
  <c r="AF80" i="4" a="1"/>
  <c r="F22" i="4" a="1"/>
  <c r="L3" i="4" a="1"/>
  <c r="G83" i="4" a="1"/>
  <c r="F12" i="4" a="1"/>
  <c r="R84" i="4" a="1"/>
  <c r="U54" i="4" a="1"/>
  <c r="K65" i="4" a="1"/>
  <c r="F36" i="4" a="1"/>
  <c r="AF28" i="4" a="1"/>
  <c r="G11" i="4" a="1"/>
  <c r="AD50" i="4" a="1"/>
  <c r="AA96" i="4" a="1"/>
  <c r="AF87" i="4" a="1"/>
  <c r="R71" i="4" a="1"/>
  <c r="R105" i="4" a="1"/>
  <c r="AA68" i="4" a="1"/>
  <c r="V59" i="4" a="1"/>
  <c r="F27" i="4" a="1"/>
  <c r="J27" i="4" a="1"/>
  <c r="U25" i="4" a="1"/>
  <c r="AA7" i="4" a="1"/>
  <c r="Q107" i="4" a="1"/>
  <c r="E10" i="4" a="1"/>
  <c r="X109" i="4" a="1"/>
  <c r="O64" i="4" a="1"/>
  <c r="K34" i="4" a="1"/>
  <c r="U83" i="4" a="1"/>
  <c r="AB35" i="4" a="1"/>
  <c r="M35" i="4" a="1"/>
  <c r="X28" i="4" a="1"/>
  <c r="F65" i="4" a="1"/>
  <c r="L54" i="4" a="1"/>
  <c r="X22" i="4" a="1"/>
  <c r="AE66" i="4" a="1"/>
  <c r="AF41" i="4" a="1"/>
  <c r="AE67" i="4" a="1"/>
  <c r="K69" i="4" a="1"/>
  <c r="N99" i="4" a="1"/>
  <c r="Y66" i="4" a="1"/>
  <c r="F32" i="4" a="1"/>
  <c r="Y107" i="6" a="1"/>
  <c r="O11" i="6" a="1"/>
  <c r="R59" i="6" a="1"/>
  <c r="I81" i="6" a="1"/>
  <c r="I37" i="6" a="1"/>
  <c r="D22" i="6" a="1"/>
  <c r="AD7" i="6" a="1"/>
  <c r="AC50" i="6" a="1"/>
  <c r="V3" i="6" a="1"/>
  <c r="V11" i="6" a="1"/>
  <c r="C26" i="6" a="1"/>
  <c r="U40" i="6" a="1"/>
  <c r="M41" i="6" a="1"/>
  <c r="AB28" i="4" a="1"/>
  <c r="AD96" i="4" a="1"/>
  <c r="E88" i="4" a="1"/>
  <c r="G103" i="4" a="1"/>
  <c r="AD99" i="4" a="1"/>
  <c r="N100" i="4" a="1"/>
  <c r="P65" i="4" a="1"/>
  <c r="R98" i="4" a="1"/>
  <c r="L26" i="4" a="1"/>
  <c r="V78" i="4" a="1"/>
  <c r="V36" i="4" a="1"/>
  <c r="AC71" i="4" a="1"/>
  <c r="AB29" i="4" a="1"/>
  <c r="O9" i="4" a="1"/>
  <c r="AC84" i="4" a="1"/>
  <c r="K15" i="4" a="1"/>
  <c r="K84" i="4" a="1"/>
  <c r="X86" i="4" a="1"/>
  <c r="W71" i="4" a="1"/>
  <c r="AF33" i="4" a="1"/>
  <c r="T15" i="4" a="1"/>
  <c r="M42" i="4" a="1"/>
  <c r="K27" i="4" a="1"/>
  <c r="P85" i="4" a="1"/>
  <c r="S23" i="4" a="1"/>
  <c r="J98" i="4" a="1"/>
  <c r="Z64" i="4" a="1"/>
  <c r="AE34" i="4" a="1"/>
  <c r="AE4" i="4" a="1"/>
  <c r="AE92" i="4" a="1"/>
  <c r="AC52" i="4" a="1"/>
  <c r="J40" i="4" a="1"/>
  <c r="G98" i="4" a="1"/>
  <c r="Z90" i="4" a="1"/>
  <c r="S87" i="4" a="1"/>
  <c r="Q82" i="4" a="1"/>
  <c r="K2" i="4" a="1"/>
  <c r="S41" i="4" a="1"/>
  <c r="G89" i="4" a="1"/>
  <c r="W84" i="4" a="1"/>
  <c r="J53" i="4" a="1"/>
  <c r="Z52" i="4" a="1"/>
  <c r="N32" i="4" a="1"/>
  <c r="T63" i="4" a="1"/>
  <c r="R57" i="4" a="1"/>
  <c r="H84" i="4" a="1"/>
  <c r="V47" i="4" a="1"/>
  <c r="AF69" i="4" a="1"/>
  <c r="W64" i="4" a="1"/>
  <c r="AA28" i="4" a="1"/>
  <c r="P13" i="4" a="1"/>
  <c r="T55" i="4" a="1"/>
  <c r="M64" i="4" a="1"/>
  <c r="S14" i="4" a="1"/>
  <c r="F80" i="4" a="1"/>
  <c r="X89" i="4" a="1"/>
  <c r="AD15" i="4" a="1"/>
  <c r="S89" i="4" a="1"/>
  <c r="Z95" i="4" a="1"/>
  <c r="W54" i="4" a="1"/>
  <c r="S20" i="4" a="1"/>
  <c r="R5" i="4" a="1"/>
  <c r="AF26" i="4" a="1"/>
  <c r="D44" i="4" a="1"/>
  <c r="S33" i="4" a="1"/>
  <c r="M33" i="4" a="1"/>
  <c r="N105" i="4" a="1"/>
  <c r="V2" i="4" a="1"/>
  <c r="F58" i="4" a="1"/>
  <c r="I3" i="4" a="1"/>
  <c r="Y32" i="4" a="1"/>
  <c r="F60" i="4" a="1"/>
  <c r="N85" i="4" a="1"/>
  <c r="K83" i="4" a="1"/>
  <c r="H73" i="4" a="1"/>
  <c r="H41" i="4" a="1"/>
  <c r="S62" i="4" a="1"/>
  <c r="Y95" i="4" a="1"/>
  <c r="U70" i="4" a="1"/>
  <c r="Q49" i="4" a="1"/>
  <c r="Z76" i="4" a="1"/>
  <c r="M55" i="4" a="1"/>
  <c r="J18" i="4" a="1"/>
  <c r="G75" i="4" a="1"/>
  <c r="K85" i="4" a="1"/>
  <c r="AD69" i="4" a="1"/>
  <c r="Q32" i="4" a="1"/>
  <c r="X30" i="4" a="1"/>
  <c r="Q95" i="4" a="1"/>
  <c r="N37" i="4" a="1"/>
  <c r="K32" i="4" a="1"/>
  <c r="AC19" i="4" a="1"/>
  <c r="V41" i="4" a="1"/>
  <c r="M90" i="4" a="1"/>
  <c r="AF74" i="4" a="1"/>
  <c r="N48" i="4" a="1"/>
  <c r="Z103" i="4" a="1"/>
  <c r="R70" i="4" a="1"/>
  <c r="N5" i="4" a="1"/>
  <c r="I45" i="4" a="1"/>
  <c r="AF5" i="4" a="1"/>
  <c r="R35" i="4" a="1"/>
  <c r="R83" i="4" a="1"/>
  <c r="K71" i="4" a="1"/>
  <c r="L40" i="4" a="1"/>
  <c r="L14" i="4" a="1"/>
  <c r="N45" i="4" a="1"/>
  <c r="Q108" i="4" a="1"/>
  <c r="W38" i="4" a="1"/>
  <c r="AC72" i="4" a="1"/>
  <c r="J61" i="4" a="1"/>
  <c r="W21" i="4" a="1"/>
  <c r="F34" i="4" a="1"/>
  <c r="F54" i="4" a="1"/>
  <c r="M44" i="4" a="1"/>
  <c r="K94" i="4" a="1"/>
  <c r="T24" i="4" a="1"/>
  <c r="AF92" i="4" a="1"/>
  <c r="N55" i="4" a="1"/>
  <c r="E73" i="4" a="1"/>
  <c r="X12" i="4" a="1"/>
  <c r="W42" i="4" a="1"/>
  <c r="K74" i="4" a="1"/>
  <c r="E14" i="4" a="1"/>
  <c r="Z69" i="4" a="1"/>
  <c r="Z101" i="4" a="1"/>
  <c r="K18" i="4" a="1"/>
  <c r="Y62" i="4" a="1"/>
  <c r="L62" i="4" a="1"/>
  <c r="K92" i="4" a="1"/>
  <c r="AE100" i="4" a="1"/>
  <c r="U16" i="4" a="1"/>
  <c r="L60" i="4" a="1"/>
  <c r="Z97" i="4" a="1"/>
  <c r="R40" i="4" a="1"/>
  <c r="T27" i="4" a="1"/>
  <c r="L72" i="4" a="1"/>
  <c r="J3" i="4" a="1"/>
  <c r="AC37" i="4" a="1"/>
  <c r="Q29" i="4" a="1"/>
  <c r="AE84" i="4" a="1"/>
  <c r="AC95" i="4" a="1"/>
  <c r="M103" i="4" a="1"/>
  <c r="N4" i="4" a="1"/>
  <c r="S59" i="4" a="1"/>
  <c r="G90" i="4" a="1"/>
  <c r="D13" i="4" a="1"/>
  <c r="AF94" i="4" a="1"/>
  <c r="S54" i="4" a="1"/>
  <c r="G39" i="4" a="1"/>
  <c r="T72" i="4" a="1"/>
  <c r="N56" i="4" a="1"/>
  <c r="U98" i="4" a="1"/>
  <c r="W32" i="4" a="1"/>
  <c r="Q15" i="4" a="1"/>
  <c r="R21" i="4" a="1"/>
  <c r="V90" i="4" a="1"/>
  <c r="AD106" i="4" a="1"/>
  <c r="Z30" i="4" a="1"/>
  <c r="D100" i="4" a="1"/>
  <c r="T78" i="4" a="1"/>
  <c r="T34" i="4" a="1"/>
  <c r="AC109" i="4" a="1"/>
  <c r="H5" i="4" a="1"/>
  <c r="AD49" i="4" a="1"/>
  <c r="E55" i="4" a="1"/>
  <c r="S71" i="4" a="1"/>
  <c r="AB12" i="4" a="1"/>
  <c r="AF25" i="4" a="1"/>
  <c r="L88" i="4" a="1"/>
  <c r="AE62" i="4" a="1"/>
  <c r="F109" i="4" a="1"/>
  <c r="U33" i="4" a="1"/>
  <c r="W50" i="4" a="1"/>
  <c r="Y57" i="4" a="1"/>
  <c r="AC93" i="4" a="1"/>
  <c r="U58" i="4" a="1"/>
  <c r="AA86" i="4" a="1"/>
  <c r="G100" i="4" a="1"/>
  <c r="K93" i="4" a="1"/>
  <c r="G31" i="4" a="1"/>
  <c r="V39" i="4" a="1"/>
  <c r="AB16" i="4" a="1"/>
  <c r="V87" i="4" a="1"/>
  <c r="AA107" i="4" a="1"/>
  <c r="Q52" i="4" a="1"/>
  <c r="AF103" i="4" a="1"/>
  <c r="T85" i="4" a="1"/>
  <c r="U107" i="4" a="1"/>
  <c r="E48" i="4" a="1"/>
  <c r="Q35" i="6" a="1"/>
  <c r="R51" i="4" a="1"/>
  <c r="Y52" i="4" a="1"/>
  <c r="O66" i="4" a="1"/>
  <c r="S76" i="4" a="1"/>
  <c r="Z37" i="4" a="1"/>
  <c r="AF65" i="4" a="1"/>
  <c r="Y84" i="4" a="1"/>
  <c r="AB59" i="4" a="1"/>
  <c r="AA34" i="4" a="1"/>
  <c r="S56" i="4" a="1"/>
  <c r="J80" i="4" a="1"/>
  <c r="AB11" i="4" a="1"/>
  <c r="P32" i="4" a="1"/>
  <c r="AB108" i="4" a="1"/>
  <c r="O95" i="4" a="1"/>
  <c r="O86" i="4" a="1"/>
  <c r="AB61" i="4" a="1"/>
  <c r="K9" i="4" a="1"/>
  <c r="M63" i="6" a="1"/>
  <c r="AB17" i="6" a="1"/>
  <c r="F10" i="6" a="1"/>
  <c r="AD47" i="6" a="1"/>
  <c r="L28" i="6" a="1"/>
  <c r="AA4" i="6" a="1"/>
  <c r="AD24" i="6" a="1"/>
  <c r="AB30" i="6" a="1"/>
  <c r="F33" i="6" a="1"/>
  <c r="K29" i="6" a="1"/>
  <c r="AB31" i="6" a="1"/>
  <c r="T57" i="6" a="1"/>
  <c r="AB2" i="6" a="1"/>
  <c r="Y56" i="4" a="1"/>
  <c r="T94" i="4" a="1"/>
  <c r="J107" i="4" a="1"/>
  <c r="H43" i="4" a="1"/>
  <c r="V22" i="4" a="1"/>
  <c r="X8" i="4" a="1"/>
  <c r="E36" i="4" a="1"/>
  <c r="I13" i="4" a="1"/>
  <c r="AD62" i="4" a="1"/>
  <c r="J13" i="4" a="1"/>
  <c r="AA39" i="4" a="1"/>
  <c r="D86" i="4" a="1"/>
  <c r="P55" i="4" a="1"/>
  <c r="R104" i="4" a="1"/>
  <c r="H80" i="4" a="1"/>
  <c r="F10" i="4" a="1"/>
  <c r="S98" i="4" a="1"/>
  <c r="L81" i="4" a="1"/>
  <c r="J106" i="4" a="1"/>
  <c r="AE10" i="4" a="1"/>
  <c r="T50" i="4" a="1"/>
  <c r="X88" i="4" a="1"/>
  <c r="F28" i="4" a="1"/>
  <c r="H7" i="4" a="1"/>
  <c r="AF62" i="4" a="1"/>
  <c r="F75" i="4" a="1"/>
  <c r="AF99" i="4" a="1"/>
  <c r="E92" i="4" a="1"/>
  <c r="N61" i="4" a="1"/>
  <c r="AF2" i="4" a="1"/>
  <c r="AD94" i="4" a="1"/>
  <c r="K108" i="4" a="1"/>
  <c r="G72" i="4" a="1"/>
  <c r="Z22" i="4" a="1"/>
  <c r="G40" i="4" a="1"/>
  <c r="O45" i="4" a="1"/>
  <c r="R78" i="4" a="1"/>
  <c r="V33" i="4" a="1"/>
  <c r="M4" i="4" a="1"/>
  <c r="Z60" i="4" a="1"/>
  <c r="W5" i="4" a="1"/>
  <c r="S104" i="4" a="1"/>
  <c r="O63" i="4" a="1"/>
  <c r="AF83" i="4" a="1"/>
  <c r="P105" i="4" a="1"/>
  <c r="H19" i="4" a="1"/>
  <c r="AC104" i="4" a="1"/>
  <c r="O36" i="4" a="1"/>
  <c r="E27" i="4" a="1"/>
  <c r="O88" i="4" a="1"/>
  <c r="AF82" i="4" a="1"/>
  <c r="AF8" i="4" a="1"/>
  <c r="G35" i="4" a="1"/>
  <c r="M85" i="4" a="1"/>
  <c r="E31" i="4" a="1"/>
  <c r="Y109" i="4" a="1"/>
  <c r="T81" i="4" a="1"/>
  <c r="D61" i="4" a="1"/>
  <c r="S78" i="4" a="1"/>
  <c r="Z72" i="4" a="1"/>
  <c r="J34" i="4" a="1"/>
  <c r="E47" i="4" a="1"/>
  <c r="N76" i="4" a="1"/>
  <c r="Q40" i="4" a="1"/>
  <c r="N97" i="4" a="1"/>
  <c r="AB5" i="4" a="1"/>
  <c r="AC69" i="4" a="1"/>
  <c r="L51" i="4" a="1"/>
  <c r="AE99" i="4" a="1"/>
  <c r="AD58" i="4" a="1"/>
  <c r="P46" i="4" a="1"/>
  <c r="J90" i="4" a="1"/>
  <c r="AF14" i="4" a="1"/>
  <c r="D21" i="4" a="1"/>
  <c r="AE27" i="4" a="1"/>
  <c r="Y88" i="4" a="1"/>
  <c r="T67" i="4" a="1"/>
  <c r="I40" i="4" a="1"/>
  <c r="AF81" i="4" a="1"/>
  <c r="I49" i="4" a="1"/>
  <c r="T36" i="4" a="1"/>
  <c r="AC35" i="4" a="1"/>
  <c r="F94" i="4" a="1"/>
  <c r="W72" i="4" a="1"/>
  <c r="AC80" i="4" a="1"/>
  <c r="S43" i="4" a="1"/>
  <c r="R6" i="4" a="1"/>
  <c r="R73" i="4" a="1"/>
  <c r="AC86" i="4" a="1"/>
  <c r="F43" i="4" a="1"/>
  <c r="L25" i="4" a="1"/>
  <c r="E91" i="4" a="1"/>
  <c r="H89" i="4" a="1"/>
  <c r="G28" i="4" a="1"/>
  <c r="D28" i="4" a="1"/>
  <c r="D79" i="4" a="1"/>
  <c r="G24" i="4" a="1"/>
  <c r="S19" i="4" a="1"/>
  <c r="Y87" i="4" a="1"/>
  <c r="Q99" i="4" a="1"/>
  <c r="AD23" i="4" a="1"/>
  <c r="G63" i="4" a="1"/>
  <c r="P84" i="4" a="1"/>
  <c r="Q74" i="4" a="1"/>
  <c r="U52" i="4" a="1"/>
  <c r="M34" i="4" a="1"/>
  <c r="AF45" i="4" a="1"/>
  <c r="L22" i="4" a="1"/>
  <c r="Y27" i="4" a="1"/>
  <c r="H52" i="4" a="1"/>
  <c r="T53" i="4" a="1"/>
  <c r="AD66" i="4" a="1"/>
  <c r="R60" i="4" a="1"/>
  <c r="O79" i="4" a="1"/>
  <c r="W19" i="4" a="1"/>
  <c r="AB36" i="4" a="1"/>
  <c r="AC38" i="4" a="1"/>
  <c r="O4" i="4" a="1"/>
  <c r="N2" i="4" a="1"/>
  <c r="T51" i="4" a="1"/>
  <c r="U47" i="4" a="1"/>
  <c r="Q10" i="4" a="1"/>
  <c r="W80" i="4" a="1"/>
  <c r="AE3" i="4" a="1"/>
  <c r="E99" i="4" a="1"/>
  <c r="R106" i="4" a="1"/>
  <c r="AA89" i="4" a="1"/>
  <c r="H105" i="4" a="1"/>
  <c r="K99" i="4" a="1"/>
  <c r="V103" i="4" a="1"/>
  <c r="N54" i="4" a="1"/>
  <c r="H74" i="4" a="1"/>
  <c r="L105" i="4" a="1"/>
  <c r="AB51" i="4" a="1"/>
  <c r="J86" i="4" a="1"/>
  <c r="Y64" i="4" a="1"/>
  <c r="S2" i="4" a="1"/>
  <c r="U55" i="4" a="1"/>
  <c r="AA57" i="4" a="1"/>
  <c r="J6" i="4" a="1"/>
  <c r="G41" i="4" a="1"/>
  <c r="Y17" i="4" a="1"/>
  <c r="D36" i="4" a="1"/>
  <c r="P36" i="4" a="1"/>
  <c r="AD104" i="4" a="1"/>
  <c r="S96" i="4" a="1"/>
  <c r="AD109" i="4" a="1"/>
  <c r="V62" i="4" a="1"/>
  <c r="L102" i="4" a="1"/>
  <c r="AA69" i="4" a="1"/>
  <c r="M86" i="4" a="1"/>
  <c r="X100" i="4" a="1"/>
  <c r="O83" i="4" a="1"/>
  <c r="N15" i="4" a="1"/>
  <c r="AD56" i="4" a="1"/>
  <c r="I48" i="4" a="1"/>
  <c r="AD88" i="4" a="1"/>
  <c r="N46" i="4" a="1"/>
  <c r="D77" i="4" a="1"/>
  <c r="G55" i="4" a="1"/>
  <c r="Z27" i="4" a="1"/>
  <c r="R44" i="4" a="1"/>
  <c r="P81" i="4" a="1"/>
  <c r="N19" i="4" a="1"/>
  <c r="U21" i="4" a="1"/>
  <c r="D14" i="4" a="1"/>
  <c r="Z18" i="4" a="1"/>
  <c r="AF6" i="4" a="1"/>
  <c r="L90" i="4" a="1"/>
  <c r="R50" i="4" a="1"/>
  <c r="Z83" i="4" a="1"/>
  <c r="Q56" i="4" a="1"/>
  <c r="J19" i="4" a="1"/>
  <c r="H30" i="4" a="1"/>
  <c r="E76" i="4" a="1"/>
  <c r="D71" i="4" a="1"/>
  <c r="AF18" i="4" a="1"/>
  <c r="U29" i="4" a="1"/>
  <c r="AC41" i="4" a="1"/>
  <c r="X79" i="4" a="1"/>
  <c r="AB82" i="4" a="1"/>
  <c r="F9" i="4" a="1"/>
  <c r="AE15" i="4" a="1"/>
  <c r="K68" i="4" a="1"/>
  <c r="Y21" i="4" a="1"/>
  <c r="M53" i="4" a="1"/>
  <c r="X16" i="4" a="1"/>
  <c r="Y71" i="4" a="1"/>
  <c r="D69" i="4" a="1"/>
  <c r="J88" i="4" a="1"/>
  <c r="E94" i="4" a="1"/>
  <c r="Y3" i="4" a="1"/>
  <c r="T29" i="4" a="1"/>
  <c r="AB6" i="4" a="1"/>
  <c r="AC43" i="4" a="1"/>
  <c r="K3" i="4" a="1"/>
  <c r="N88" i="4" a="1"/>
  <c r="H58" i="4" a="1"/>
  <c r="AD36" i="4" a="1"/>
  <c r="AB42" i="4" a="1"/>
  <c r="G25" i="4" a="1"/>
  <c r="G71" i="4" a="1"/>
  <c r="H6" i="4" a="1"/>
  <c r="AD47" i="4" a="1"/>
  <c r="J25" i="4" a="1"/>
  <c r="Q102" i="4" a="1"/>
  <c r="T46" i="4" a="1"/>
  <c r="J65" i="6" a="1"/>
  <c r="T48" i="6" a="1"/>
  <c r="AA11" i="6" a="1"/>
  <c r="N49" i="6" a="1"/>
  <c r="V75" i="6" a="1"/>
  <c r="AB24" i="6" a="1"/>
  <c r="M42" i="6" a="1"/>
  <c r="O72" i="6" a="1"/>
  <c r="AC33" i="6" a="1"/>
  <c r="C21" i="6" a="1"/>
  <c r="E58" i="6" a="1"/>
  <c r="N59" i="6" a="1"/>
  <c r="E52" i="6" a="1"/>
  <c r="AF105" i="4" a="1"/>
  <c r="N29" i="4" a="1"/>
  <c r="E13" i="4" a="1"/>
  <c r="W45" i="4" a="1"/>
  <c r="N10" i="4" a="1"/>
  <c r="X76" i="4" a="1"/>
  <c r="AC73" i="4" a="1"/>
  <c r="Q94" i="4" a="1"/>
  <c r="AD82" i="4" a="1"/>
  <c r="V106" i="4" a="1"/>
  <c r="X6" i="4" a="1"/>
  <c r="X62" i="4" a="1"/>
  <c r="I87" i="4" a="1"/>
  <c r="W43" i="4" a="1"/>
  <c r="G93" i="4" a="1"/>
  <c r="V74" i="4" a="1"/>
  <c r="AA52" i="4" a="1"/>
  <c r="R72" i="4" a="1"/>
  <c r="W10" i="4" a="1"/>
  <c r="F62" i="4" a="1"/>
  <c r="D33" i="4" a="1"/>
  <c r="F29" i="4" a="1"/>
  <c r="AA106" i="4" a="1"/>
  <c r="R103" i="4" a="1"/>
  <c r="Y7" i="4" a="1"/>
  <c r="Q13" i="4" a="1"/>
  <c r="N23" i="4" a="1"/>
  <c r="X41" i="4" a="1"/>
  <c r="Y31" i="4" a="1"/>
  <c r="Q93" i="4" a="1"/>
  <c r="Y37" i="4" a="1"/>
  <c r="S108" i="4" a="1"/>
  <c r="O54" i="4" a="1"/>
  <c r="E83" i="4" a="1"/>
  <c r="AB50" i="4" a="1"/>
  <c r="W103" i="4" a="1"/>
  <c r="L28" i="4" a="1"/>
  <c r="M7" i="4" a="1"/>
  <c r="I105" i="4" a="1"/>
  <c r="U48" i="4" a="1"/>
  <c r="L20" i="4" a="1"/>
  <c r="S31" i="4" a="1"/>
  <c r="X49" i="4" a="1"/>
  <c r="K37" i="4" a="1"/>
  <c r="G84" i="4" a="1"/>
  <c r="F101" i="4" a="1"/>
  <c r="AE2" i="4" a="1"/>
  <c r="X45" i="4" a="1"/>
  <c r="J47" i="4" a="1"/>
  <c r="M87" i="4" a="1"/>
  <c r="AD22" i="4" a="1"/>
  <c r="U94" i="4" a="1"/>
  <c r="U13" i="4" a="1"/>
  <c r="F21" i="4" a="1"/>
  <c r="F47" i="4" a="1"/>
  <c r="H8" i="4" a="1"/>
  <c r="AF70" i="4" a="1"/>
  <c r="F105" i="4" a="1"/>
  <c r="O73" i="4" a="1"/>
  <c r="F41" i="4" a="1"/>
  <c r="D41" i="4" a="1"/>
  <c r="AD4" i="4" a="1"/>
  <c r="P70" i="4" a="1"/>
  <c r="K20" i="4" a="1"/>
  <c r="X58" i="4" a="1"/>
  <c r="H90" i="4" a="1"/>
  <c r="W13" i="4" a="1"/>
  <c r="K88" i="4" a="1"/>
  <c r="S36" i="4" a="1"/>
  <c r="M69" i="4" a="1"/>
  <c r="W6" i="4" a="1"/>
  <c r="F97" i="4" a="1"/>
  <c r="AA27" i="4" a="1"/>
  <c r="R31" i="4" a="1"/>
  <c r="W82" i="4" a="1"/>
  <c r="V107" i="4" a="1"/>
  <c r="AC58" i="4" a="1"/>
  <c r="AD83" i="4" a="1"/>
  <c r="AE61" i="4" a="1"/>
  <c r="AA64" i="4" a="1"/>
  <c r="AF101" i="4" a="1"/>
  <c r="K76" i="4" a="1"/>
  <c r="T80" i="4" a="1"/>
  <c r="T83" i="4" a="1"/>
  <c r="I85" i="4" a="1"/>
  <c r="U34" i="4" a="1"/>
  <c r="K63" i="4" a="1"/>
  <c r="L11" i="4" a="1"/>
  <c r="I4" i="4" a="1"/>
  <c r="S105" i="4" a="1"/>
  <c r="S80" i="4" a="1"/>
  <c r="V29" i="4" a="1"/>
  <c r="D70" i="4" a="1"/>
  <c r="N90" i="4" a="1"/>
  <c r="Z100" i="4" a="1"/>
  <c r="H39" i="4" a="1"/>
  <c r="D40" i="4" a="1"/>
  <c r="J82" i="4" a="1"/>
  <c r="S45" i="4" a="1"/>
  <c r="AE104" i="4" a="1"/>
  <c r="N52" i="4" a="1"/>
  <c r="X80" i="4" a="1"/>
  <c r="AD42" i="4" a="1"/>
  <c r="Z23" i="4" a="1"/>
  <c r="Y61" i="4" a="1"/>
  <c r="AF107" i="4" a="1"/>
  <c r="AB96" i="4" a="1"/>
  <c r="M36" i="4" a="1"/>
  <c r="AF40" i="4" a="1"/>
  <c r="S88" i="4" a="1"/>
  <c r="X83" i="4" a="1"/>
  <c r="M97" i="4" a="1"/>
  <c r="P99" i="4" a="1"/>
  <c r="G14" i="4" a="1"/>
  <c r="AC100" i="4" a="1"/>
  <c r="AB18" i="4" a="1"/>
  <c r="M52" i="4" a="1"/>
  <c r="I80" i="4" a="1"/>
  <c r="T42" i="4" a="1"/>
  <c r="D62" i="4" a="1"/>
  <c r="V44" i="4" a="1"/>
  <c r="Q2" i="4" a="1"/>
  <c r="G61" i="4" a="1"/>
  <c r="K103" i="4" a="1"/>
  <c r="U87" i="4" a="1"/>
  <c r="T100" i="4" a="1"/>
  <c r="AE58" i="4" a="1"/>
  <c r="W16" i="4" a="1"/>
  <c r="O87" i="4" a="1"/>
  <c r="AF48" i="4" a="1"/>
  <c r="H99" i="4" a="1"/>
  <c r="AB86" i="4" a="1"/>
  <c r="J5" i="4" a="1"/>
  <c r="F2" i="4" a="1"/>
  <c r="AB88" i="4" a="1"/>
  <c r="E44" i="4" a="1"/>
  <c r="Q4" i="4" a="1"/>
  <c r="S100" i="4" a="1"/>
  <c r="M26" i="4" a="1"/>
  <c r="F68" i="4" a="1"/>
  <c r="AF43" i="4" a="1"/>
  <c r="L69" i="4" a="1"/>
  <c r="W30" i="4" a="1"/>
  <c r="P106" i="4" a="1"/>
  <c r="E98" i="4" a="1"/>
  <c r="AF22" i="4" a="1"/>
  <c r="Y70" i="4" a="1"/>
  <c r="Z79" i="4" a="1"/>
  <c r="AD45" i="4" a="1"/>
  <c r="V66" i="4" a="1"/>
  <c r="O81" i="4" a="1"/>
  <c r="O30" i="4" a="1"/>
  <c r="AD6" i="4" a="1"/>
  <c r="Q92" i="4" a="1"/>
  <c r="D63" i="4" a="1"/>
  <c r="K12" i="4" a="1"/>
  <c r="M38" i="4" a="1"/>
  <c r="S6" i="4" a="1"/>
  <c r="W83" i="4" a="1"/>
  <c r="AE60" i="4" a="1"/>
  <c r="AF86" i="4" a="1"/>
  <c r="P89" i="4" a="1"/>
  <c r="H77" i="4" a="1"/>
  <c r="T64" i="4" a="1"/>
  <c r="AE9" i="4" a="1"/>
  <c r="H104" i="4" a="1"/>
  <c r="AB95" i="4" a="1"/>
  <c r="U22" i="4" a="1"/>
  <c r="Z24" i="4" a="1"/>
  <c r="U42" i="4" a="1"/>
  <c r="AC103" i="4" a="1"/>
  <c r="U105" i="4" a="1"/>
  <c r="Y96" i="4" a="1"/>
  <c r="G107" i="4" a="1"/>
  <c r="AB49" i="4" a="1"/>
  <c r="AC6" i="4" a="1"/>
  <c r="J108" i="4" a="1"/>
  <c r="G42" i="4" a="1"/>
  <c r="Q46" i="4" a="1"/>
  <c r="E70" i="4" a="1"/>
  <c r="F63" i="4" a="1"/>
  <c r="F95" i="4" a="1"/>
  <c r="P101" i="4" a="1"/>
  <c r="F64" i="4" a="1"/>
  <c r="AB2" i="4" a="1"/>
  <c r="O20" i="4" a="1"/>
  <c r="T68" i="4" a="1"/>
  <c r="G57" i="4" a="1"/>
  <c r="AA42" i="4" a="1"/>
  <c r="W105" i="4" a="1"/>
  <c r="K82" i="4" a="1"/>
  <c r="F81" i="4" a="1"/>
  <c r="O52" i="4" a="1"/>
  <c r="N92" i="4" a="1"/>
  <c r="J42" i="4" a="1"/>
  <c r="D96" i="4" a="1"/>
  <c r="E32" i="4" a="1"/>
  <c r="X77" i="4" a="1"/>
  <c r="T91" i="4" a="1"/>
  <c r="E109" i="4" a="1"/>
  <c r="I11" i="4" a="1"/>
  <c r="AD33" i="4" a="1"/>
  <c r="Q28" i="4" a="1"/>
  <c r="O53" i="4" a="1"/>
  <c r="Y101" i="4" a="1"/>
  <c r="AF59" i="4" a="1"/>
  <c r="I109" i="6" a="1"/>
  <c r="T96" i="6" a="1"/>
  <c r="AC82" i="6" a="1"/>
  <c r="E78" i="6" a="1"/>
  <c r="K33" i="6" a="1"/>
  <c r="X27" i="6" a="1"/>
  <c r="L40" i="6" a="1"/>
  <c r="S19" i="6" a="1"/>
  <c r="I107" i="6" a="1"/>
  <c r="K48" i="6" a="1"/>
  <c r="AB8" i="6" a="1"/>
  <c r="Z30" i="6" a="1"/>
  <c r="U73" i="4" a="1"/>
  <c r="N42" i="4" a="1"/>
  <c r="S84" i="4" a="1"/>
  <c r="E20" i="4" a="1"/>
  <c r="T101" i="4" a="1"/>
  <c r="O105" i="4" a="1"/>
  <c r="S55" i="4" a="1"/>
  <c r="W7" i="4" a="1"/>
  <c r="E5" i="4" a="1"/>
  <c r="H69" i="4" a="1"/>
  <c r="D38" i="4" a="1"/>
  <c r="X104" i="4" a="1"/>
  <c r="H91" i="4" a="1"/>
  <c r="Y46" i="4" a="1"/>
  <c r="I97" i="4" a="1"/>
  <c r="V27" i="4" a="1"/>
  <c r="Q98" i="4" a="1"/>
  <c r="X50" i="4" a="1"/>
  <c r="T74" i="4" a="1"/>
  <c r="Z75" i="4" a="1"/>
  <c r="G16" i="4" a="1"/>
  <c r="T13" i="4" a="1"/>
  <c r="Q50" i="4" a="1"/>
  <c r="AE71" i="4" a="1"/>
  <c r="V15" i="4" a="1"/>
  <c r="V105" i="4" a="1"/>
  <c r="L87" i="4" a="1"/>
  <c r="G5" i="4" a="1"/>
  <c r="AD86" i="4" a="1"/>
  <c r="AB57" i="4" a="1"/>
  <c r="AB15" i="4" a="1"/>
  <c r="AD78" i="4" a="1"/>
  <c r="AE55" i="4" a="1"/>
  <c r="X44" i="4" a="1"/>
  <c r="AC34" i="4" a="1"/>
  <c r="H64" i="4" a="1"/>
  <c r="X36" i="4" a="1"/>
  <c r="F19" i="4" a="1"/>
  <c r="W23" i="4" a="1"/>
  <c r="Q57" i="4" a="1"/>
  <c r="H45" i="4" a="1"/>
  <c r="K14" i="4" a="1"/>
  <c r="M37" i="4" a="1"/>
  <c r="K33" i="4" a="1"/>
  <c r="M106" i="4" a="1"/>
  <c r="AB60" i="4" a="1"/>
  <c r="R64" i="4" a="1"/>
  <c r="S94" i="4" a="1"/>
  <c r="L39" i="4" a="1"/>
  <c r="U74" i="4" a="1"/>
  <c r="R12" i="4" a="1"/>
  <c r="I2" i="4" a="1"/>
  <c r="O28" i="4" a="1"/>
  <c r="E65" i="4" a="1"/>
  <c r="V4" i="4" a="1"/>
  <c r="O32" i="4" a="1"/>
  <c r="Z7" i="4" a="1"/>
  <c r="W51" i="4" a="1"/>
  <c r="D46" i="4" a="1"/>
  <c r="N41" i="4" a="1"/>
  <c r="AE37" i="4" a="1"/>
  <c r="N7" i="4" a="1"/>
  <c r="AE32" i="4" a="1"/>
  <c r="AD53" i="4" a="1"/>
  <c r="AF71" i="4" a="1"/>
  <c r="Z20" i="4" a="1"/>
  <c r="F7" i="4" a="1"/>
  <c r="S101" i="4" a="1"/>
  <c r="N49" i="4" a="1"/>
  <c r="V13" i="4" a="1"/>
  <c r="U95" i="4" a="1"/>
  <c r="L2" i="4" a="1"/>
  <c r="T45" i="4" a="1"/>
  <c r="R82" i="4" a="1"/>
  <c r="H61" i="4" a="1"/>
  <c r="AC70" i="4" a="1"/>
  <c r="R55" i="4" a="1"/>
  <c r="Z8" i="4" a="1"/>
  <c r="AF78" i="4" a="1"/>
  <c r="K56" i="4" a="1"/>
  <c r="H81" i="4" a="1"/>
  <c r="AD107" i="4" a="1"/>
  <c r="D3" i="4" a="1"/>
  <c r="Z89" i="4" a="1"/>
  <c r="F18" i="4" a="1"/>
  <c r="D88" i="4" a="1"/>
  <c r="AB71" i="4" a="1"/>
  <c r="X43" i="4" a="1"/>
  <c r="U61" i="4" a="1"/>
  <c r="W8" i="4" a="1"/>
  <c r="W70" i="4" a="1"/>
  <c r="L30" i="4" a="1"/>
  <c r="S57" i="4" a="1"/>
  <c r="V5" i="4" a="1"/>
  <c r="AB63" i="4" a="1"/>
  <c r="AD79" i="4" a="1"/>
  <c r="J83" i="4" a="1"/>
  <c r="AB62" i="4" a="1"/>
  <c r="AE97" i="4" a="1"/>
  <c r="O91" i="4" a="1"/>
  <c r="AC40" i="4" a="1"/>
  <c r="Z5" i="4" a="1"/>
  <c r="S25" i="4" a="1"/>
  <c r="AA13" i="4" a="1"/>
  <c r="AF72" i="4" a="1"/>
  <c r="Q22" i="4" a="1"/>
  <c r="AC28" i="4" a="1"/>
  <c r="I14" i="4" a="1"/>
  <c r="Z82" i="4" a="1"/>
  <c r="I79" i="4" a="1"/>
  <c r="I6" i="4" a="1"/>
  <c r="AF16" i="4" a="1"/>
  <c r="P58" i="4" a="1"/>
  <c r="N109" i="4" a="1"/>
  <c r="L45" i="4" a="1"/>
  <c r="J37" i="4" a="1"/>
  <c r="K42" i="4" a="1"/>
  <c r="L43" i="4" a="1"/>
  <c r="AF30" i="4" a="1"/>
  <c r="P44" i="4" a="1"/>
  <c r="J23" i="4" a="1"/>
  <c r="I74" i="4" a="1"/>
  <c r="AA75" i="4" a="1"/>
  <c r="K10" i="4" a="1"/>
  <c r="X94" i="4" a="1"/>
  <c r="I51" i="4" a="1"/>
  <c r="M101" i="4" a="1"/>
  <c r="J105" i="4" a="1"/>
  <c r="V102" i="4" a="1"/>
  <c r="L96" i="4" a="1"/>
  <c r="H72" i="4" a="1"/>
  <c r="D107" i="4" a="1"/>
  <c r="G4" i="4" a="1"/>
  <c r="Z99" i="4" a="1"/>
  <c r="U10" i="4" a="1"/>
  <c r="K70" i="4" a="1"/>
  <c r="V51" i="4" a="1"/>
  <c r="D30" i="4" a="1"/>
  <c r="V77" i="4" a="1"/>
  <c r="R76" i="4" a="1"/>
  <c r="AE69" i="4" a="1"/>
  <c r="AC12" i="4" a="1"/>
  <c r="U64" i="4" a="1"/>
  <c r="AC82" i="4" a="1"/>
  <c r="R91" i="4" a="1"/>
  <c r="Q26" i="4" a="1"/>
  <c r="G46" i="4" a="1"/>
  <c r="M12" i="4" a="1"/>
  <c r="G30" i="4" a="1"/>
  <c r="AE22" i="4" a="1"/>
  <c r="E61" i="4" a="1"/>
  <c r="O60" i="4" a="1"/>
  <c r="Z106" i="4" a="1"/>
  <c r="M31" i="4" a="1"/>
  <c r="AB105" i="4" a="1"/>
  <c r="Z42" i="4" a="1"/>
  <c r="R8" i="4" a="1"/>
  <c r="R67" i="4" a="1"/>
  <c r="AF75" i="4" a="1"/>
  <c r="AE30" i="4" a="1"/>
  <c r="D92" i="4" a="1"/>
  <c r="H23" i="4" a="1"/>
  <c r="E50" i="4" a="1"/>
  <c r="F86" i="4" a="1"/>
  <c r="K38" i="4" a="1"/>
  <c r="AF98" i="4" a="1"/>
  <c r="D58" i="4" a="1"/>
  <c r="W60" i="4" a="1"/>
  <c r="W46" i="4" a="1"/>
  <c r="H35" i="4" a="1"/>
  <c r="AE11" i="4" a="1"/>
  <c r="T8" i="4" a="1"/>
  <c r="AC23" i="4" a="1"/>
  <c r="AB58" i="4" a="1"/>
  <c r="F69" i="4" a="1"/>
  <c r="Q21" i="4" a="1"/>
  <c r="P74" i="4" a="1"/>
  <c r="AD75" i="4" a="1"/>
  <c r="O70" i="4" a="1"/>
  <c r="O50" i="4" a="1"/>
  <c r="AB19" i="4" a="1"/>
  <c r="T65" i="4" a="1"/>
  <c r="Z57" i="4" a="1"/>
  <c r="E60" i="4" a="1"/>
  <c r="Y19" i="4" a="1"/>
  <c r="N93" i="4" a="1"/>
  <c r="AA2" i="4" a="1"/>
  <c r="Y105" i="4" a="1"/>
  <c r="R87" i="6" a="1"/>
  <c r="V85" i="6" a="1"/>
  <c r="D53" i="6" a="1"/>
  <c r="AE70" i="6" a="1"/>
  <c r="J55" i="6" a="1"/>
  <c r="V14" i="6" a="1"/>
  <c r="H50" i="6" a="1"/>
  <c r="J49" i="6" a="1"/>
  <c r="O55" i="6" a="1"/>
  <c r="I28" i="6" a="1"/>
  <c r="AB32" i="6" a="1"/>
  <c r="G36" i="6" a="1"/>
  <c r="J46" i="4" a="1"/>
  <c r="Q8" i="4" a="1"/>
  <c r="AC59" i="4" a="1"/>
  <c r="I95" i="4" a="1"/>
  <c r="Y91" i="4" a="1"/>
  <c r="AC96" i="4" a="1"/>
  <c r="AD89" i="4" a="1"/>
  <c r="V14" i="4" a="1"/>
  <c r="U39" i="4" a="1"/>
  <c r="V55" i="4" a="1"/>
  <c r="AB55" i="4" a="1"/>
  <c r="AB40" i="4" a="1"/>
  <c r="D103" i="4" a="1"/>
  <c r="J71" i="4" a="1"/>
  <c r="X60" i="4" a="1"/>
  <c r="AB109" i="4" a="1"/>
  <c r="T39" i="4" a="1"/>
  <c r="E74" i="4" a="1"/>
  <c r="J24" i="4" a="1"/>
  <c r="V56" i="4" a="1"/>
  <c r="R10" i="4" a="1"/>
  <c r="G20" i="4" a="1"/>
  <c r="AD77" i="4" a="1"/>
  <c r="D97" i="4" a="1"/>
  <c r="Q67" i="4" a="1"/>
  <c r="L80" i="4" a="1"/>
  <c r="F104" i="4" a="1"/>
  <c r="Q78" i="4" a="1"/>
  <c r="H44" i="4" a="1"/>
  <c r="J59" i="4" a="1"/>
  <c r="F42" i="4" a="1"/>
  <c r="Y60" i="4" a="1"/>
  <c r="S107" i="4" a="1"/>
  <c r="O55" i="4" a="1"/>
  <c r="R85" i="4" a="1"/>
  <c r="AF68" i="4" a="1"/>
  <c r="Z80" i="4" a="1"/>
  <c r="H94" i="4" a="1"/>
  <c r="AB20" i="4" a="1"/>
  <c r="T58" i="4" a="1"/>
  <c r="M4" i="2" l="1"/>
  <c r="H11" i="2"/>
  <c r="E25" i="2"/>
  <c r="L3" i="2"/>
  <c r="M12" i="2"/>
  <c r="U31" i="2"/>
  <c r="K30" i="2"/>
  <c r="V12" i="2"/>
  <c r="K8" i="2"/>
  <c r="G26" i="2"/>
  <c r="Q28" i="2"/>
  <c r="U18" i="2"/>
  <c r="P6" i="2"/>
  <c r="S8" i="2"/>
  <c r="J24" i="2"/>
  <c r="S17" i="2"/>
  <c r="K24" i="2"/>
  <c r="J12" i="2"/>
  <c r="V24" i="2"/>
  <c r="E14" i="2"/>
  <c r="O7" i="2"/>
  <c r="G17" i="2"/>
  <c r="Q46" i="2"/>
  <c r="P10" i="2"/>
  <c r="U23" i="2"/>
  <c r="F11" i="2"/>
  <c r="U11" i="2"/>
  <c r="E30" i="2"/>
  <c r="O28" i="2"/>
  <c r="S7" i="2"/>
  <c r="U26" i="2"/>
  <c r="D6" i="2"/>
  <c r="F23" i="2"/>
  <c r="G23" i="2"/>
  <c r="N13" i="2"/>
  <c r="C28" i="2"/>
  <c r="V3" i="2"/>
  <c r="C10" i="2"/>
  <c r="C19" i="2"/>
  <c r="M13" i="2"/>
  <c r="T11" i="2"/>
  <c r="G28" i="2"/>
  <c r="P4" i="2"/>
  <c r="Q13" i="2"/>
  <c r="Q33" i="2"/>
  <c r="D34" i="2"/>
  <c r="O9" i="2"/>
  <c r="I32" i="2"/>
  <c r="T7" i="2"/>
  <c r="C27" i="2"/>
  <c r="U28" i="2"/>
  <c r="R14" i="2"/>
  <c r="S29" i="2"/>
  <c r="R8" i="2"/>
  <c r="O10" i="2"/>
  <c r="K21" i="2"/>
  <c r="N4" i="2"/>
  <c r="D13" i="2"/>
  <c r="S31" i="2"/>
  <c r="E4" i="2"/>
  <c r="U14" i="2"/>
  <c r="K37" i="2"/>
  <c r="U6" i="2"/>
  <c r="C12" i="2"/>
  <c r="O39" i="2"/>
  <c r="H10" i="2"/>
  <c r="I34" i="2"/>
  <c r="K34" i="2"/>
  <c r="J15" i="2"/>
  <c r="O31" i="2"/>
  <c r="F14" i="2"/>
  <c r="G11" i="2"/>
  <c r="O22" i="2"/>
  <c r="J9" i="2"/>
  <c r="P13" i="2"/>
  <c r="M35" i="2"/>
  <c r="Q4" i="2"/>
  <c r="E16" i="2"/>
  <c r="G39" i="2"/>
  <c r="N3" i="2"/>
  <c r="O12" i="2"/>
  <c r="E42" i="2"/>
  <c r="T10" i="2"/>
  <c r="E36" i="2"/>
  <c r="I50" i="2"/>
  <c r="V15" i="2"/>
  <c r="I35" i="2"/>
  <c r="K3" i="2"/>
  <c r="S11" i="2"/>
  <c r="S23" i="2"/>
  <c r="R11" i="2"/>
  <c r="H14" i="2"/>
  <c r="I37" i="2"/>
  <c r="I5" i="2"/>
  <c r="Q16" i="2"/>
  <c r="M41" i="2"/>
  <c r="N6" i="2"/>
  <c r="G13" i="2"/>
  <c r="E49" i="2"/>
  <c r="L11" i="2"/>
  <c r="U37" i="2"/>
  <c r="R7" i="2"/>
  <c r="N16" i="2"/>
  <c r="U38" i="2"/>
  <c r="C4" i="2"/>
  <c r="K12" i="2"/>
  <c r="I26" i="2"/>
  <c r="D4" i="2"/>
  <c r="L15" i="2"/>
  <c r="E39" i="2"/>
  <c r="M6" i="2"/>
  <c r="I17" i="2"/>
  <c r="F4" i="2"/>
  <c r="R13" i="2"/>
  <c r="C15" i="2"/>
  <c r="F7" i="2"/>
  <c r="H13" i="2"/>
  <c r="Q49" i="2"/>
  <c r="I7" i="2"/>
  <c r="R17" i="2"/>
  <c r="Q40" i="2"/>
  <c r="O4" i="2"/>
  <c r="C13" i="2"/>
  <c r="U29" i="2"/>
  <c r="T5" i="2"/>
  <c r="P16" i="2"/>
  <c r="I47" i="2"/>
  <c r="Q7" i="2"/>
  <c r="G19" i="2"/>
  <c r="V11" i="2"/>
  <c r="J17" i="2"/>
  <c r="O15" i="2"/>
  <c r="R10" i="2"/>
  <c r="T13" i="2"/>
  <c r="F13" i="2"/>
  <c r="R3" i="2"/>
  <c r="E8" i="2"/>
  <c r="F20" i="2"/>
  <c r="E46" i="2"/>
  <c r="G5" i="2"/>
  <c r="O13" i="2"/>
  <c r="M33" i="2"/>
  <c r="L6" i="2"/>
  <c r="U17" i="2"/>
  <c r="E5" i="2"/>
  <c r="U8" i="2"/>
  <c r="K20" i="2"/>
  <c r="I19" i="2"/>
  <c r="M39" i="2"/>
  <c r="S16" i="2"/>
  <c r="V14" i="2"/>
  <c r="D15" i="2"/>
  <c r="Q12" i="2"/>
  <c r="V7" i="2"/>
  <c r="M16" i="2"/>
  <c r="J21" i="2"/>
  <c r="Q5" i="2"/>
  <c r="S5" i="2"/>
  <c r="G14" i="2"/>
  <c r="K35" i="2"/>
  <c r="D7" i="2"/>
  <c r="E19" i="2"/>
  <c r="U9" i="2"/>
  <c r="M9" i="2"/>
  <c r="O21" i="2"/>
  <c r="M20" i="2"/>
  <c r="S4" i="2"/>
  <c r="Q20" i="2"/>
  <c r="D3" i="2"/>
  <c r="L17" i="2"/>
  <c r="U13" i="2"/>
  <c r="N8" i="2"/>
  <c r="F8" i="2"/>
  <c r="N22" i="2"/>
  <c r="Q8" i="2"/>
  <c r="K6" i="2"/>
  <c r="S14" i="2"/>
  <c r="G37" i="2"/>
  <c r="H8" i="2"/>
  <c r="I20" i="2"/>
  <c r="Q17" i="2"/>
  <c r="E10" i="2"/>
  <c r="C24" i="2"/>
  <c r="E24" i="2"/>
  <c r="K5" i="2"/>
  <c r="U21" i="2"/>
  <c r="P3" i="2"/>
  <c r="J18" i="2"/>
  <c r="Q15" i="2"/>
  <c r="J10" i="2"/>
  <c r="V9" i="2"/>
  <c r="R23" i="2"/>
  <c r="Q11" i="2"/>
  <c r="C7" i="2"/>
  <c r="C16" i="2"/>
  <c r="U40" i="2"/>
  <c r="L9" i="2"/>
  <c r="Q22" i="2"/>
  <c r="F5" i="2"/>
  <c r="I11" i="2"/>
  <c r="M26" i="2"/>
  <c r="S26" i="2"/>
  <c r="C6" i="2"/>
  <c r="E23" i="2"/>
  <c r="H4" i="2"/>
  <c r="N19" i="2"/>
  <c r="M17" i="2"/>
  <c r="F15" i="2"/>
  <c r="J11" i="2"/>
  <c r="G7" i="2"/>
  <c r="K14" i="2"/>
  <c r="M25" i="2"/>
  <c r="R4" i="2"/>
  <c r="L5" i="2"/>
  <c r="P12" i="2"/>
  <c r="V21" i="2"/>
  <c r="M42" i="2"/>
  <c r="E15" i="2"/>
  <c r="E27" i="2"/>
  <c r="U4" i="2"/>
  <c r="R9" i="2"/>
  <c r="V16" i="2"/>
  <c r="S32" i="2"/>
  <c r="M11" i="2"/>
  <c r="G9" i="2"/>
  <c r="K16" i="2"/>
  <c r="E31" i="2"/>
  <c r="I4" i="2"/>
  <c r="T6" i="2"/>
  <c r="D14" i="2"/>
  <c r="Q24" i="2"/>
  <c r="I9" i="2"/>
  <c r="M29" i="2"/>
  <c r="N20" i="2"/>
  <c r="R27" i="2"/>
  <c r="D35" i="2"/>
  <c r="H42" i="2"/>
  <c r="L49" i="2"/>
  <c r="P56" i="2"/>
  <c r="G68" i="2"/>
  <c r="C20" i="2"/>
  <c r="G27" i="2"/>
  <c r="M34" i="2"/>
  <c r="Q41" i="2"/>
  <c r="U48" i="2"/>
  <c r="E56" i="2"/>
  <c r="H66" i="2"/>
  <c r="L19" i="2"/>
  <c r="P26" i="2"/>
  <c r="T33" i="2"/>
  <c r="F41" i="2"/>
  <c r="J48" i="2"/>
  <c r="N55" i="2"/>
  <c r="U64" i="2"/>
  <c r="I27" i="2"/>
  <c r="O34" i="2"/>
  <c r="S41" i="2"/>
  <c r="C49" i="2"/>
  <c r="G56" i="2"/>
  <c r="M66" i="2"/>
  <c r="J27" i="2"/>
  <c r="P34" i="2"/>
  <c r="T41" i="2"/>
  <c r="D49" i="2"/>
  <c r="H56" i="2"/>
  <c r="O66" i="2"/>
  <c r="Q52" i="2"/>
  <c r="U59" i="2"/>
  <c r="I88" i="2"/>
  <c r="P22" i="2"/>
  <c r="T29" i="2"/>
  <c r="F37" i="2"/>
  <c r="J44" i="2"/>
  <c r="N51" i="2"/>
  <c r="R58" i="2"/>
  <c r="O76" i="2"/>
  <c r="K44" i="2"/>
  <c r="O51" i="2"/>
  <c r="S58" i="2"/>
  <c r="S76" i="2"/>
  <c r="N21" i="2"/>
  <c r="R28" i="2"/>
  <c r="D36" i="2"/>
  <c r="H43" i="2"/>
  <c r="L50" i="2"/>
  <c r="P57" i="2"/>
  <c r="E72" i="2"/>
  <c r="E45" i="2"/>
  <c r="I52" i="2"/>
  <c r="M59" i="2"/>
  <c r="M83" i="2"/>
  <c r="T22" i="2"/>
  <c r="D30" i="2"/>
  <c r="J37" i="2"/>
  <c r="N44" i="2"/>
  <c r="R51" i="2"/>
  <c r="V58" i="2"/>
  <c r="K77" i="2"/>
  <c r="G45" i="2"/>
  <c r="K52" i="2"/>
  <c r="O59" i="2"/>
  <c r="Q84" i="2"/>
  <c r="D66" i="2"/>
  <c r="H73" i="2"/>
  <c r="L80" i="2"/>
  <c r="P87" i="2"/>
  <c r="L95" i="2"/>
  <c r="S105" i="2"/>
  <c r="D133" i="2"/>
  <c r="N65" i="2"/>
  <c r="R72" i="2"/>
  <c r="V79" i="2"/>
  <c r="F87" i="2"/>
  <c r="S94" i="2"/>
  <c r="C105" i="2"/>
  <c r="T128" i="2"/>
  <c r="C65" i="2"/>
  <c r="G72" i="2"/>
  <c r="K79" i="2"/>
  <c r="O86" i="2"/>
  <c r="E94" i="2"/>
  <c r="H104" i="2"/>
  <c r="H124" i="2"/>
  <c r="T69" i="2"/>
  <c r="H78" i="2"/>
  <c r="L88" i="2"/>
  <c r="O101" i="2"/>
  <c r="H140" i="2"/>
  <c r="M70" i="2"/>
  <c r="I81" i="2"/>
  <c r="E92" i="2"/>
  <c r="E107" i="2"/>
  <c r="R62" i="2"/>
  <c r="N73" i="2"/>
  <c r="J84" i="2"/>
  <c r="U95" i="2"/>
  <c r="L114" i="2"/>
  <c r="C82" i="2"/>
  <c r="S92" i="2"/>
  <c r="J108" i="2"/>
  <c r="L63" i="2"/>
  <c r="T77" i="2"/>
  <c r="H92" i="2"/>
  <c r="R116" i="2"/>
  <c r="I89" i="2"/>
  <c r="N81" i="2"/>
  <c r="O90" i="2"/>
  <c r="N17" i="2"/>
  <c r="Q34" i="2"/>
  <c r="V4" i="2"/>
  <c r="S9" i="2"/>
  <c r="C17" i="2"/>
  <c r="U32" i="2"/>
  <c r="Q6" i="2"/>
  <c r="L7" i="2"/>
  <c r="P14" i="2"/>
  <c r="U25" i="2"/>
  <c r="I12" i="2"/>
  <c r="I31" i="2"/>
  <c r="F21" i="2"/>
  <c r="J28" i="2"/>
  <c r="P35" i="2"/>
  <c r="T42" i="2"/>
  <c r="D50" i="2"/>
  <c r="H57" i="2"/>
  <c r="O70" i="2"/>
  <c r="O20" i="2"/>
  <c r="S27" i="2"/>
  <c r="E35" i="2"/>
  <c r="I42" i="2"/>
  <c r="M49" i="2"/>
  <c r="Q56" i="2"/>
  <c r="K68" i="2"/>
  <c r="D20" i="2"/>
  <c r="H27" i="2"/>
  <c r="N34" i="2"/>
  <c r="R41" i="2"/>
  <c r="V48" i="2"/>
  <c r="F56" i="2"/>
  <c r="K66" i="2"/>
  <c r="U27" i="2"/>
  <c r="G35" i="2"/>
  <c r="K42" i="2"/>
  <c r="O49" i="2"/>
  <c r="S56" i="2"/>
  <c r="S68" i="2"/>
  <c r="V27" i="2"/>
  <c r="H35" i="2"/>
  <c r="L42" i="2"/>
  <c r="P49" i="2"/>
  <c r="T56" i="2"/>
  <c r="C69" i="2"/>
  <c r="I53" i="2"/>
  <c r="M60" i="2"/>
  <c r="K96" i="2"/>
  <c r="H23" i="2"/>
  <c r="L30" i="2"/>
  <c r="R37" i="2"/>
  <c r="V44" i="2"/>
  <c r="F52" i="2"/>
  <c r="J59" i="2"/>
  <c r="Q81" i="2"/>
  <c r="C45" i="2"/>
  <c r="G52" i="2"/>
  <c r="K59" i="2"/>
  <c r="I82" i="2"/>
  <c r="F22" i="2"/>
  <c r="J29" i="2"/>
  <c r="P36" i="2"/>
  <c r="T43" i="2"/>
  <c r="D51" i="2"/>
  <c r="H58" i="2"/>
  <c r="M74" i="2"/>
  <c r="Q45" i="2"/>
  <c r="U52" i="2"/>
  <c r="E60" i="2"/>
  <c r="Q90" i="2"/>
  <c r="L23" i="2"/>
  <c r="P30" i="2"/>
  <c r="V37" i="2"/>
  <c r="F45" i="2"/>
  <c r="J52" i="2"/>
  <c r="N59" i="2"/>
  <c r="E84" i="2"/>
  <c r="S45" i="2"/>
  <c r="C53" i="2"/>
  <c r="G60" i="2"/>
  <c r="U91" i="2"/>
  <c r="P66" i="2"/>
  <c r="T73" i="2"/>
  <c r="D81" i="2"/>
  <c r="H88" i="2"/>
  <c r="I96" i="2"/>
  <c r="Q106" i="2"/>
  <c r="L138" i="2"/>
  <c r="F66" i="2"/>
  <c r="J73" i="2"/>
  <c r="N80" i="2"/>
  <c r="R87" i="2"/>
  <c r="P95" i="2"/>
  <c r="U105" i="2"/>
  <c r="T133" i="2"/>
  <c r="O65" i="2"/>
  <c r="S72" i="2"/>
  <c r="C80" i="2"/>
  <c r="G87" i="2"/>
  <c r="T94" i="2"/>
  <c r="D105" i="2"/>
  <c r="D129" i="2"/>
  <c r="L70" i="2"/>
  <c r="T78" i="2"/>
  <c r="D89" i="2"/>
  <c r="M102" i="2"/>
  <c r="P145" i="2"/>
  <c r="E71" i="2"/>
  <c r="U81" i="2"/>
  <c r="Q92" i="2"/>
  <c r="H108" i="2"/>
  <c r="J63" i="2"/>
  <c r="F74" i="2"/>
  <c r="V84" i="2"/>
  <c r="P96" i="2"/>
  <c r="I116" i="2"/>
  <c r="O82" i="2"/>
  <c r="N93" i="2"/>
  <c r="P109" i="2"/>
  <c r="D64" i="2"/>
  <c r="L78" i="2"/>
  <c r="T92" i="2"/>
  <c r="P118" i="2"/>
  <c r="U89" i="2"/>
  <c r="F82" i="2"/>
  <c r="G91" i="2"/>
  <c r="I3" i="2"/>
  <c r="I16" i="2"/>
  <c r="Q30" i="2"/>
  <c r="Q9" i="2"/>
  <c r="V10" i="2"/>
  <c r="M18" i="2"/>
  <c r="M36" i="2"/>
  <c r="G3" i="2"/>
  <c r="K10" i="2"/>
  <c r="O17" i="2"/>
  <c r="S34" i="2"/>
  <c r="E9" i="2"/>
  <c r="D8" i="2"/>
  <c r="H15" i="2"/>
  <c r="O27" i="2"/>
  <c r="Q14" i="2"/>
  <c r="E33" i="2"/>
  <c r="R21" i="2"/>
  <c r="V28" i="2"/>
  <c r="H36" i="2"/>
  <c r="L43" i="2"/>
  <c r="P50" i="2"/>
  <c r="T57" i="2"/>
  <c r="C73" i="2"/>
  <c r="G21" i="2"/>
  <c r="K28" i="2"/>
  <c r="Q35" i="2"/>
  <c r="U42" i="2"/>
  <c r="E50" i="2"/>
  <c r="I57" i="2"/>
  <c r="S70" i="2"/>
  <c r="P20" i="2"/>
  <c r="T27" i="2"/>
  <c r="F35" i="2"/>
  <c r="J42" i="2"/>
  <c r="N49" i="2"/>
  <c r="R56" i="2"/>
  <c r="M68" i="2"/>
  <c r="M28" i="2"/>
  <c r="S35" i="2"/>
  <c r="C43" i="2"/>
  <c r="G50" i="2"/>
  <c r="K57" i="2"/>
  <c r="G71" i="2"/>
  <c r="N28" i="2"/>
  <c r="T35" i="2"/>
  <c r="D43" i="2"/>
  <c r="H50" i="2"/>
  <c r="L57" i="2"/>
  <c r="K71" i="2"/>
  <c r="U53" i="2"/>
  <c r="E61" i="2"/>
  <c r="R106" i="2"/>
  <c r="T23" i="2"/>
  <c r="D31" i="2"/>
  <c r="J38" i="2"/>
  <c r="N45" i="2"/>
  <c r="R52" i="2"/>
  <c r="V59" i="2"/>
  <c r="U88" i="2"/>
  <c r="O45" i="2"/>
  <c r="S52" i="2"/>
  <c r="C60" i="2"/>
  <c r="M89" i="2"/>
  <c r="R22" i="2"/>
  <c r="V29" i="2"/>
  <c r="H37" i="2"/>
  <c r="L44" i="2"/>
  <c r="P51" i="2"/>
  <c r="T58" i="2"/>
  <c r="U76" i="2"/>
  <c r="I46" i="2"/>
  <c r="M53" i="2"/>
  <c r="Q60" i="2"/>
  <c r="N99" i="2"/>
  <c r="D24" i="2"/>
  <c r="H31" i="2"/>
  <c r="N38" i="2"/>
  <c r="R45" i="2"/>
  <c r="V52" i="2"/>
  <c r="F60" i="2"/>
  <c r="I91" i="2"/>
  <c r="K46" i="2"/>
  <c r="O53" i="2"/>
  <c r="S60" i="2"/>
  <c r="J101" i="2"/>
  <c r="H67" i="2"/>
  <c r="L74" i="2"/>
  <c r="P81" i="2"/>
  <c r="T88" i="2"/>
  <c r="E97" i="2"/>
  <c r="Q107" i="2"/>
  <c r="T143" i="2"/>
  <c r="R66" i="2"/>
  <c r="V73" i="2"/>
  <c r="F81" i="2"/>
  <c r="J88" i="2"/>
  <c r="L96" i="2"/>
  <c r="T106" i="2"/>
  <c r="H139" i="2"/>
  <c r="G66" i="2"/>
  <c r="K73" i="2"/>
  <c r="O80" i="2"/>
  <c r="S87" i="2"/>
  <c r="Q95" i="2"/>
  <c r="D106" i="2"/>
  <c r="H134" i="2"/>
  <c r="D71" i="2"/>
  <c r="L79" i="2"/>
  <c r="P89" i="2"/>
  <c r="K103" i="2"/>
  <c r="D151" i="2"/>
  <c r="Q71" i="2"/>
  <c r="M82" i="2"/>
  <c r="L93" i="2"/>
  <c r="K109" i="2"/>
  <c r="V63" i="2"/>
  <c r="R74" i="2"/>
  <c r="N85" i="2"/>
  <c r="M97" i="2"/>
  <c r="H118" i="2"/>
  <c r="G83" i="2"/>
  <c r="K94" i="2"/>
  <c r="S110" i="2"/>
  <c r="P64" i="2"/>
  <c r="D79" i="2"/>
  <c r="O93" i="2"/>
  <c r="T152" i="2"/>
  <c r="Q97" i="2"/>
  <c r="R88" i="2"/>
  <c r="L99" i="2"/>
  <c r="C25" i="2"/>
  <c r="M10" i="2"/>
  <c r="P7" i="2"/>
  <c r="T14" i="2"/>
  <c r="K26" i="2"/>
  <c r="U12" i="2"/>
  <c r="U5" i="2"/>
  <c r="E13" i="2"/>
  <c r="S22" i="2"/>
  <c r="U47" i="2"/>
  <c r="G32" i="2"/>
  <c r="Q21" i="2"/>
  <c r="C9" i="2"/>
  <c r="G16" i="2"/>
  <c r="M30" i="2"/>
  <c r="N12" i="2"/>
  <c r="H7" i="2"/>
  <c r="L14" i="2"/>
  <c r="N25" i="2"/>
  <c r="V5" i="2"/>
  <c r="U16" i="2"/>
  <c r="M32" i="2"/>
  <c r="E12" i="2"/>
  <c r="N11" i="2"/>
  <c r="Q19" i="2"/>
  <c r="I38" i="2"/>
  <c r="S3" i="2"/>
  <c r="C11" i="2"/>
  <c r="O18" i="2"/>
  <c r="O36" i="2"/>
  <c r="I13" i="2"/>
  <c r="P8" i="2"/>
  <c r="T15" i="2"/>
  <c r="K29" i="2"/>
  <c r="I15" i="2"/>
  <c r="C35" i="2"/>
  <c r="J22" i="2"/>
  <c r="N29" i="2"/>
  <c r="T36" i="2"/>
  <c r="D44" i="2"/>
  <c r="H51" i="2"/>
  <c r="L58" i="2"/>
  <c r="K75" i="2"/>
  <c r="S21" i="2"/>
  <c r="C29" i="2"/>
  <c r="I36" i="2"/>
  <c r="M43" i="2"/>
  <c r="Q50" i="2"/>
  <c r="U57" i="2"/>
  <c r="G73" i="2"/>
  <c r="H21" i="2"/>
  <c r="L28" i="2"/>
  <c r="R35" i="2"/>
  <c r="V42" i="2"/>
  <c r="F50" i="2"/>
  <c r="J57" i="2"/>
  <c r="U70" i="2"/>
  <c r="E29" i="2"/>
  <c r="K36" i="2"/>
  <c r="O43" i="2"/>
  <c r="S50" i="2"/>
  <c r="C58" i="2"/>
  <c r="O73" i="2"/>
  <c r="F29" i="2"/>
  <c r="L36" i="2"/>
  <c r="P43" i="2"/>
  <c r="T50" i="2"/>
  <c r="D58" i="2"/>
  <c r="S73" i="2"/>
  <c r="M54" i="2"/>
  <c r="K62" i="2"/>
  <c r="P138" i="2"/>
  <c r="L24" i="2"/>
  <c r="P31" i="2"/>
  <c r="V38" i="2"/>
  <c r="F46" i="2"/>
  <c r="J53" i="2"/>
  <c r="N60" i="2"/>
  <c r="F97" i="2"/>
  <c r="G46" i="2"/>
  <c r="K53" i="2"/>
  <c r="O60" i="2"/>
  <c r="C98" i="2"/>
  <c r="J23" i="2"/>
  <c r="N30" i="2"/>
  <c r="T37" i="2"/>
  <c r="D45" i="2"/>
  <c r="H52" i="2"/>
  <c r="L59" i="2"/>
  <c r="U82" i="2"/>
  <c r="U46" i="2"/>
  <c r="E54" i="2"/>
  <c r="M61" i="2"/>
  <c r="P111" i="2"/>
  <c r="P24" i="2"/>
  <c r="T31" i="2"/>
  <c r="F39" i="2"/>
  <c r="J46" i="2"/>
  <c r="N53" i="2"/>
  <c r="R60" i="2"/>
  <c r="L100" i="2"/>
  <c r="C47" i="2"/>
  <c r="G54" i="2"/>
  <c r="Q61" i="2"/>
  <c r="N115" i="2"/>
  <c r="T67" i="2"/>
  <c r="D75" i="2"/>
  <c r="H82" i="2"/>
  <c r="L89" i="2"/>
  <c r="T97" i="2"/>
  <c r="V108" i="2"/>
  <c r="H149" i="2"/>
  <c r="J67" i="2"/>
  <c r="N74" i="2"/>
  <c r="R81" i="2"/>
  <c r="V88" i="2"/>
  <c r="G97" i="2"/>
  <c r="U107" i="2"/>
  <c r="P144" i="2"/>
  <c r="S66" i="2"/>
  <c r="C74" i="2"/>
  <c r="G81" i="2"/>
  <c r="K88" i="2"/>
  <c r="M96" i="2"/>
  <c r="C107" i="2"/>
  <c r="P139" i="2"/>
  <c r="P71" i="2"/>
  <c r="P80" i="2"/>
  <c r="L91" i="2"/>
  <c r="E106" i="2"/>
  <c r="Q62" i="2"/>
  <c r="M73" i="2"/>
  <c r="I84" i="2"/>
  <c r="T95" i="2"/>
  <c r="J114" i="2"/>
  <c r="R65" i="2"/>
  <c r="N76" i="2"/>
  <c r="J87" i="2"/>
  <c r="U99" i="2"/>
  <c r="M130" i="2"/>
  <c r="C85" i="2"/>
  <c r="S96" i="2"/>
  <c r="L116" i="2"/>
  <c r="P67" i="2"/>
  <c r="D82" i="2"/>
  <c r="P97" i="2"/>
  <c r="Q67" i="2"/>
  <c r="L98" i="2"/>
  <c r="J89" i="2"/>
  <c r="H100" i="2"/>
  <c r="F12" i="2"/>
  <c r="U20" i="2"/>
  <c r="E40" i="2"/>
  <c r="K4" i="2"/>
  <c r="O11" i="2"/>
  <c r="S19" i="2"/>
  <c r="K38" i="2"/>
  <c r="F3" i="2"/>
  <c r="H9" i="2"/>
  <c r="L16" i="2"/>
  <c r="G31" i="2"/>
  <c r="U15" i="2"/>
  <c r="S36" i="2"/>
  <c r="V22" i="2"/>
  <c r="F30" i="2"/>
  <c r="L37" i="2"/>
  <c r="P44" i="2"/>
  <c r="T51" i="2"/>
  <c r="D59" i="2"/>
  <c r="E78" i="2"/>
  <c r="K22" i="2"/>
  <c r="O29" i="2"/>
  <c r="U36" i="2"/>
  <c r="E44" i="2"/>
  <c r="I51" i="2"/>
  <c r="M58" i="2"/>
  <c r="O75" i="2"/>
  <c r="T21" i="2"/>
  <c r="D29" i="2"/>
  <c r="J36" i="2"/>
  <c r="N43" i="2"/>
  <c r="R50" i="2"/>
  <c r="V57" i="2"/>
  <c r="I73" i="2"/>
  <c r="Q29" i="2"/>
  <c r="C37" i="2"/>
  <c r="G44" i="2"/>
  <c r="K51" i="2"/>
  <c r="O58" i="2"/>
  <c r="C76" i="2"/>
  <c r="R29" i="2"/>
  <c r="D37" i="2"/>
  <c r="H44" i="2"/>
  <c r="L51" i="2"/>
  <c r="P58" i="2"/>
  <c r="G76" i="2"/>
  <c r="E55" i="2"/>
  <c r="T63" i="2"/>
  <c r="T17" i="2"/>
  <c r="D25" i="2"/>
  <c r="H32" i="2"/>
  <c r="N39" i="2"/>
  <c r="R46" i="2"/>
  <c r="V53" i="2"/>
  <c r="G61" i="2"/>
  <c r="T107" i="2"/>
  <c r="S46" i="2"/>
  <c r="C54" i="2"/>
  <c r="I61" i="2"/>
  <c r="C109" i="2"/>
  <c r="V23" i="2"/>
  <c r="F31" i="2"/>
  <c r="L38" i="2"/>
  <c r="P45" i="2"/>
  <c r="T52" i="2"/>
  <c r="D60" i="2"/>
  <c r="E90" i="2"/>
  <c r="M47" i="2"/>
  <c r="Q54" i="2"/>
  <c r="U62" i="2"/>
  <c r="D18" i="2"/>
  <c r="H25" i="2"/>
  <c r="L32" i="2"/>
  <c r="R39" i="2"/>
  <c r="V46" i="2"/>
  <c r="F54" i="2"/>
  <c r="O61" i="2"/>
  <c r="Q113" i="2"/>
  <c r="O47" i="2"/>
  <c r="S54" i="2"/>
  <c r="E63" i="2"/>
  <c r="H61" i="2"/>
  <c r="L68" i="2"/>
  <c r="P75" i="2"/>
  <c r="T82" i="2"/>
  <c r="D90" i="2"/>
  <c r="Q98" i="2"/>
  <c r="E110" i="2"/>
  <c r="P154" i="2"/>
  <c r="V67" i="2"/>
  <c r="F75" i="2"/>
  <c r="J82" i="2"/>
  <c r="N89" i="2"/>
  <c r="D98" i="2"/>
  <c r="D109" i="2"/>
  <c r="D150" i="2"/>
  <c r="K67" i="2"/>
  <c r="O74" i="2"/>
  <c r="S81" i="2"/>
  <c r="C89" i="2"/>
  <c r="H97" i="2"/>
  <c r="V107" i="2"/>
  <c r="D145" i="2"/>
  <c r="H72" i="2"/>
  <c r="H81" i="2"/>
  <c r="D92" i="2"/>
  <c r="D107" i="2"/>
  <c r="I63" i="2"/>
  <c r="E74" i="2"/>
  <c r="U84" i="2"/>
  <c r="O96" i="2"/>
  <c r="H116" i="2"/>
  <c r="J66" i="2"/>
  <c r="F77" i="2"/>
  <c r="V87" i="2"/>
  <c r="S100" i="2"/>
  <c r="P135" i="2"/>
  <c r="O85" i="2"/>
  <c r="O97" i="2"/>
  <c r="M118" i="2"/>
  <c r="H68" i="2"/>
  <c r="P82" i="2"/>
  <c r="K98" i="2"/>
  <c r="I68" i="2"/>
  <c r="N108" i="2"/>
  <c r="C97" i="2"/>
  <c r="L111" i="2"/>
  <c r="E11" i="2"/>
  <c r="F17" i="2"/>
  <c r="K33" i="2"/>
  <c r="J6" i="2"/>
  <c r="G8" i="2"/>
  <c r="K15" i="2"/>
  <c r="E28" i="2"/>
  <c r="E20" i="2"/>
  <c r="T8" i="2"/>
  <c r="D16" i="2"/>
  <c r="C30" i="2"/>
  <c r="J3" i="2"/>
  <c r="E7" i="2"/>
  <c r="I14" i="2"/>
  <c r="G25" i="2"/>
  <c r="V8" i="2"/>
  <c r="U35" i="2"/>
  <c r="C3" i="2"/>
  <c r="G10" i="2"/>
  <c r="K17" i="2"/>
  <c r="G34" i="2"/>
  <c r="E18" i="2"/>
  <c r="L8" i="2"/>
  <c r="P15" i="2"/>
  <c r="S28" i="2"/>
  <c r="M5" i="2"/>
  <c r="K18" i="2"/>
  <c r="G36" i="2"/>
  <c r="N5" i="2"/>
  <c r="R12" i="2"/>
  <c r="E22" i="2"/>
  <c r="Q43" i="2"/>
  <c r="C5" i="2"/>
  <c r="G12" i="2"/>
  <c r="C21" i="2"/>
  <c r="G40" i="2"/>
  <c r="J4" i="2"/>
  <c r="T9" i="2"/>
  <c r="D17" i="2"/>
  <c r="C33" i="2"/>
  <c r="E17" i="2"/>
  <c r="O38" i="2"/>
  <c r="N23" i="2"/>
  <c r="R30" i="2"/>
  <c r="D38" i="2"/>
  <c r="H45" i="2"/>
  <c r="L52" i="2"/>
  <c r="P59" i="2"/>
  <c r="I85" i="2"/>
  <c r="C23" i="2"/>
  <c r="G30" i="2"/>
  <c r="M37" i="2"/>
  <c r="Q44" i="2"/>
  <c r="U51" i="2"/>
  <c r="E59" i="2"/>
  <c r="Q78" i="2"/>
  <c r="L22" i="2"/>
  <c r="P29" i="2"/>
  <c r="V36" i="2"/>
  <c r="F44" i="2"/>
  <c r="J51" i="2"/>
  <c r="N58" i="2"/>
  <c r="Q75" i="2"/>
  <c r="I30" i="2"/>
  <c r="O37" i="2"/>
  <c r="S44" i="2"/>
  <c r="C52" i="2"/>
  <c r="G59" i="2"/>
  <c r="U79" i="2"/>
  <c r="J30" i="2"/>
  <c r="P37" i="2"/>
  <c r="T44" i="2"/>
  <c r="D52" i="2"/>
  <c r="H59" i="2"/>
  <c r="M80" i="2"/>
  <c r="Q55" i="2"/>
  <c r="I65" i="2"/>
  <c r="L18" i="2"/>
  <c r="P25" i="2"/>
  <c r="T32" i="2"/>
  <c r="F40" i="2"/>
  <c r="J47" i="2"/>
  <c r="N54" i="2"/>
  <c r="M62" i="2"/>
  <c r="D144" i="2"/>
  <c r="K47" i="2"/>
  <c r="O54" i="2"/>
  <c r="P62" i="2"/>
  <c r="L149" i="2"/>
  <c r="N24" i="2"/>
  <c r="R31" i="2"/>
  <c r="D39" i="2"/>
  <c r="H46" i="2"/>
  <c r="L53" i="2"/>
  <c r="P60" i="2"/>
  <c r="S98" i="2"/>
  <c r="E48" i="2"/>
  <c r="I55" i="2"/>
  <c r="I64" i="2"/>
  <c r="P18" i="2"/>
  <c r="T25" i="2"/>
  <c r="D33" i="2"/>
  <c r="J40" i="2"/>
  <c r="N47" i="2"/>
  <c r="R54" i="2"/>
  <c r="C63" i="2"/>
  <c r="C41" i="2"/>
  <c r="G48" i="2"/>
  <c r="K55" i="2"/>
  <c r="O64" i="2"/>
  <c r="T61" i="2"/>
  <c r="D69" i="2"/>
  <c r="H76" i="2"/>
  <c r="L83" i="2"/>
  <c r="P90" i="2"/>
  <c r="M99" i="2"/>
  <c r="M111" i="2"/>
  <c r="J61" i="2"/>
  <c r="N68" i="2"/>
  <c r="R75" i="2"/>
  <c r="V82" i="2"/>
  <c r="F90" i="2"/>
  <c r="T98" i="2"/>
  <c r="J110" i="2"/>
  <c r="L155" i="2"/>
  <c r="C68" i="2"/>
  <c r="G75" i="2"/>
  <c r="K82" i="2"/>
  <c r="O89" i="2"/>
  <c r="E98" i="2"/>
  <c r="G109" i="2"/>
  <c r="L150" i="2"/>
  <c r="L73" i="2"/>
  <c r="T81" i="2"/>
  <c r="P92" i="2"/>
  <c r="D108" i="2"/>
  <c r="U63" i="2"/>
  <c r="Q74" i="2"/>
  <c r="M85" i="2"/>
  <c r="L97" i="2"/>
  <c r="E118" i="2"/>
  <c r="V66" i="2"/>
  <c r="R77" i="2"/>
  <c r="N88" i="2"/>
  <c r="Q101" i="2"/>
  <c r="D141" i="2"/>
  <c r="G86" i="2"/>
  <c r="J98" i="2"/>
  <c r="E121" i="2"/>
  <c r="D70" i="2"/>
  <c r="L84" i="2"/>
  <c r="C101" i="2"/>
  <c r="U68" i="2"/>
  <c r="R109" i="2"/>
  <c r="R97" i="2"/>
  <c r="I113" i="2"/>
  <c r="U41" i="2"/>
  <c r="O3" i="2"/>
  <c r="S10" i="2"/>
  <c r="I18" i="2"/>
  <c r="C36" i="2"/>
  <c r="U22" i="2"/>
  <c r="D9" i="2"/>
  <c r="H16" i="2"/>
  <c r="O30" i="2"/>
  <c r="U7" i="2"/>
  <c r="O19" i="2"/>
  <c r="C38" i="2"/>
  <c r="F6" i="2"/>
  <c r="J13" i="2"/>
  <c r="I23" i="2"/>
  <c r="U50" i="2"/>
  <c r="O5" i="2"/>
  <c r="S12" i="2"/>
  <c r="G22" i="2"/>
  <c r="I44" i="2"/>
  <c r="H3" i="2"/>
  <c r="L10" i="2"/>
  <c r="P17" i="2"/>
  <c r="U34" i="2"/>
  <c r="I21" i="2"/>
  <c r="K40" i="2"/>
  <c r="F24" i="2"/>
  <c r="J31" i="2"/>
  <c r="P38" i="2"/>
  <c r="T45" i="2"/>
  <c r="D53" i="2"/>
  <c r="H60" i="2"/>
  <c r="M92" i="2"/>
  <c r="O23" i="2"/>
  <c r="S30" i="2"/>
  <c r="E38" i="2"/>
  <c r="I45" i="2"/>
  <c r="M52" i="2"/>
  <c r="Q59" i="2"/>
  <c r="U85" i="2"/>
  <c r="D23" i="2"/>
  <c r="H30" i="2"/>
  <c r="N37" i="2"/>
  <c r="R44" i="2"/>
  <c r="V51" i="2"/>
  <c r="F59" i="2"/>
  <c r="I79" i="2"/>
  <c r="U30" i="2"/>
  <c r="G38" i="2"/>
  <c r="K45" i="2"/>
  <c r="O52" i="2"/>
  <c r="S59" i="2"/>
  <c r="E87" i="2"/>
  <c r="V30" i="2"/>
  <c r="H38" i="2"/>
  <c r="L45" i="2"/>
  <c r="P52" i="2"/>
  <c r="T59" i="2"/>
  <c r="Q87" i="2"/>
  <c r="I56" i="2"/>
  <c r="Q66" i="2"/>
  <c r="D19" i="2"/>
  <c r="H26" i="2"/>
  <c r="L33" i="2"/>
  <c r="R40" i="2"/>
  <c r="V47" i="2"/>
  <c r="F55" i="2"/>
  <c r="C64" i="2"/>
  <c r="S40" i="2"/>
  <c r="C48" i="2"/>
  <c r="G55" i="2"/>
  <c r="E64" i="2"/>
  <c r="V17" i="2"/>
  <c r="F25" i="2"/>
  <c r="J32" i="2"/>
  <c r="P39" i="2"/>
  <c r="T46" i="2"/>
  <c r="D54" i="2"/>
  <c r="L61" i="2"/>
  <c r="G110" i="2"/>
  <c r="Q48" i="2"/>
  <c r="U55" i="2"/>
  <c r="S65" i="2"/>
  <c r="H19" i="2"/>
  <c r="L26" i="2"/>
  <c r="P33" i="2"/>
  <c r="V40" i="2"/>
  <c r="F48" i="2"/>
  <c r="J55" i="2"/>
  <c r="L64" i="2"/>
  <c r="O41" i="2"/>
  <c r="S48" i="2"/>
  <c r="C56" i="2"/>
  <c r="C66" i="2"/>
  <c r="L62" i="2"/>
  <c r="P69" i="2"/>
  <c r="T76" i="2"/>
  <c r="D84" i="2"/>
  <c r="H91" i="2"/>
  <c r="K100" i="2"/>
  <c r="L113" i="2"/>
  <c r="V61" i="2"/>
  <c r="F69" i="2"/>
  <c r="J76" i="2"/>
  <c r="N83" i="2"/>
  <c r="R90" i="2"/>
  <c r="O99" i="2"/>
  <c r="V111" i="2"/>
  <c r="K61" i="2"/>
  <c r="O68" i="2"/>
  <c r="S75" i="2"/>
  <c r="C83" i="2"/>
  <c r="G90" i="2"/>
  <c r="U98" i="2"/>
  <c r="K110" i="2"/>
  <c r="T155" i="2"/>
  <c r="D74" i="2"/>
  <c r="L82" i="2"/>
  <c r="K93" i="2"/>
  <c r="H109" i="2"/>
  <c r="M64" i="2"/>
  <c r="I75" i="2"/>
  <c r="E86" i="2"/>
  <c r="H98" i="2"/>
  <c r="J120" i="2"/>
  <c r="N67" i="2"/>
  <c r="J78" i="2"/>
  <c r="F89" i="2"/>
  <c r="O102" i="2"/>
  <c r="L146" i="2"/>
  <c r="S86" i="2"/>
  <c r="G99" i="2"/>
  <c r="U125" i="2"/>
  <c r="P70" i="2"/>
  <c r="D85" i="2"/>
  <c r="U101" i="2"/>
  <c r="E73" i="2"/>
  <c r="P147" i="2"/>
  <c r="O107" i="2"/>
  <c r="M120" i="2"/>
  <c r="R5" i="2"/>
  <c r="V18" i="2"/>
  <c r="E37" i="2"/>
  <c r="N10" i="2"/>
  <c r="K9" i="2"/>
  <c r="O16" i="2"/>
  <c r="Q31" i="2"/>
  <c r="V6" i="2"/>
  <c r="D10" i="2"/>
  <c r="H17" i="2"/>
  <c r="O33" i="2"/>
  <c r="N7" i="2"/>
  <c r="I8" i="2"/>
  <c r="M15" i="2"/>
  <c r="I28" i="2"/>
  <c r="N15" i="2"/>
  <c r="M48" i="2"/>
  <c r="G4" i="2"/>
  <c r="K11" i="2"/>
  <c r="M19" i="2"/>
  <c r="S37" i="2"/>
  <c r="Q37" i="2"/>
  <c r="P9" i="2"/>
  <c r="T16" i="2"/>
  <c r="K32" i="2"/>
  <c r="I10" i="2"/>
  <c r="S20" i="2"/>
  <c r="S39" i="2"/>
  <c r="R6" i="2"/>
  <c r="V13" i="2"/>
  <c r="M24" i="2"/>
  <c r="J8" i="2"/>
  <c r="G6" i="2"/>
  <c r="K13" i="2"/>
  <c r="K23" i="2"/>
  <c r="I6" i="2"/>
  <c r="T3" i="2"/>
  <c r="D11" i="2"/>
  <c r="Q18" i="2"/>
  <c r="Q36" i="2"/>
  <c r="M22" i="2"/>
  <c r="M45" i="2"/>
  <c r="R24" i="2"/>
  <c r="V31" i="2"/>
  <c r="H39" i="2"/>
  <c r="L46" i="2"/>
  <c r="P53" i="2"/>
  <c r="T60" i="2"/>
  <c r="H102" i="2"/>
  <c r="G24" i="2"/>
  <c r="K31" i="2"/>
  <c r="Q38" i="2"/>
  <c r="U45" i="2"/>
  <c r="E53" i="2"/>
  <c r="I60" i="2"/>
  <c r="G93" i="2"/>
  <c r="P23" i="2"/>
  <c r="T30" i="2"/>
  <c r="F38" i="2"/>
  <c r="J45" i="2"/>
  <c r="N52" i="2"/>
  <c r="R59" i="2"/>
  <c r="M86" i="2"/>
  <c r="M31" i="2"/>
  <c r="S38" i="2"/>
  <c r="C46" i="2"/>
  <c r="G53" i="2"/>
  <c r="K60" i="2"/>
  <c r="R94" i="2"/>
  <c r="N31" i="2"/>
  <c r="T38" i="2"/>
  <c r="D46" i="2"/>
  <c r="H53" i="2"/>
  <c r="L60" i="2"/>
  <c r="O95" i="2"/>
  <c r="U56" i="2"/>
  <c r="E69" i="2"/>
  <c r="P19" i="2"/>
  <c r="T26" i="2"/>
  <c r="F34" i="2"/>
  <c r="J41" i="2"/>
  <c r="N48" i="2"/>
  <c r="R55" i="2"/>
  <c r="K65" i="2"/>
  <c r="K41" i="2"/>
  <c r="O48" i="2"/>
  <c r="S55" i="2"/>
  <c r="M65" i="2"/>
  <c r="N18" i="2"/>
  <c r="R25" i="2"/>
  <c r="V32" i="2"/>
  <c r="H40" i="2"/>
  <c r="L47" i="2"/>
  <c r="P54" i="2"/>
  <c r="S62" i="2"/>
  <c r="T154" i="2"/>
  <c r="I49" i="2"/>
  <c r="M56" i="2"/>
  <c r="O67" i="2"/>
  <c r="T19" i="2"/>
  <c r="D27" i="2"/>
  <c r="J34" i="2"/>
  <c r="N41" i="2"/>
  <c r="R48" i="2"/>
  <c r="V55" i="2"/>
  <c r="U65" i="2"/>
  <c r="G42" i="2"/>
  <c r="K49" i="2"/>
  <c r="O56" i="2"/>
  <c r="U67" i="2"/>
  <c r="D63" i="2"/>
  <c r="H70" i="2"/>
  <c r="L77" i="2"/>
  <c r="P84" i="2"/>
  <c r="T91" i="2"/>
  <c r="I101" i="2"/>
  <c r="M115" i="2"/>
  <c r="N62" i="2"/>
  <c r="R69" i="2"/>
  <c r="V76" i="2"/>
  <c r="F84" i="2"/>
  <c r="J91" i="2"/>
  <c r="M100" i="2"/>
  <c r="T113" i="2"/>
  <c r="C62" i="2"/>
  <c r="G69" i="2"/>
  <c r="K76" i="2"/>
  <c r="O83" i="2"/>
  <c r="S90" i="2"/>
  <c r="P99" i="2"/>
  <c r="D112" i="2"/>
  <c r="T66" i="2"/>
  <c r="P74" i="2"/>
  <c r="H84" i="2"/>
  <c r="S95" i="2"/>
  <c r="D114" i="2"/>
  <c r="I66" i="2"/>
  <c r="E77" i="2"/>
  <c r="U87" i="2"/>
  <c r="R100" i="2"/>
  <c r="D135" i="2"/>
  <c r="J69" i="2"/>
  <c r="F80" i="2"/>
  <c r="V90" i="2"/>
  <c r="I105" i="2"/>
  <c r="S77" i="2"/>
  <c r="O88" i="2"/>
  <c r="T101" i="2"/>
  <c r="L141" i="2"/>
  <c r="H71" i="2"/>
  <c r="P85" i="2"/>
  <c r="S102" i="2"/>
  <c r="U74" i="2"/>
  <c r="D153" i="2"/>
  <c r="O108" i="2"/>
  <c r="H121" i="2"/>
  <c r="U10" i="2"/>
  <c r="C22" i="2"/>
  <c r="E43" i="2"/>
  <c r="J7" i="2"/>
  <c r="N14" i="2"/>
  <c r="Q25" i="2"/>
  <c r="R16" i="2"/>
  <c r="S6" i="2"/>
  <c r="C14" i="2"/>
  <c r="O24" i="2"/>
  <c r="J5" i="2"/>
  <c r="L4" i="2"/>
  <c r="P11" i="2"/>
  <c r="U19" i="2"/>
  <c r="M38" i="2"/>
  <c r="Q23" i="2"/>
  <c r="F18" i="2"/>
  <c r="J25" i="2"/>
  <c r="N32" i="2"/>
  <c r="T39" i="2"/>
  <c r="D47" i="2"/>
  <c r="H54" i="2"/>
  <c r="S61" i="2"/>
  <c r="M117" i="2"/>
  <c r="S24" i="2"/>
  <c r="C32" i="2"/>
  <c r="I39" i="2"/>
  <c r="M46" i="2"/>
  <c r="Q53" i="2"/>
  <c r="U60" i="2"/>
  <c r="F103" i="2"/>
  <c r="H24" i="2"/>
  <c r="L31" i="2"/>
  <c r="R38" i="2"/>
  <c r="V45" i="2"/>
  <c r="F53" i="2"/>
  <c r="J60" i="2"/>
  <c r="C94" i="2"/>
  <c r="E32" i="2"/>
  <c r="K39" i="2"/>
  <c r="O46" i="2"/>
  <c r="S53" i="2"/>
  <c r="C61" i="2"/>
  <c r="V104" i="2"/>
  <c r="F32" i="2"/>
  <c r="L39" i="2"/>
  <c r="P46" i="2"/>
  <c r="T53" i="2"/>
  <c r="D61" i="2"/>
  <c r="T105" i="2"/>
  <c r="M57" i="2"/>
  <c r="M71" i="2"/>
  <c r="H20" i="2"/>
  <c r="L27" i="2"/>
  <c r="R34" i="2"/>
  <c r="V41" i="2"/>
  <c r="F49" i="2"/>
  <c r="J56" i="2"/>
  <c r="C67" i="2"/>
  <c r="C42" i="2"/>
  <c r="G49" i="2"/>
  <c r="K56" i="2"/>
  <c r="G67" i="2"/>
  <c r="F19" i="2"/>
  <c r="J26" i="2"/>
  <c r="N33" i="2"/>
  <c r="T40" i="2"/>
  <c r="D48" i="2"/>
  <c r="H55" i="2"/>
  <c r="G64" i="2"/>
  <c r="Q42" i="2"/>
  <c r="U49" i="2"/>
  <c r="E57" i="2"/>
  <c r="C70" i="2"/>
  <c r="L20" i="2"/>
  <c r="P27" i="2"/>
  <c r="V34" i="2"/>
  <c r="F42" i="2"/>
  <c r="J49" i="2"/>
  <c r="N56" i="2"/>
  <c r="S67" i="2"/>
  <c r="S42" i="2"/>
  <c r="C50" i="2"/>
  <c r="G57" i="2"/>
  <c r="I70" i="2"/>
  <c r="P63" i="2"/>
  <c r="T70" i="2"/>
  <c r="D78" i="2"/>
  <c r="H85" i="2"/>
  <c r="L92" i="2"/>
  <c r="G102" i="2"/>
  <c r="J117" i="2"/>
  <c r="F63" i="2"/>
  <c r="J70" i="2"/>
  <c r="N77" i="2"/>
  <c r="R84" i="2"/>
  <c r="V91" i="2"/>
  <c r="K101" i="2"/>
  <c r="Q115" i="2"/>
  <c r="O62" i="2"/>
  <c r="S69" i="2"/>
  <c r="C77" i="2"/>
  <c r="G84" i="2"/>
  <c r="K91" i="2"/>
  <c r="P100" i="2"/>
  <c r="U113" i="2"/>
  <c r="L67" i="2"/>
  <c r="H75" i="2"/>
  <c r="T84" i="2"/>
  <c r="N96" i="2"/>
  <c r="E116" i="2"/>
  <c r="U66" i="2"/>
  <c r="Q77" i="2"/>
  <c r="M88" i="2"/>
  <c r="P101" i="2"/>
  <c r="L140" i="2"/>
  <c r="V69" i="2"/>
  <c r="R80" i="2"/>
  <c r="N91" i="2"/>
  <c r="G106" i="2"/>
  <c r="K78" i="2"/>
  <c r="G89" i="2"/>
  <c r="P102" i="2"/>
  <c r="T146" i="2"/>
  <c r="T71" i="2"/>
  <c r="H86" i="2"/>
  <c r="Q103" i="2"/>
  <c r="M75" i="2"/>
  <c r="F67" i="2"/>
  <c r="T142" i="2"/>
  <c r="E130" i="2"/>
  <c r="K27" i="2"/>
  <c r="Q3" i="2"/>
  <c r="K7" i="2"/>
  <c r="O14" i="2"/>
  <c r="S25" i="2"/>
  <c r="N9" i="2"/>
  <c r="D5" i="2"/>
  <c r="H12" i="2"/>
  <c r="E21" i="2"/>
  <c r="I40" i="2"/>
  <c r="U24" i="2"/>
  <c r="R18" i="2"/>
  <c r="V25" i="2"/>
  <c r="F33" i="2"/>
  <c r="L40" i="2"/>
  <c r="P47" i="2"/>
  <c r="T54" i="2"/>
  <c r="H63" i="2"/>
  <c r="G18" i="2"/>
  <c r="K25" i="2"/>
  <c r="O32" i="2"/>
  <c r="U39" i="2"/>
  <c r="E47" i="2"/>
  <c r="I54" i="2"/>
  <c r="U61" i="2"/>
  <c r="K119" i="2"/>
  <c r="T24" i="2"/>
  <c r="D32" i="2"/>
  <c r="J39" i="2"/>
  <c r="N46" i="2"/>
  <c r="R53" i="2"/>
  <c r="V60" i="2"/>
  <c r="D104" i="2"/>
  <c r="Q32" i="2"/>
  <c r="C40" i="2"/>
  <c r="G47" i="2"/>
  <c r="K54" i="2"/>
  <c r="G62" i="2"/>
  <c r="I128" i="2"/>
  <c r="R32" i="2"/>
  <c r="D40" i="2"/>
  <c r="H47" i="2"/>
  <c r="L54" i="2"/>
  <c r="I62" i="2"/>
  <c r="H133" i="2"/>
  <c r="E58" i="2"/>
  <c r="U73" i="2"/>
  <c r="T20" i="2"/>
  <c r="D28" i="2"/>
  <c r="J35" i="2"/>
  <c r="N42" i="2"/>
  <c r="R49" i="2"/>
  <c r="V56" i="2"/>
  <c r="K69" i="2"/>
  <c r="O42" i="2"/>
  <c r="S49" i="2"/>
  <c r="C57" i="2"/>
  <c r="O69" i="2"/>
  <c r="R19" i="2"/>
  <c r="V26" i="2"/>
  <c r="H34" i="2"/>
  <c r="L41" i="2"/>
  <c r="P48" i="2"/>
  <c r="T55" i="2"/>
  <c r="P65" i="2"/>
  <c r="I43" i="2"/>
  <c r="M50" i="2"/>
  <c r="Q57" i="2"/>
  <c r="K72" i="2"/>
  <c r="D21" i="2"/>
  <c r="H28" i="2"/>
  <c r="N35" i="2"/>
  <c r="R42" i="2"/>
  <c r="V49" i="2"/>
  <c r="F57" i="2"/>
  <c r="G70" i="2"/>
  <c r="K43" i="2"/>
  <c r="O50" i="2"/>
  <c r="S57" i="2"/>
  <c r="Q72" i="2"/>
  <c r="H64" i="2"/>
  <c r="L71" i="2"/>
  <c r="P78" i="2"/>
  <c r="T85" i="2"/>
  <c r="D93" i="2"/>
  <c r="E103" i="2"/>
  <c r="H119" i="2"/>
  <c r="R63" i="2"/>
  <c r="V70" i="2"/>
  <c r="F78" i="2"/>
  <c r="J85" i="2"/>
  <c r="N92" i="2"/>
  <c r="I102" i="2"/>
  <c r="O117" i="2"/>
  <c r="G63" i="2"/>
  <c r="K70" i="2"/>
  <c r="O77" i="2"/>
  <c r="S84" i="2"/>
  <c r="C92" i="2"/>
  <c r="L101" i="2"/>
  <c r="T115" i="2"/>
  <c r="D68" i="2"/>
  <c r="T75" i="2"/>
  <c r="L85" i="2"/>
  <c r="K97" i="2"/>
  <c r="V117" i="2"/>
  <c r="M67" i="2"/>
  <c r="I78" i="2"/>
  <c r="E89" i="2"/>
  <c r="N102" i="2"/>
  <c r="T145" i="2"/>
  <c r="N70" i="2"/>
  <c r="J81" i="2"/>
  <c r="F92" i="2"/>
  <c r="H107" i="2"/>
  <c r="C79" i="2"/>
  <c r="S89" i="2"/>
  <c r="P103" i="2"/>
  <c r="H152" i="2"/>
  <c r="T74" i="2"/>
  <c r="H89" i="2"/>
  <c r="M108" i="2"/>
  <c r="E76" i="2"/>
  <c r="R67" i="2"/>
  <c r="H148" i="2"/>
  <c r="T130" i="2"/>
  <c r="R15" i="2"/>
  <c r="G29" i="2"/>
  <c r="E6" i="2"/>
  <c r="C8" i="2"/>
  <c r="G15" i="2"/>
  <c r="M27" i="2"/>
  <c r="J14" i="2"/>
  <c r="P5" i="2"/>
  <c r="T12" i="2"/>
  <c r="I22" i="2"/>
  <c r="U44" i="2"/>
  <c r="E26" i="2"/>
  <c r="J19" i="2"/>
  <c r="N26" i="2"/>
  <c r="R33" i="2"/>
  <c r="D41" i="2"/>
  <c r="H48" i="2"/>
  <c r="L55" i="2"/>
  <c r="Q64" i="2"/>
  <c r="S18" i="2"/>
  <c r="C26" i="2"/>
  <c r="G33" i="2"/>
  <c r="M40" i="2"/>
  <c r="Q47" i="2"/>
  <c r="U54" i="2"/>
  <c r="K63" i="2"/>
  <c r="H18" i="2"/>
  <c r="L25" i="2"/>
  <c r="P32" i="2"/>
  <c r="V39" i="2"/>
  <c r="F47" i="2"/>
  <c r="J54" i="2"/>
  <c r="D62" i="2"/>
  <c r="M123" i="2"/>
  <c r="I33" i="2"/>
  <c r="O40" i="2"/>
  <c r="S47" i="2"/>
  <c r="C55" i="2"/>
  <c r="O63" i="2"/>
  <c r="F26" i="2"/>
  <c r="J33" i="2"/>
  <c r="P40" i="2"/>
  <c r="T47" i="2"/>
  <c r="D55" i="2"/>
  <c r="Q63" i="2"/>
  <c r="M51" i="2"/>
  <c r="Q58" i="2"/>
  <c r="I76" i="2"/>
  <c r="L21" i="2"/>
  <c r="P28" i="2"/>
  <c r="V35" i="2"/>
  <c r="F43" i="2"/>
  <c r="J50" i="2"/>
  <c r="N57" i="2"/>
  <c r="S71" i="2"/>
  <c r="G43" i="2"/>
  <c r="K50" i="2"/>
  <c r="O57" i="2"/>
  <c r="C72" i="2"/>
  <c r="J20" i="2"/>
  <c r="N27" i="2"/>
  <c r="T34" i="2"/>
  <c r="D42" i="2"/>
  <c r="H49" i="2"/>
  <c r="L56" i="2"/>
  <c r="I67" i="2"/>
  <c r="U43" i="2"/>
  <c r="E51" i="2"/>
  <c r="I58" i="2"/>
  <c r="S74" i="2"/>
  <c r="P21" i="2"/>
  <c r="T28" i="2"/>
  <c r="F36" i="2"/>
  <c r="J43" i="2"/>
  <c r="N50" i="2"/>
  <c r="R57" i="2"/>
  <c r="O72" i="2"/>
  <c r="C44" i="2"/>
  <c r="G51" i="2"/>
  <c r="K58" i="2"/>
  <c r="E75" i="2"/>
  <c r="T64" i="2"/>
  <c r="D72" i="2"/>
  <c r="H79" i="2"/>
  <c r="L86" i="2"/>
  <c r="U93" i="2"/>
  <c r="C104" i="2"/>
  <c r="I123" i="2"/>
  <c r="J64" i="2"/>
  <c r="N71" i="2"/>
  <c r="R78" i="2"/>
  <c r="V85" i="2"/>
  <c r="H93" i="2"/>
  <c r="G103" i="2"/>
  <c r="L119" i="2"/>
  <c r="S63" i="2"/>
  <c r="C71" i="2"/>
  <c r="G78" i="2"/>
  <c r="K85" i="2"/>
  <c r="O92" i="2"/>
  <c r="L102" i="2"/>
  <c r="U117" i="2"/>
  <c r="P68" i="2"/>
  <c r="D77" i="2"/>
  <c r="D86" i="2"/>
  <c r="G98" i="2"/>
  <c r="C120" i="2"/>
  <c r="E68" i="2"/>
  <c r="U78" i="2"/>
  <c r="Q89" i="2"/>
  <c r="L103" i="2"/>
  <c r="H151" i="2"/>
  <c r="F71" i="2"/>
  <c r="V81" i="2"/>
  <c r="R92" i="2"/>
  <c r="I108" i="2"/>
  <c r="O79" i="2"/>
  <c r="K90" i="2"/>
  <c r="L104" i="2"/>
  <c r="P157" i="2"/>
  <c r="L75" i="2"/>
  <c r="T89" i="2"/>
  <c r="Q109" i="2"/>
  <c r="E82" i="2"/>
  <c r="J74" i="2"/>
  <c r="K83" i="2"/>
  <c r="S140" i="2"/>
  <c r="G20" i="2"/>
  <c r="C39" i="2"/>
  <c r="H5" i="2"/>
  <c r="L12" i="2"/>
  <c r="M21" i="2"/>
  <c r="I41" i="2"/>
  <c r="M3" i="2"/>
  <c r="Q10" i="2"/>
  <c r="C18" i="2"/>
  <c r="O35" i="2"/>
  <c r="I25" i="2"/>
  <c r="F10" i="2"/>
  <c r="O6" i="2"/>
  <c r="S13" i="2"/>
  <c r="I24" i="2"/>
  <c r="M7" i="2"/>
  <c r="T4" i="2"/>
  <c r="D12" i="2"/>
  <c r="R20" i="2"/>
  <c r="Q39" i="2"/>
  <c r="M14" i="2"/>
  <c r="O25" i="2"/>
  <c r="F16" i="2"/>
  <c r="F9" i="2"/>
  <c r="J16" i="2"/>
  <c r="C31" i="2"/>
  <c r="M8" i="2"/>
  <c r="O8" i="2"/>
  <c r="S15" i="2"/>
  <c r="I29" i="2"/>
  <c r="E3" i="2"/>
  <c r="H6" i="2"/>
  <c r="L13" i="2"/>
  <c r="M23" i="2"/>
  <c r="U3" i="2"/>
  <c r="Q27" i="2"/>
  <c r="V19" i="2"/>
  <c r="F27" i="2"/>
  <c r="L34" i="2"/>
  <c r="P41" i="2"/>
  <c r="T48" i="2"/>
  <c r="D56" i="2"/>
  <c r="E66" i="2"/>
  <c r="K19" i="2"/>
  <c r="O26" i="2"/>
  <c r="S33" i="2"/>
  <c r="E41" i="2"/>
  <c r="I48" i="2"/>
  <c r="M55" i="2"/>
  <c r="S64" i="2"/>
  <c r="T18" i="2"/>
  <c r="D26" i="2"/>
  <c r="H33" i="2"/>
  <c r="N40" i="2"/>
  <c r="R47" i="2"/>
  <c r="V54" i="2"/>
  <c r="M63" i="2"/>
  <c r="Q26" i="2"/>
  <c r="U33" i="2"/>
  <c r="G41" i="2"/>
  <c r="K48" i="2"/>
  <c r="O55" i="2"/>
  <c r="D65" i="2"/>
  <c r="R26" i="2"/>
  <c r="V33" i="2"/>
  <c r="H41" i="2"/>
  <c r="L48" i="2"/>
  <c r="P55" i="2"/>
  <c r="G65" i="2"/>
  <c r="E52" i="2"/>
  <c r="I59" i="2"/>
  <c r="E81" i="2"/>
  <c r="D22" i="2"/>
  <c r="H29" i="2"/>
  <c r="N36" i="2"/>
  <c r="R43" i="2"/>
  <c r="V50" i="2"/>
  <c r="F58" i="2"/>
  <c r="G74" i="2"/>
  <c r="S43" i="2"/>
  <c r="C51" i="2"/>
  <c r="G58" i="2"/>
  <c r="K74" i="2"/>
  <c r="V20" i="2"/>
  <c r="F28" i="2"/>
  <c r="L35" i="2"/>
  <c r="P42" i="2"/>
  <c r="T49" i="2"/>
  <c r="D57" i="2"/>
  <c r="Q69" i="2"/>
  <c r="M44" i="2"/>
  <c r="Q51" i="2"/>
  <c r="U58" i="2"/>
  <c r="G77" i="2"/>
  <c r="H22" i="2"/>
  <c r="L29" i="2"/>
  <c r="R36" i="2"/>
  <c r="V43" i="2"/>
  <c r="F51" i="2"/>
  <c r="J58" i="2"/>
  <c r="C75" i="2"/>
  <c r="O44" i="2"/>
  <c r="S51" i="2"/>
  <c r="C59" i="2"/>
  <c r="M77" i="2"/>
  <c r="L65" i="2"/>
  <c r="P72" i="2"/>
  <c r="T79" i="2"/>
  <c r="D87" i="2"/>
  <c r="Q94" i="2"/>
  <c r="U104" i="2"/>
  <c r="E128" i="2"/>
  <c r="V64" i="2"/>
  <c r="F72" i="2"/>
  <c r="J79" i="2"/>
  <c r="N86" i="2"/>
  <c r="D94" i="2"/>
  <c r="E104" i="2"/>
  <c r="D124" i="2"/>
  <c r="K64" i="2"/>
  <c r="O71" i="2"/>
  <c r="S78" i="2"/>
  <c r="C86" i="2"/>
  <c r="I93" i="2"/>
  <c r="H103" i="2"/>
  <c r="R119" i="2"/>
  <c r="H69" i="2"/>
  <c r="P77" i="2"/>
  <c r="T87" i="2"/>
  <c r="Q100" i="2"/>
  <c r="T134" i="2"/>
  <c r="U69" i="2"/>
  <c r="Q80" i="2"/>
  <c r="M91" i="2"/>
  <c r="F106" i="2"/>
  <c r="F62" i="2"/>
  <c r="V72" i="2"/>
  <c r="R83" i="2"/>
  <c r="E95" i="2"/>
  <c r="N112" i="2"/>
  <c r="K81" i="2"/>
  <c r="G92" i="2"/>
  <c r="I107" i="2"/>
  <c r="T62" i="2"/>
  <c r="H77" i="2"/>
  <c r="P91" i="2"/>
  <c r="P114" i="2"/>
  <c r="Q82" i="2"/>
  <c r="V74" i="2"/>
  <c r="C84" i="2"/>
  <c r="O141" i="2"/>
  <c r="T72" i="2"/>
  <c r="D80" i="2"/>
  <c r="H87" i="2"/>
  <c r="C95" i="2"/>
  <c r="G105" i="2"/>
  <c r="O129" i="2"/>
  <c r="Q65" i="2"/>
  <c r="U72" i="2"/>
  <c r="E80" i="2"/>
  <c r="I87" i="2"/>
  <c r="D95" i="2"/>
  <c r="H105" i="2"/>
  <c r="V129" i="2"/>
  <c r="F65" i="2"/>
  <c r="J72" i="2"/>
  <c r="N79" i="2"/>
  <c r="R86" i="2"/>
  <c r="H94" i="2"/>
  <c r="K104" i="2"/>
  <c r="Q125" i="2"/>
  <c r="S80" i="2"/>
  <c r="C88" i="2"/>
  <c r="V95" i="2"/>
  <c r="H106" i="2"/>
  <c r="D136" i="2"/>
  <c r="T65" i="2"/>
  <c r="D73" i="2"/>
  <c r="H80" i="2"/>
  <c r="L87" i="2"/>
  <c r="H95" i="2"/>
  <c r="M105" i="2"/>
  <c r="H131" i="2"/>
  <c r="Q70" i="2"/>
  <c r="U77" i="2"/>
  <c r="E85" i="2"/>
  <c r="I92" i="2"/>
  <c r="V101" i="2"/>
  <c r="T116" i="2"/>
  <c r="V62" i="2"/>
  <c r="F70" i="2"/>
  <c r="J77" i="2"/>
  <c r="N84" i="2"/>
  <c r="R91" i="2"/>
  <c r="E101" i="2"/>
  <c r="E115" i="2"/>
  <c r="G79" i="2"/>
  <c r="K86" i="2"/>
  <c r="T93" i="2"/>
  <c r="T103" i="2"/>
  <c r="R122" i="2"/>
  <c r="N124" i="2"/>
  <c r="K134" i="2"/>
  <c r="G145" i="2"/>
  <c r="C156" i="2"/>
  <c r="M98" i="2"/>
  <c r="Q105" i="2"/>
  <c r="G114" i="2"/>
  <c r="S123" i="2"/>
  <c r="P133" i="2"/>
  <c r="L144" i="2"/>
  <c r="H155" i="2"/>
  <c r="V97" i="2"/>
  <c r="F105" i="2"/>
  <c r="K113" i="2"/>
  <c r="C123" i="2"/>
  <c r="U132" i="2"/>
  <c r="Q143" i="2"/>
  <c r="M154" i="2"/>
  <c r="L125" i="2"/>
  <c r="N135" i="2"/>
  <c r="J146" i="2"/>
  <c r="F157" i="2"/>
  <c r="G119" i="2"/>
  <c r="S128" i="2"/>
  <c r="G139" i="2"/>
  <c r="C150" i="2"/>
  <c r="N94" i="2"/>
  <c r="R101" i="2"/>
  <c r="E109" i="2"/>
  <c r="N118" i="2"/>
  <c r="F128" i="2"/>
  <c r="M138" i="2"/>
  <c r="I149" i="2"/>
  <c r="O100" i="2"/>
  <c r="S107" i="2"/>
  <c r="V116" i="2"/>
  <c r="N126" i="2"/>
  <c r="R136" i="2"/>
  <c r="N147" i="2"/>
  <c r="J158" i="2"/>
  <c r="C129" i="2"/>
  <c r="O139" i="2"/>
  <c r="K150" i="2"/>
  <c r="G113" i="2"/>
  <c r="S122" i="2"/>
  <c r="M132" i="2"/>
  <c r="I143" i="2"/>
  <c r="E154" i="2"/>
  <c r="O111" i="2"/>
  <c r="G121" i="2"/>
  <c r="S130" i="2"/>
  <c r="N141" i="2"/>
  <c r="J152" i="2"/>
  <c r="M110" i="2"/>
  <c r="Q117" i="2"/>
  <c r="U124" i="2"/>
  <c r="E132" i="2"/>
  <c r="I139" i="2"/>
  <c r="M146" i="2"/>
  <c r="Q153" i="2"/>
  <c r="N110" i="2"/>
  <c r="R117" i="2"/>
  <c r="V124" i="2"/>
  <c r="F132" i="2"/>
  <c r="J139" i="2"/>
  <c r="N146" i="2"/>
  <c r="R153" i="2"/>
  <c r="K133" i="2"/>
  <c r="O140" i="2"/>
  <c r="S147" i="2"/>
  <c r="C155" i="2"/>
  <c r="P113" i="2"/>
  <c r="T120" i="2"/>
  <c r="D128" i="2"/>
  <c r="H135" i="2"/>
  <c r="L142" i="2"/>
  <c r="P149" i="2"/>
  <c r="T156" i="2"/>
  <c r="L66" i="2"/>
  <c r="P73" i="2"/>
  <c r="T80" i="2"/>
  <c r="D88" i="2"/>
  <c r="C96" i="2"/>
  <c r="K106" i="2"/>
  <c r="P136" i="2"/>
  <c r="I71" i="2"/>
  <c r="M78" i="2"/>
  <c r="Q85" i="2"/>
  <c r="U92" i="2"/>
  <c r="T102" i="2"/>
  <c r="Q118" i="2"/>
  <c r="N63" i="2"/>
  <c r="R70" i="2"/>
  <c r="V77" i="2"/>
  <c r="F85" i="2"/>
  <c r="J92" i="2"/>
  <c r="C102" i="2"/>
  <c r="C117" i="2"/>
  <c r="S79" i="2"/>
  <c r="C87" i="2"/>
  <c r="P94" i="2"/>
  <c r="T104" i="2"/>
  <c r="N127" i="2"/>
  <c r="I125" i="2"/>
  <c r="K135" i="2"/>
  <c r="G146" i="2"/>
  <c r="C157" i="2"/>
  <c r="E99" i="2"/>
  <c r="I106" i="2"/>
  <c r="C115" i="2"/>
  <c r="O124" i="2"/>
  <c r="L134" i="2"/>
  <c r="H145" i="2"/>
  <c r="D156" i="2"/>
  <c r="N98" i="2"/>
  <c r="R105" i="2"/>
  <c r="I114" i="2"/>
  <c r="U123" i="2"/>
  <c r="Q133" i="2"/>
  <c r="M144" i="2"/>
  <c r="I155" i="2"/>
  <c r="J126" i="2"/>
  <c r="N136" i="2"/>
  <c r="J147" i="2"/>
  <c r="F158" i="2"/>
  <c r="V119" i="2"/>
  <c r="N129" i="2"/>
  <c r="G140" i="2"/>
  <c r="C151" i="2"/>
  <c r="F95" i="2"/>
  <c r="J102" i="2"/>
  <c r="S109" i="2"/>
  <c r="I119" i="2"/>
  <c r="U128" i="2"/>
  <c r="M139" i="2"/>
  <c r="I150" i="2"/>
  <c r="G101" i="2"/>
  <c r="L108" i="2"/>
  <c r="S117" i="2"/>
  <c r="K127" i="2"/>
  <c r="R137" i="2"/>
  <c r="N148" i="2"/>
  <c r="I120" i="2"/>
  <c r="U129" i="2"/>
  <c r="K140" i="2"/>
  <c r="G151" i="2"/>
  <c r="V113" i="2"/>
  <c r="N123" i="2"/>
  <c r="M133" i="2"/>
  <c r="I144" i="2"/>
  <c r="E155" i="2"/>
  <c r="M112" i="2"/>
  <c r="E122" i="2"/>
  <c r="R131" i="2"/>
  <c r="N142" i="2"/>
  <c r="J153" i="2"/>
  <c r="E111" i="2"/>
  <c r="I118" i="2"/>
  <c r="M125" i="2"/>
  <c r="Q132" i="2"/>
  <c r="U139" i="2"/>
  <c r="E147" i="2"/>
  <c r="I154" i="2"/>
  <c r="F111" i="2"/>
  <c r="J118" i="2"/>
  <c r="N125" i="2"/>
  <c r="R132" i="2"/>
  <c r="V139" i="2"/>
  <c r="F147" i="2"/>
  <c r="J154" i="2"/>
  <c r="C134" i="2"/>
  <c r="G141" i="2"/>
  <c r="K148" i="2"/>
  <c r="O155" i="2"/>
  <c r="H114" i="2"/>
  <c r="L121" i="2"/>
  <c r="P128" i="2"/>
  <c r="T135" i="2"/>
  <c r="D143" i="2"/>
  <c r="H150" i="2"/>
  <c r="L157" i="2"/>
  <c r="D67" i="2"/>
  <c r="H74" i="2"/>
  <c r="L81" i="2"/>
  <c r="P88" i="2"/>
  <c r="T96" i="2"/>
  <c r="J107" i="2"/>
  <c r="D142" i="2"/>
  <c r="U71" i="2"/>
  <c r="E79" i="2"/>
  <c r="I86" i="2"/>
  <c r="P93" i="2"/>
  <c r="R103" i="2"/>
  <c r="T121" i="2"/>
  <c r="F64" i="2"/>
  <c r="J71" i="2"/>
  <c r="N78" i="2"/>
  <c r="R85" i="2"/>
  <c r="V92" i="2"/>
  <c r="U102" i="2"/>
  <c r="T118" i="2"/>
  <c r="K80" i="2"/>
  <c r="O87" i="2"/>
  <c r="K95" i="2"/>
  <c r="P105" i="2"/>
  <c r="L132" i="2"/>
  <c r="D126" i="2"/>
  <c r="G136" i="2"/>
  <c r="C147" i="2"/>
  <c r="S157" i="2"/>
  <c r="Q99" i="2"/>
  <c r="U106" i="2"/>
  <c r="R115" i="2"/>
  <c r="J125" i="2"/>
  <c r="L135" i="2"/>
  <c r="H146" i="2"/>
  <c r="D157" i="2"/>
  <c r="F99" i="2"/>
  <c r="J106" i="2"/>
  <c r="D115" i="2"/>
  <c r="P124" i="2"/>
  <c r="Q134" i="2"/>
  <c r="M145" i="2"/>
  <c r="I156" i="2"/>
  <c r="E127" i="2"/>
  <c r="J137" i="2"/>
  <c r="F148" i="2"/>
  <c r="G111" i="2"/>
  <c r="S120" i="2"/>
  <c r="K130" i="2"/>
  <c r="C141" i="2"/>
  <c r="S151" i="2"/>
  <c r="R95" i="2"/>
  <c r="V102" i="2"/>
  <c r="O110" i="2"/>
  <c r="D120" i="2"/>
  <c r="P129" i="2"/>
  <c r="I140" i="2"/>
  <c r="E151" i="2"/>
  <c r="S101" i="2"/>
  <c r="F109" i="2"/>
  <c r="O118" i="2"/>
  <c r="G128" i="2"/>
  <c r="N138" i="2"/>
  <c r="J149" i="2"/>
  <c r="D121" i="2"/>
  <c r="P130" i="2"/>
  <c r="K141" i="2"/>
  <c r="G152" i="2"/>
  <c r="S114" i="2"/>
  <c r="K124" i="2"/>
  <c r="I134" i="2"/>
  <c r="E145" i="2"/>
  <c r="U155" i="2"/>
  <c r="H113" i="2"/>
  <c r="T122" i="2"/>
  <c r="N132" i="2"/>
  <c r="J143" i="2"/>
  <c r="F154" i="2"/>
  <c r="Q111" i="2"/>
  <c r="U118" i="2"/>
  <c r="E126" i="2"/>
  <c r="I133" i="2"/>
  <c r="M140" i="2"/>
  <c r="Q147" i="2"/>
  <c r="U154" i="2"/>
  <c r="R111" i="2"/>
  <c r="V118" i="2"/>
  <c r="F126" i="2"/>
  <c r="J133" i="2"/>
  <c r="N140" i="2"/>
  <c r="R147" i="2"/>
  <c r="V154" i="2"/>
  <c r="O134" i="2"/>
  <c r="S141" i="2"/>
  <c r="C149" i="2"/>
  <c r="G156" i="2"/>
  <c r="T114" i="2"/>
  <c r="D122" i="2"/>
  <c r="H129" i="2"/>
  <c r="L136" i="2"/>
  <c r="P143" i="2"/>
  <c r="T150" i="2"/>
  <c r="D158" i="2"/>
  <c r="L147" i="2"/>
  <c r="M72" i="2"/>
  <c r="Q79" i="2"/>
  <c r="U86" i="2"/>
  <c r="M94" i="2"/>
  <c r="P104" i="2"/>
  <c r="P126" i="2"/>
  <c r="R64" i="2"/>
  <c r="V71" i="2"/>
  <c r="F79" i="2"/>
  <c r="J86" i="2"/>
  <c r="S93" i="2"/>
  <c r="S103" i="2"/>
  <c r="K122" i="2"/>
  <c r="C81" i="2"/>
  <c r="G88" i="2"/>
  <c r="H96" i="2"/>
  <c r="P106" i="2"/>
  <c r="T137" i="2"/>
  <c r="V126" i="2"/>
  <c r="G137" i="2"/>
  <c r="C148" i="2"/>
  <c r="E93" i="2"/>
  <c r="I100" i="2"/>
  <c r="M107" i="2"/>
  <c r="O116" i="2"/>
  <c r="G126" i="2"/>
  <c r="H136" i="2"/>
  <c r="D147" i="2"/>
  <c r="T157" i="2"/>
  <c r="R99" i="2"/>
  <c r="V106" i="2"/>
  <c r="S115" i="2"/>
  <c r="K125" i="2"/>
  <c r="M135" i="2"/>
  <c r="I146" i="2"/>
  <c r="E157" i="2"/>
  <c r="T127" i="2"/>
  <c r="J138" i="2"/>
  <c r="F149" i="2"/>
  <c r="C112" i="2"/>
  <c r="O121" i="2"/>
  <c r="G131" i="2"/>
  <c r="C142" i="2"/>
  <c r="S152" i="2"/>
  <c r="J96" i="2"/>
  <c r="N103" i="2"/>
  <c r="J111" i="2"/>
  <c r="V120" i="2"/>
  <c r="N130" i="2"/>
  <c r="I141" i="2"/>
  <c r="E152" i="2"/>
  <c r="K102" i="2"/>
  <c r="T109" i="2"/>
  <c r="J119" i="2"/>
  <c r="V128" i="2"/>
  <c r="N139" i="2"/>
  <c r="J150" i="2"/>
  <c r="S121" i="2"/>
  <c r="K131" i="2"/>
  <c r="G142" i="2"/>
  <c r="C153" i="2"/>
  <c r="O115" i="2"/>
  <c r="G125" i="2"/>
  <c r="I135" i="2"/>
  <c r="E146" i="2"/>
  <c r="U156" i="2"/>
  <c r="C114" i="2"/>
  <c r="O123" i="2"/>
  <c r="N133" i="2"/>
  <c r="J144" i="2"/>
  <c r="F155" i="2"/>
  <c r="I112" i="2"/>
  <c r="M119" i="2"/>
  <c r="Q126" i="2"/>
  <c r="U133" i="2"/>
  <c r="E141" i="2"/>
  <c r="I148" i="2"/>
  <c r="M155" i="2"/>
  <c r="J112" i="2"/>
  <c r="N119" i="2"/>
  <c r="R126" i="2"/>
  <c r="V133" i="2"/>
  <c r="F141" i="2"/>
  <c r="J148" i="2"/>
  <c r="N155" i="2"/>
  <c r="G135" i="2"/>
  <c r="K142" i="2"/>
  <c r="O149" i="2"/>
  <c r="S156" i="2"/>
  <c r="L115" i="2"/>
  <c r="P122" i="2"/>
  <c r="T129" i="2"/>
  <c r="D137" i="2"/>
  <c r="H144" i="2"/>
  <c r="L151" i="2"/>
  <c r="P158" i="2"/>
  <c r="I80" i="2"/>
  <c r="M87" i="2"/>
  <c r="I95" i="2"/>
  <c r="N105" i="2"/>
  <c r="L131" i="2"/>
  <c r="J65" i="2"/>
  <c r="N72" i="2"/>
  <c r="R79" i="2"/>
  <c r="V86" i="2"/>
  <c r="O94" i="2"/>
  <c r="Q104" i="2"/>
  <c r="G127" i="2"/>
  <c r="O81" i="2"/>
  <c r="S88" i="2"/>
  <c r="D97" i="2"/>
  <c r="P107" i="2"/>
  <c r="H143" i="2"/>
  <c r="Q127" i="2"/>
  <c r="C138" i="2"/>
  <c r="S148" i="2"/>
  <c r="Q93" i="2"/>
  <c r="U100" i="2"/>
  <c r="F108" i="2"/>
  <c r="K117" i="2"/>
  <c r="C127" i="2"/>
  <c r="H137" i="2"/>
  <c r="D148" i="2"/>
  <c r="F93" i="2"/>
  <c r="J100" i="2"/>
  <c r="N107" i="2"/>
  <c r="Q116" i="2"/>
  <c r="I126" i="2"/>
  <c r="M136" i="2"/>
  <c r="I147" i="2"/>
  <c r="E158" i="2"/>
  <c r="R128" i="2"/>
  <c r="F139" i="2"/>
  <c r="V149" i="2"/>
  <c r="R112" i="2"/>
  <c r="J122" i="2"/>
  <c r="C132" i="2"/>
  <c r="S142" i="2"/>
  <c r="O153" i="2"/>
  <c r="V96" i="2"/>
  <c r="F104" i="2"/>
  <c r="E112" i="2"/>
  <c r="Q121" i="2"/>
  <c r="I131" i="2"/>
  <c r="E142" i="2"/>
  <c r="U152" i="2"/>
  <c r="C103" i="2"/>
  <c r="P110" i="2"/>
  <c r="G120" i="2"/>
  <c r="S129" i="2"/>
  <c r="J140" i="2"/>
  <c r="F151" i="2"/>
  <c r="Q122" i="2"/>
  <c r="K132" i="2"/>
  <c r="G143" i="2"/>
  <c r="C154" i="2"/>
  <c r="J116" i="2"/>
  <c r="V125" i="2"/>
  <c r="E136" i="2"/>
  <c r="U146" i="2"/>
  <c r="Q157" i="2"/>
  <c r="U114" i="2"/>
  <c r="M124" i="2"/>
  <c r="J134" i="2"/>
  <c r="F145" i="2"/>
  <c r="V155" i="2"/>
  <c r="U112" i="2"/>
  <c r="E120" i="2"/>
  <c r="I127" i="2"/>
  <c r="M134" i="2"/>
  <c r="Q141" i="2"/>
  <c r="U148" i="2"/>
  <c r="E156" i="2"/>
  <c r="V112" i="2"/>
  <c r="F120" i="2"/>
  <c r="J127" i="2"/>
  <c r="N134" i="2"/>
  <c r="R141" i="2"/>
  <c r="V148" i="2"/>
  <c r="F156" i="2"/>
  <c r="S135" i="2"/>
  <c r="C143" i="2"/>
  <c r="G150" i="2"/>
  <c r="K157" i="2"/>
  <c r="D116" i="2"/>
  <c r="H123" i="2"/>
  <c r="L130" i="2"/>
  <c r="P137" i="2"/>
  <c r="T144" i="2"/>
  <c r="D152" i="2"/>
  <c r="Q158" i="2"/>
  <c r="D83" i="2"/>
  <c r="H90" i="2"/>
  <c r="V98" i="2"/>
  <c r="L110" i="2"/>
  <c r="L156" i="2"/>
  <c r="Q68" i="2"/>
  <c r="U75" i="2"/>
  <c r="E83" i="2"/>
  <c r="I90" i="2"/>
  <c r="C99" i="2"/>
  <c r="Q110" i="2"/>
  <c r="P156" i="2"/>
  <c r="F68" i="2"/>
  <c r="J75" i="2"/>
  <c r="N82" i="2"/>
  <c r="R89" i="2"/>
  <c r="I98" i="2"/>
  <c r="M109" i="2"/>
  <c r="T151" i="2"/>
  <c r="S83" i="2"/>
  <c r="C91" i="2"/>
  <c r="D100" i="2"/>
  <c r="Q112" i="2"/>
  <c r="P61" i="2"/>
  <c r="T68" i="2"/>
  <c r="D76" i="2"/>
  <c r="H83" i="2"/>
  <c r="L90" i="2"/>
  <c r="H99" i="2"/>
  <c r="U110" i="2"/>
  <c r="H158" i="2"/>
  <c r="Q73" i="2"/>
  <c r="U80" i="2"/>
  <c r="E88" i="2"/>
  <c r="D96" i="2"/>
  <c r="L106" i="2"/>
  <c r="T136" i="2"/>
  <c r="V65" i="2"/>
  <c r="F73" i="2"/>
  <c r="J80" i="2"/>
  <c r="N87" i="2"/>
  <c r="J95" i="2"/>
  <c r="O105" i="2"/>
  <c r="D132" i="2"/>
  <c r="G82" i="2"/>
  <c r="K89" i="2"/>
  <c r="S97" i="2"/>
  <c r="S108" i="2"/>
  <c r="P148" i="2"/>
  <c r="L128" i="2"/>
  <c r="C139" i="2"/>
  <c r="S149" i="2"/>
  <c r="I94" i="2"/>
  <c r="M101" i="2"/>
  <c r="T108" i="2"/>
  <c r="F118" i="2"/>
  <c r="R127" i="2"/>
  <c r="D138" i="2"/>
  <c r="T148" i="2"/>
  <c r="R93" i="2"/>
  <c r="V100" i="2"/>
  <c r="G108" i="2"/>
  <c r="L117" i="2"/>
  <c r="D127" i="2"/>
  <c r="I137" i="2"/>
  <c r="E148" i="2"/>
  <c r="U119" i="2"/>
  <c r="M129" i="2"/>
  <c r="F140" i="2"/>
  <c r="V150" i="2"/>
  <c r="O113" i="2"/>
  <c r="G123" i="2"/>
  <c r="C133" i="2"/>
  <c r="S143" i="2"/>
  <c r="O154" i="2"/>
  <c r="N97" i="2"/>
  <c r="R104" i="2"/>
  <c r="T112" i="2"/>
  <c r="L122" i="2"/>
  <c r="I132" i="2"/>
  <c r="E143" i="2"/>
  <c r="U153" i="2"/>
  <c r="O103" i="2"/>
  <c r="K111" i="2"/>
  <c r="C121" i="2"/>
  <c r="O130" i="2"/>
  <c r="J141" i="2"/>
  <c r="F152" i="2"/>
  <c r="L123" i="2"/>
  <c r="G133" i="2"/>
  <c r="C144" i="2"/>
  <c r="S154" i="2"/>
  <c r="G117" i="2"/>
  <c r="S126" i="2"/>
  <c r="E137" i="2"/>
  <c r="U147" i="2"/>
  <c r="S106" i="2"/>
  <c r="P115" i="2"/>
  <c r="H125" i="2"/>
  <c r="J135" i="2"/>
  <c r="F146" i="2"/>
  <c r="V156" i="2"/>
  <c r="M113" i="2"/>
  <c r="Q120" i="2"/>
  <c r="U127" i="2"/>
  <c r="E135" i="2"/>
  <c r="I142" i="2"/>
  <c r="M149" i="2"/>
  <c r="Q156" i="2"/>
  <c r="N113" i="2"/>
  <c r="R120" i="2"/>
  <c r="V127" i="2"/>
  <c r="F135" i="2"/>
  <c r="J142" i="2"/>
  <c r="N149" i="2"/>
  <c r="R156" i="2"/>
  <c r="K136" i="2"/>
  <c r="O143" i="2"/>
  <c r="S150" i="2"/>
  <c r="C158" i="2"/>
  <c r="P116" i="2"/>
  <c r="T123" i="2"/>
  <c r="D131" i="2"/>
  <c r="H138" i="2"/>
  <c r="L145" i="2"/>
  <c r="P152" i="2"/>
  <c r="R158" i="2"/>
  <c r="L76" i="2"/>
  <c r="P83" i="2"/>
  <c r="T90" i="2"/>
  <c r="S99" i="2"/>
  <c r="G112" i="2"/>
  <c r="E62" i="2"/>
  <c r="I69" i="2"/>
  <c r="M76" i="2"/>
  <c r="Q83" i="2"/>
  <c r="U90" i="2"/>
  <c r="T99" i="2"/>
  <c r="H112" i="2"/>
  <c r="N61" i="2"/>
  <c r="R68" i="2"/>
  <c r="V75" i="2"/>
  <c r="F83" i="2"/>
  <c r="J90" i="2"/>
  <c r="D99" i="2"/>
  <c r="R110" i="2"/>
  <c r="H157" i="2"/>
  <c r="K84" i="2"/>
  <c r="O91" i="2"/>
  <c r="T100" i="2"/>
  <c r="O114" i="2"/>
  <c r="H62" i="2"/>
  <c r="L69" i="2"/>
  <c r="P76" i="2"/>
  <c r="T83" i="2"/>
  <c r="D91" i="2"/>
  <c r="E100" i="2"/>
  <c r="S112" i="2"/>
  <c r="E67" i="2"/>
  <c r="I74" i="2"/>
  <c r="M81" i="2"/>
  <c r="Q88" i="2"/>
  <c r="U96" i="2"/>
  <c r="L107" i="2"/>
  <c r="H142" i="2"/>
  <c r="N66" i="2"/>
  <c r="R73" i="2"/>
  <c r="V80" i="2"/>
  <c r="F88" i="2"/>
  <c r="G96" i="2"/>
  <c r="M106" i="2"/>
  <c r="L137" i="2"/>
  <c r="S82" i="2"/>
  <c r="C90" i="2"/>
  <c r="P98" i="2"/>
  <c r="D110" i="2"/>
  <c r="D154" i="2"/>
  <c r="J129" i="2"/>
  <c r="S139" i="2"/>
  <c r="O150" i="2"/>
  <c r="U94" i="2"/>
  <c r="E102" i="2"/>
  <c r="N109" i="2"/>
  <c r="C119" i="2"/>
  <c r="O128" i="2"/>
  <c r="D139" i="2"/>
  <c r="T149" i="2"/>
  <c r="J94" i="2"/>
  <c r="N101" i="2"/>
  <c r="U108" i="2"/>
  <c r="G118" i="2"/>
  <c r="S127" i="2"/>
  <c r="I138" i="2"/>
  <c r="E149" i="2"/>
  <c r="P120" i="2"/>
  <c r="H130" i="2"/>
  <c r="V140" i="2"/>
  <c r="R151" i="2"/>
  <c r="K114" i="2"/>
  <c r="C124" i="2"/>
  <c r="S133" i="2"/>
  <c r="O144" i="2"/>
  <c r="K155" i="2"/>
  <c r="F98" i="2"/>
  <c r="J105" i="2"/>
  <c r="R113" i="2"/>
  <c r="J123" i="2"/>
  <c r="E133" i="2"/>
  <c r="U143" i="2"/>
  <c r="Q154" i="2"/>
  <c r="G104" i="2"/>
  <c r="F112" i="2"/>
  <c r="R121" i="2"/>
  <c r="J131" i="2"/>
  <c r="F142" i="2"/>
  <c r="V152" i="2"/>
  <c r="G124" i="2"/>
  <c r="G134" i="2"/>
  <c r="C145" i="2"/>
  <c r="S155" i="2"/>
  <c r="C118" i="2"/>
  <c r="O127" i="2"/>
  <c r="U137" i="2"/>
  <c r="Q148" i="2"/>
  <c r="K107" i="2"/>
  <c r="K116" i="2"/>
  <c r="C126" i="2"/>
  <c r="F136" i="2"/>
  <c r="V146" i="2"/>
  <c r="R157" i="2"/>
  <c r="E114" i="2"/>
  <c r="I121" i="2"/>
  <c r="M128" i="2"/>
  <c r="Q135" i="2"/>
  <c r="U142" i="2"/>
  <c r="E150" i="2"/>
  <c r="I157" i="2"/>
  <c r="F114" i="2"/>
  <c r="J121" i="2"/>
  <c r="N128" i="2"/>
  <c r="R135" i="2"/>
  <c r="V142" i="2"/>
  <c r="F150" i="2"/>
  <c r="J157" i="2"/>
  <c r="C137" i="2"/>
  <c r="G144" i="2"/>
  <c r="K151" i="2"/>
  <c r="O158" i="2"/>
  <c r="H117" i="2"/>
  <c r="L124" i="2"/>
  <c r="P131" i="2"/>
  <c r="T138" i="2"/>
  <c r="D146" i="2"/>
  <c r="H153" i="2"/>
  <c r="S158" i="2"/>
  <c r="O151" i="2"/>
  <c r="M95" i="2"/>
  <c r="Q102" i="2"/>
  <c r="H110" i="2"/>
  <c r="S119" i="2"/>
  <c r="K129" i="2"/>
  <c r="T139" i="2"/>
  <c r="P150" i="2"/>
  <c r="V94" i="2"/>
  <c r="F102" i="2"/>
  <c r="O109" i="2"/>
  <c r="E119" i="2"/>
  <c r="Q128" i="2"/>
  <c r="E139" i="2"/>
  <c r="U149" i="2"/>
  <c r="N121" i="2"/>
  <c r="F131" i="2"/>
  <c r="V141" i="2"/>
  <c r="R152" i="2"/>
  <c r="F115" i="2"/>
  <c r="R124" i="2"/>
  <c r="S134" i="2"/>
  <c r="O145" i="2"/>
  <c r="K156" i="2"/>
  <c r="R98" i="2"/>
  <c r="V105" i="2"/>
  <c r="M114" i="2"/>
  <c r="E124" i="2"/>
  <c r="E134" i="2"/>
  <c r="U144" i="2"/>
  <c r="Q155" i="2"/>
  <c r="S104" i="2"/>
  <c r="C113" i="2"/>
  <c r="O122" i="2"/>
  <c r="J132" i="2"/>
  <c r="F143" i="2"/>
  <c r="V153" i="2"/>
  <c r="E125" i="2"/>
  <c r="C135" i="2"/>
  <c r="S145" i="2"/>
  <c r="O156" i="2"/>
  <c r="R118" i="2"/>
  <c r="J128" i="2"/>
  <c r="U138" i="2"/>
  <c r="Q149" i="2"/>
  <c r="C108" i="2"/>
  <c r="I117" i="2"/>
  <c r="U126" i="2"/>
  <c r="F137" i="2"/>
  <c r="V147" i="2"/>
  <c r="L158" i="2"/>
  <c r="Q114" i="2"/>
  <c r="U121" i="2"/>
  <c r="E129" i="2"/>
  <c r="I136" i="2"/>
  <c r="M143" i="2"/>
  <c r="Q150" i="2"/>
  <c r="U157" i="2"/>
  <c r="R114" i="2"/>
  <c r="V121" i="2"/>
  <c r="F129" i="2"/>
  <c r="J136" i="2"/>
  <c r="N143" i="2"/>
  <c r="R150" i="2"/>
  <c r="V157" i="2"/>
  <c r="O137" i="2"/>
  <c r="S144" i="2"/>
  <c r="C152" i="2"/>
  <c r="T117" i="2"/>
  <c r="D125" i="2"/>
  <c r="H132" i="2"/>
  <c r="L139" i="2"/>
  <c r="P146" i="2"/>
  <c r="T153" i="2"/>
  <c r="T158" i="2"/>
  <c r="K152" i="2"/>
  <c r="E96" i="2"/>
  <c r="I103" i="2"/>
  <c r="V110" i="2"/>
  <c r="N120" i="2"/>
  <c r="F130" i="2"/>
  <c r="T140" i="2"/>
  <c r="P151" i="2"/>
  <c r="N95" i="2"/>
  <c r="R102" i="2"/>
  <c r="I110" i="2"/>
  <c r="T119" i="2"/>
  <c r="L129" i="2"/>
  <c r="E140" i="2"/>
  <c r="U150" i="2"/>
  <c r="I122" i="2"/>
  <c r="V131" i="2"/>
  <c r="R142" i="2"/>
  <c r="N153" i="2"/>
  <c r="C116" i="2"/>
  <c r="O125" i="2"/>
  <c r="O135" i="2"/>
  <c r="K146" i="2"/>
  <c r="G157" i="2"/>
  <c r="J99" i="2"/>
  <c r="N106" i="2"/>
  <c r="H115" i="2"/>
  <c r="T124" i="2"/>
  <c r="U134" i="2"/>
  <c r="Q145" i="2"/>
  <c r="M156" i="2"/>
  <c r="K105" i="2"/>
  <c r="S113" i="2"/>
  <c r="K123" i="2"/>
  <c r="F133" i="2"/>
  <c r="V143" i="2"/>
  <c r="R154" i="2"/>
  <c r="T125" i="2"/>
  <c r="C136" i="2"/>
  <c r="S146" i="2"/>
  <c r="O157" i="2"/>
  <c r="O119" i="2"/>
  <c r="G129" i="2"/>
  <c r="Q139" i="2"/>
  <c r="M150" i="2"/>
  <c r="P108" i="2"/>
  <c r="D118" i="2"/>
  <c r="P127" i="2"/>
  <c r="V137" i="2"/>
  <c r="R148" i="2"/>
  <c r="E108" i="2"/>
  <c r="I115" i="2"/>
  <c r="M122" i="2"/>
  <c r="Q129" i="2"/>
  <c r="U136" i="2"/>
  <c r="E144" i="2"/>
  <c r="I151" i="2"/>
  <c r="M158" i="2"/>
  <c r="J115" i="2"/>
  <c r="N122" i="2"/>
  <c r="R129" i="2"/>
  <c r="V136" i="2"/>
  <c r="F144" i="2"/>
  <c r="J151" i="2"/>
  <c r="N158" i="2"/>
  <c r="G138" i="2"/>
  <c r="K145" i="2"/>
  <c r="O152" i="2"/>
  <c r="H111" i="2"/>
  <c r="L118" i="2"/>
  <c r="P125" i="2"/>
  <c r="T132" i="2"/>
  <c r="D140" i="2"/>
  <c r="H147" i="2"/>
  <c r="L154" i="2"/>
  <c r="U158" i="2"/>
  <c r="I83" i="2"/>
  <c r="M90" i="2"/>
  <c r="I99" i="2"/>
  <c r="D111" i="2"/>
  <c r="F61" i="2"/>
  <c r="J68" i="2"/>
  <c r="N75" i="2"/>
  <c r="R82" i="2"/>
  <c r="V89" i="2"/>
  <c r="O98" i="2"/>
  <c r="C110" i="2"/>
  <c r="P153" i="2"/>
  <c r="O84" i="2"/>
  <c r="S91" i="2"/>
  <c r="H101" i="2"/>
  <c r="G115" i="2"/>
  <c r="F122" i="2"/>
  <c r="S131" i="2"/>
  <c r="O142" i="2"/>
  <c r="K153" i="2"/>
  <c r="Q96" i="2"/>
  <c r="U103" i="2"/>
  <c r="S111" i="2"/>
  <c r="K121" i="2"/>
  <c r="C131" i="2"/>
  <c r="P141" i="2"/>
  <c r="L152" i="2"/>
  <c r="F96" i="2"/>
  <c r="J103" i="2"/>
  <c r="C111" i="2"/>
  <c r="O120" i="2"/>
  <c r="G130" i="2"/>
  <c r="U140" i="2"/>
  <c r="Q151" i="2"/>
  <c r="D123" i="2"/>
  <c r="V132" i="2"/>
  <c r="R143" i="2"/>
  <c r="N154" i="2"/>
  <c r="S116" i="2"/>
  <c r="K126" i="2"/>
  <c r="O136" i="2"/>
  <c r="K147" i="2"/>
  <c r="G158" i="2"/>
  <c r="V99" i="2"/>
  <c r="F107" i="2"/>
  <c r="F116" i="2"/>
  <c r="R125" i="2"/>
  <c r="U135" i="2"/>
  <c r="Q146" i="2"/>
  <c r="M157" i="2"/>
  <c r="C106" i="2"/>
  <c r="N114" i="2"/>
  <c r="F124" i="2"/>
  <c r="F134" i="2"/>
  <c r="V144" i="2"/>
  <c r="R155" i="2"/>
  <c r="O126" i="2"/>
  <c r="S136" i="2"/>
  <c r="O147" i="2"/>
  <c r="K158" i="2"/>
  <c r="K120" i="2"/>
  <c r="C130" i="2"/>
  <c r="Q140" i="2"/>
  <c r="M151" i="2"/>
  <c r="L109" i="2"/>
  <c r="S118" i="2"/>
  <c r="K128" i="2"/>
  <c r="V138" i="2"/>
  <c r="R149" i="2"/>
  <c r="Q108" i="2"/>
  <c r="U115" i="2"/>
  <c r="E123" i="2"/>
  <c r="I130" i="2"/>
  <c r="M137" i="2"/>
  <c r="Q144" i="2"/>
  <c r="U151" i="2"/>
  <c r="R108" i="2"/>
  <c r="V115" i="2"/>
  <c r="F123" i="2"/>
  <c r="J130" i="2"/>
  <c r="N137" i="2"/>
  <c r="R144" i="2"/>
  <c r="V151" i="2"/>
  <c r="O131" i="2"/>
  <c r="S138" i="2"/>
  <c r="C146" i="2"/>
  <c r="G153" i="2"/>
  <c r="T111" i="2"/>
  <c r="D119" i="2"/>
  <c r="H126" i="2"/>
  <c r="L133" i="2"/>
  <c r="P140" i="2"/>
  <c r="T147" i="2"/>
  <c r="D155" i="2"/>
  <c r="V158" i="2"/>
  <c r="P121" i="2"/>
  <c r="M69" i="2"/>
  <c r="Q76" i="2"/>
  <c r="U83" i="2"/>
  <c r="E91" i="2"/>
  <c r="F100" i="2"/>
  <c r="E113" i="2"/>
  <c r="R61" i="2"/>
  <c r="V68" i="2"/>
  <c r="F76" i="2"/>
  <c r="J83" i="2"/>
  <c r="N90" i="2"/>
  <c r="K99" i="2"/>
  <c r="I111" i="2"/>
  <c r="C78" i="2"/>
  <c r="G85" i="2"/>
  <c r="K92" i="2"/>
  <c r="D102" i="2"/>
  <c r="D117" i="2"/>
  <c r="U122" i="2"/>
  <c r="O132" i="2"/>
  <c r="K143" i="2"/>
  <c r="G154" i="2"/>
  <c r="I97" i="2"/>
  <c r="M104" i="2"/>
  <c r="O112" i="2"/>
  <c r="G122" i="2"/>
  <c r="T131" i="2"/>
  <c r="P142" i="2"/>
  <c r="L153" i="2"/>
  <c r="R96" i="2"/>
  <c r="V103" i="2"/>
  <c r="U111" i="2"/>
  <c r="M121" i="2"/>
  <c r="E131" i="2"/>
  <c r="U141" i="2"/>
  <c r="Q152" i="2"/>
  <c r="V123" i="2"/>
  <c r="R133" i="2"/>
  <c r="N144" i="2"/>
  <c r="J155" i="2"/>
  <c r="N117" i="2"/>
  <c r="F127" i="2"/>
  <c r="K137" i="2"/>
  <c r="G148" i="2"/>
  <c r="J93" i="2"/>
  <c r="N100" i="2"/>
  <c r="R107" i="2"/>
  <c r="U116" i="2"/>
  <c r="M126" i="2"/>
  <c r="Q136" i="2"/>
  <c r="M147" i="2"/>
  <c r="I158" i="2"/>
  <c r="O106" i="2"/>
  <c r="K115" i="2"/>
  <c r="C125" i="2"/>
  <c r="V134" i="2"/>
  <c r="R145" i="2"/>
  <c r="N156" i="2"/>
  <c r="M127" i="2"/>
  <c r="S137" i="2"/>
  <c r="O148" i="2"/>
  <c r="N111" i="2"/>
  <c r="F121" i="2"/>
  <c r="R130" i="2"/>
  <c r="M141" i="2"/>
  <c r="I152" i="2"/>
  <c r="F110" i="2"/>
  <c r="Q119" i="2"/>
  <c r="I129" i="2"/>
  <c r="R139" i="2"/>
  <c r="N150" i="2"/>
  <c r="I109" i="2"/>
  <c r="M116" i="2"/>
  <c r="Q123" i="2"/>
  <c r="U130" i="2"/>
  <c r="E138" i="2"/>
  <c r="I145" i="2"/>
  <c r="M152" i="2"/>
  <c r="J109" i="2"/>
  <c r="N116" i="2"/>
  <c r="R123" i="2"/>
  <c r="V130" i="2"/>
  <c r="F138" i="2"/>
  <c r="J145" i="2"/>
  <c r="N152" i="2"/>
  <c r="G132" i="2"/>
  <c r="K139" i="2"/>
  <c r="O146" i="2"/>
  <c r="S153" i="2"/>
  <c r="L112" i="2"/>
  <c r="P119" i="2"/>
  <c r="T126" i="2"/>
  <c r="D134" i="2"/>
  <c r="H141" i="2"/>
  <c r="L148" i="2"/>
  <c r="P155" i="2"/>
  <c r="C34" i="2"/>
  <c r="P86" i="2"/>
  <c r="F94" i="2"/>
  <c r="I104" i="2"/>
  <c r="S124" i="2"/>
  <c r="E65" i="2"/>
  <c r="I72" i="2"/>
  <c r="M79" i="2"/>
  <c r="Q86" i="2"/>
  <c r="G94" i="2"/>
  <c r="J104" i="2"/>
  <c r="F125" i="2"/>
  <c r="N64" i="2"/>
  <c r="R71" i="2"/>
  <c r="V78" i="2"/>
  <c r="F86" i="2"/>
  <c r="M93" i="2"/>
  <c r="M103" i="2"/>
  <c r="U120" i="2"/>
  <c r="G80" i="2"/>
  <c r="K87" i="2"/>
  <c r="G95" i="2"/>
  <c r="L105" i="2"/>
  <c r="Q130" i="2"/>
  <c r="H65" i="2"/>
  <c r="L72" i="2"/>
  <c r="P79" i="2"/>
  <c r="T86" i="2"/>
  <c r="L94" i="2"/>
  <c r="O104" i="2"/>
  <c r="L126" i="2"/>
  <c r="E70" i="2"/>
  <c r="I77" i="2"/>
  <c r="M84" i="2"/>
  <c r="Q91" i="2"/>
  <c r="D101" i="2"/>
  <c r="V114" i="2"/>
  <c r="J62" i="2"/>
  <c r="N69" i="2"/>
  <c r="R76" i="2"/>
  <c r="V83" i="2"/>
  <c r="F91" i="2"/>
  <c r="G100" i="2"/>
  <c r="F113" i="2"/>
  <c r="O78" i="2"/>
  <c r="S85" i="2"/>
  <c r="C93" i="2"/>
  <c r="D103" i="2"/>
  <c r="F119" i="2"/>
  <c r="P123" i="2"/>
  <c r="O133" i="2"/>
  <c r="K144" i="2"/>
  <c r="G155" i="2"/>
  <c r="U97" i="2"/>
  <c r="E105" i="2"/>
  <c r="J113" i="2"/>
  <c r="V122" i="2"/>
  <c r="P132" i="2"/>
  <c r="L143" i="2"/>
  <c r="H154" i="2"/>
  <c r="J97" i="2"/>
  <c r="N104" i="2"/>
  <c r="P112" i="2"/>
  <c r="H122" i="2"/>
  <c r="U131" i="2"/>
  <c r="Q142" i="2"/>
  <c r="M153" i="2"/>
  <c r="Q124" i="2"/>
  <c r="R134" i="2"/>
  <c r="N145" i="2"/>
  <c r="J156" i="2"/>
  <c r="K118" i="2"/>
  <c r="C128" i="2"/>
  <c r="K138" i="2"/>
  <c r="G149" i="2"/>
  <c r="V93" i="2"/>
  <c r="F101" i="2"/>
  <c r="K108" i="2"/>
  <c r="P117" i="2"/>
  <c r="H127" i="2"/>
  <c r="Q137" i="2"/>
  <c r="M148" i="2"/>
  <c r="C100" i="2"/>
  <c r="G107" i="2"/>
  <c r="G116" i="2"/>
  <c r="S125" i="2"/>
  <c r="V135" i="2"/>
  <c r="R146" i="2"/>
  <c r="N157" i="2"/>
  <c r="H128" i="2"/>
  <c r="O138" i="2"/>
  <c r="K149" i="2"/>
  <c r="K112" i="2"/>
  <c r="C122" i="2"/>
  <c r="Q131" i="2"/>
  <c r="M142" i="2"/>
  <c r="I153" i="2"/>
  <c r="T110" i="2"/>
  <c r="L120" i="2"/>
  <c r="D130" i="2"/>
  <c r="R140" i="2"/>
  <c r="N151" i="2"/>
  <c r="U109" i="2"/>
  <c r="E117" i="2"/>
  <c r="I124" i="2"/>
  <c r="M131" i="2"/>
  <c r="Q138" i="2"/>
  <c r="U145" i="2"/>
  <c r="E153" i="2"/>
  <c r="V109" i="2"/>
  <c r="F117" i="2"/>
  <c r="J124" i="2"/>
  <c r="N131" i="2"/>
  <c r="R138" i="2"/>
  <c r="V145" i="2"/>
  <c r="F153" i="2"/>
  <c r="S132" i="2"/>
  <c r="C140" i="2"/>
  <c r="G147" i="2"/>
  <c r="K154" i="2"/>
  <c r="D113" i="2"/>
  <c r="H120" i="2"/>
  <c r="L127" i="2"/>
  <c r="P134" i="2"/>
  <c r="T141" i="2"/>
  <c r="D149" i="2"/>
  <c r="H156" i="2"/>
  <c r="E34" i="2"/>
  <c r="X2" i="6"/>
  <c r="Z2" i="6"/>
  <c r="E8" i="6"/>
  <c r="U16" i="6"/>
  <c r="AD43" i="6"/>
  <c r="Y52" i="6"/>
  <c r="Q35" i="6"/>
  <c r="N17" i="6"/>
  <c r="I73" i="6"/>
  <c r="W33" i="6"/>
  <c r="AA16" i="6"/>
  <c r="W8" i="6"/>
  <c r="T85" i="6"/>
  <c r="O10" i="6"/>
  <c r="R36" i="6"/>
  <c r="T50" i="6"/>
  <c r="AA48" i="6"/>
  <c r="M80" i="6"/>
  <c r="Z30" i="6"/>
  <c r="U101" i="6"/>
  <c r="R21" i="6"/>
  <c r="U27" i="6"/>
  <c r="Z18" i="6"/>
  <c r="C63" i="6"/>
  <c r="I41" i="6"/>
  <c r="O16" i="6"/>
  <c r="G8" i="6"/>
  <c r="K90" i="6"/>
  <c r="K10" i="6"/>
  <c r="N44" i="6"/>
  <c r="E52" i="6"/>
  <c r="X21" i="6"/>
  <c r="R58" i="6"/>
  <c r="Q88" i="6"/>
  <c r="F52" i="6"/>
  <c r="J24" i="6"/>
  <c r="W42" i="6"/>
  <c r="W28" i="6"/>
  <c r="Y5" i="6"/>
  <c r="H51" i="6"/>
  <c r="H68" i="6"/>
  <c r="AE2" i="6"/>
  <c r="AB2" i="6"/>
  <c r="AD2" i="6"/>
  <c r="S2" i="6"/>
  <c r="P2" i="6"/>
  <c r="F2" i="6"/>
  <c r="Y2" i="6"/>
  <c r="T5" i="6"/>
  <c r="X19" i="6"/>
  <c r="C16" i="6"/>
  <c r="R57" i="6"/>
  <c r="AE14" i="6"/>
  <c r="V49" i="6"/>
  <c r="M41" i="6"/>
  <c r="AE81" i="6"/>
  <c r="Q10" i="6"/>
  <c r="AE36" i="6"/>
  <c r="AB33" i="6"/>
  <c r="Z69" i="6"/>
  <c r="Y18" i="6"/>
  <c r="K27" i="6"/>
  <c r="K37" i="6"/>
  <c r="M49" i="6"/>
  <c r="P20" i="6"/>
  <c r="L10" i="6"/>
  <c r="Q14" i="6"/>
  <c r="F44" i="6"/>
  <c r="J15" i="6"/>
  <c r="K95" i="6"/>
  <c r="V39" i="6"/>
  <c r="W39" i="6"/>
  <c r="Y59" i="6"/>
  <c r="X22" i="6"/>
  <c r="AC3" i="6"/>
  <c r="AE29" i="6"/>
  <c r="K24" i="6"/>
  <c r="Y27" i="6"/>
  <c r="N48" i="6"/>
  <c r="V34" i="6"/>
  <c r="W104" i="6"/>
  <c r="AD82" i="6"/>
  <c r="J21" i="6"/>
  <c r="G23" i="6"/>
  <c r="O6" i="6"/>
  <c r="Z9" i="6"/>
  <c r="AD26" i="6"/>
  <c r="AD88" i="6"/>
  <c r="I49" i="6"/>
  <c r="P39" i="6"/>
  <c r="H15" i="6"/>
  <c r="P38" i="6"/>
  <c r="AA47" i="6"/>
  <c r="H13" i="6"/>
  <c r="K28" i="6"/>
  <c r="J77" i="6"/>
  <c r="M8" i="6"/>
  <c r="U64" i="6"/>
  <c r="M39" i="6"/>
  <c r="M33" i="6"/>
  <c r="AD85" i="6"/>
  <c r="V83" i="6"/>
  <c r="S52" i="6"/>
  <c r="F37" i="6"/>
  <c r="T71" i="6"/>
  <c r="G10" i="6"/>
  <c r="Z4" i="6"/>
  <c r="S37" i="6"/>
  <c r="D88" i="6"/>
  <c r="J84" i="6"/>
  <c r="H24" i="6"/>
  <c r="V30" i="6"/>
  <c r="E35" i="6"/>
  <c r="AB16" i="6"/>
  <c r="Y38" i="6"/>
  <c r="P43" i="6"/>
  <c r="AC57" i="6"/>
  <c r="U28" i="6"/>
  <c r="E62" i="6"/>
  <c r="AE65" i="6"/>
  <c r="Q11" i="6"/>
  <c r="V26" i="6"/>
  <c r="J34" i="6"/>
  <c r="AD39" i="6"/>
  <c r="P65" i="6"/>
  <c r="W60" i="6"/>
  <c r="K21" i="6"/>
  <c r="L20" i="6"/>
  <c r="M15" i="6"/>
  <c r="X42" i="6"/>
  <c r="AE9" i="6"/>
  <c r="V58" i="6"/>
  <c r="N18" i="6"/>
  <c r="D48" i="6"/>
  <c r="C14" i="6"/>
  <c r="W57" i="6"/>
  <c r="AE20" i="6"/>
  <c r="Y48" i="6"/>
  <c r="U4" i="6"/>
  <c r="R24" i="6"/>
  <c r="G67" i="6"/>
  <c r="Q69" i="6"/>
  <c r="C80" i="6"/>
  <c r="P50" i="6"/>
  <c r="AD89" i="6"/>
  <c r="W4" i="6"/>
  <c r="Q31" i="6"/>
  <c r="Z27" i="6"/>
  <c r="AE5" i="6"/>
  <c r="M17" i="6"/>
  <c r="G36" i="6"/>
  <c r="X74" i="6"/>
  <c r="O83" i="6"/>
  <c r="G49" i="6"/>
  <c r="AA63" i="6"/>
  <c r="G3" i="6"/>
  <c r="Z48" i="6"/>
  <c r="N74" i="6"/>
  <c r="S103" i="6"/>
  <c r="AC76" i="6"/>
  <c r="Y66" i="6"/>
  <c r="E2" i="6"/>
  <c r="Q16" i="6"/>
  <c r="O47" i="6"/>
  <c r="AA15" i="6"/>
  <c r="Q42" i="6"/>
  <c r="S45" i="6"/>
  <c r="J29" i="6"/>
  <c r="L8" i="6"/>
  <c r="R41" i="6"/>
  <c r="H48" i="6"/>
  <c r="R16" i="6"/>
  <c r="AC30" i="6"/>
  <c r="N59" i="6"/>
  <c r="G11" i="6"/>
  <c r="I27" i="6"/>
  <c r="AA12" i="6"/>
  <c r="J10" i="6"/>
  <c r="L32" i="6"/>
  <c r="V89" i="6"/>
  <c r="AD33" i="6"/>
  <c r="X26" i="6"/>
  <c r="Z37" i="6"/>
  <c r="P79" i="6"/>
  <c r="Y29" i="6"/>
  <c r="T57" i="6"/>
  <c r="T4" i="6"/>
  <c r="M14" i="6"/>
  <c r="AE8" i="6"/>
  <c r="E13" i="6"/>
  <c r="AC20" i="6"/>
  <c r="X60" i="6"/>
  <c r="V38" i="6"/>
  <c r="AB21" i="6"/>
  <c r="AC48" i="6"/>
  <c r="Y106" i="6"/>
  <c r="F36" i="6"/>
  <c r="U40" i="6"/>
  <c r="C103" i="6"/>
  <c r="H2" i="6"/>
  <c r="K2" i="6"/>
  <c r="U2" i="6"/>
  <c r="O2" i="6"/>
  <c r="Q2" i="6"/>
  <c r="N2" i="6"/>
  <c r="U18" i="6"/>
  <c r="V7" i="6"/>
  <c r="K16" i="6"/>
  <c r="X37" i="6"/>
  <c r="V62" i="6"/>
  <c r="AD34" i="6"/>
  <c r="V43" i="6"/>
  <c r="S14" i="6"/>
  <c r="O50" i="6"/>
  <c r="AA14" i="6"/>
  <c r="H19" i="6"/>
  <c r="T7" i="6"/>
  <c r="AA22" i="6"/>
  <c r="V21" i="6"/>
  <c r="W58" i="6"/>
  <c r="P34" i="6"/>
  <c r="M71" i="6"/>
  <c r="O5" i="6"/>
  <c r="J14" i="6"/>
  <c r="O23" i="6"/>
  <c r="I58" i="6"/>
  <c r="V5" i="6"/>
  <c r="C27" i="6"/>
  <c r="Z24" i="6"/>
  <c r="L43" i="6"/>
  <c r="AA20" i="6"/>
  <c r="U45" i="6"/>
  <c r="AA44" i="6"/>
  <c r="AC26" i="6"/>
  <c r="S15" i="6"/>
  <c r="I76" i="6"/>
  <c r="N23" i="6"/>
  <c r="Y25" i="6"/>
  <c r="Z105" i="6"/>
  <c r="H8" i="6"/>
  <c r="C25" i="6"/>
  <c r="Z8" i="6"/>
  <c r="U14" i="6"/>
  <c r="AB9" i="6"/>
  <c r="S32" i="6"/>
  <c r="AE46" i="6"/>
  <c r="K59" i="6"/>
  <c r="O9" i="6"/>
  <c r="Q8" i="6"/>
  <c r="W66" i="6"/>
  <c r="Y50" i="6"/>
  <c r="M11" i="6"/>
  <c r="D54" i="6"/>
  <c r="K88" i="6"/>
  <c r="J20" i="6"/>
  <c r="W23" i="6"/>
  <c r="J8" i="6"/>
  <c r="C36" i="6"/>
  <c r="Y28" i="6"/>
  <c r="P5" i="6"/>
  <c r="I23" i="6"/>
  <c r="H16" i="6"/>
  <c r="M57" i="6"/>
  <c r="J103" i="6"/>
  <c r="O64" i="6"/>
  <c r="H49" i="6"/>
  <c r="T58" i="6"/>
  <c r="Y68" i="6"/>
  <c r="T19" i="6"/>
  <c r="I46" i="6"/>
  <c r="AE37" i="6"/>
  <c r="O36" i="6"/>
  <c r="L21" i="6"/>
  <c r="F12" i="6"/>
  <c r="N25" i="6"/>
  <c r="Z3" i="6"/>
  <c r="K50" i="6"/>
  <c r="N43" i="6"/>
  <c r="X64" i="6"/>
  <c r="Q29" i="6"/>
  <c r="J75" i="6"/>
  <c r="T27" i="6"/>
  <c r="W21" i="6"/>
  <c r="V102" i="6"/>
  <c r="L12" i="6"/>
  <c r="C5" i="6"/>
  <c r="Q38" i="6"/>
  <c r="F78" i="6"/>
  <c r="R4" i="6"/>
  <c r="Q56" i="6"/>
  <c r="N38" i="6"/>
  <c r="D28" i="6"/>
  <c r="M29" i="6"/>
  <c r="AB32" i="6"/>
  <c r="K40" i="6"/>
  <c r="V28" i="6"/>
  <c r="AB4" i="6"/>
  <c r="G46" i="6"/>
  <c r="X6" i="6"/>
  <c r="T32" i="6"/>
  <c r="L69" i="6"/>
  <c r="C54" i="6"/>
  <c r="U60" i="6"/>
  <c r="T75" i="6"/>
  <c r="K55" i="6"/>
  <c r="AB8" i="6"/>
  <c r="AA19" i="6"/>
  <c r="AC22" i="6"/>
  <c r="P32" i="6"/>
  <c r="K31" i="6"/>
  <c r="AC31" i="6"/>
  <c r="E14" i="6"/>
  <c r="L61" i="6"/>
  <c r="E107" i="6"/>
  <c r="M47" i="6"/>
  <c r="O94" i="6"/>
  <c r="Y85" i="6"/>
  <c r="E58" i="6"/>
  <c r="E80" i="6"/>
  <c r="L2" i="6"/>
  <c r="AC2" i="6"/>
  <c r="W2" i="6"/>
  <c r="T33" i="6"/>
  <c r="AB22" i="6"/>
  <c r="AD37" i="6"/>
  <c r="Z81" i="6"/>
  <c r="U66" i="6"/>
  <c r="K63" i="6"/>
  <c r="L36" i="6"/>
  <c r="AB31" i="6"/>
  <c r="O18" i="6"/>
  <c r="O78" i="6"/>
  <c r="Y45" i="6"/>
  <c r="O13" i="6"/>
  <c r="E20" i="6"/>
  <c r="E36" i="6"/>
  <c r="AE18" i="6"/>
  <c r="P33" i="6"/>
  <c r="X20" i="6"/>
  <c r="W16" i="6"/>
  <c r="C26" i="6"/>
  <c r="S48" i="6"/>
  <c r="R17" i="6"/>
  <c r="O44" i="6"/>
  <c r="M19" i="6"/>
  <c r="T17" i="6"/>
  <c r="Y56" i="6"/>
  <c r="I20" i="6"/>
  <c r="H53" i="6"/>
  <c r="AB76" i="6"/>
  <c r="E26" i="6"/>
  <c r="K53" i="6"/>
  <c r="L39" i="6"/>
  <c r="S91" i="6"/>
  <c r="G35" i="6"/>
  <c r="C41" i="6"/>
  <c r="AC21" i="6"/>
  <c r="AD72" i="6"/>
  <c r="G2" i="6"/>
  <c r="I2" i="6"/>
  <c r="M2" i="6"/>
  <c r="J2" i="6"/>
  <c r="R2" i="6"/>
  <c r="T2" i="6"/>
  <c r="AA2" i="6"/>
  <c r="P9" i="6"/>
  <c r="M6" i="6"/>
  <c r="G14" i="6"/>
  <c r="I50" i="6"/>
  <c r="F26" i="6"/>
  <c r="AC78" i="6"/>
  <c r="Q24" i="6"/>
  <c r="R54" i="6"/>
  <c r="K11" i="6"/>
  <c r="E74" i="6"/>
  <c r="AD54" i="6"/>
  <c r="R6" i="6"/>
  <c r="M73" i="6"/>
  <c r="L24" i="6"/>
  <c r="K14" i="6"/>
  <c r="H62" i="6"/>
  <c r="I99" i="6"/>
  <c r="F8" i="6"/>
  <c r="AD12" i="6"/>
  <c r="K3" i="6"/>
  <c r="T55" i="6"/>
  <c r="J27" i="6"/>
  <c r="T49" i="6"/>
  <c r="O15" i="6"/>
  <c r="M43" i="6"/>
  <c r="R26" i="6"/>
  <c r="R66" i="6"/>
  <c r="G51" i="6"/>
  <c r="M35" i="6"/>
  <c r="T39" i="6"/>
  <c r="W83" i="6"/>
  <c r="Q13" i="6"/>
  <c r="O14" i="6"/>
  <c r="C81" i="6"/>
  <c r="U20" i="6"/>
  <c r="W7" i="6"/>
  <c r="N4" i="6"/>
  <c r="AC12" i="6"/>
  <c r="G15" i="6"/>
  <c r="F40" i="6"/>
  <c r="T26" i="6"/>
  <c r="J31" i="6"/>
  <c r="G20" i="6"/>
  <c r="L33" i="6"/>
  <c r="C43" i="6"/>
  <c r="P58" i="6"/>
  <c r="H17" i="6"/>
  <c r="M60" i="6"/>
  <c r="W20" i="6"/>
  <c r="AA23" i="6"/>
  <c r="V44" i="6"/>
  <c r="C61" i="6"/>
  <c r="J4" i="6"/>
  <c r="L74" i="6"/>
  <c r="AA8" i="6"/>
  <c r="K41" i="6"/>
  <c r="W26" i="6"/>
  <c r="J59" i="6"/>
  <c r="M4" i="6"/>
  <c r="AC36" i="6"/>
  <c r="AD36" i="6"/>
  <c r="AD27" i="6"/>
  <c r="AE4" i="6"/>
  <c r="P6" i="6"/>
  <c r="K58" i="6"/>
  <c r="Z47" i="6"/>
  <c r="K23" i="6"/>
  <c r="AA51" i="6"/>
  <c r="AA37" i="6"/>
  <c r="S33" i="6"/>
  <c r="I28" i="6"/>
  <c r="S41" i="6"/>
  <c r="H37" i="6"/>
  <c r="AD44" i="6"/>
  <c r="AE56" i="6"/>
  <c r="R39" i="6"/>
  <c r="D73" i="6"/>
  <c r="Z104" i="6"/>
  <c r="N19" i="6"/>
  <c r="F23" i="6"/>
  <c r="J42" i="6"/>
  <c r="K48" i="6"/>
  <c r="W36" i="6"/>
  <c r="T74" i="6"/>
  <c r="O34" i="6"/>
  <c r="H60" i="6"/>
  <c r="X25" i="6"/>
  <c r="D76" i="6"/>
  <c r="K36" i="6"/>
  <c r="G61" i="6"/>
  <c r="F18" i="6"/>
  <c r="O20" i="6"/>
  <c r="P17" i="6"/>
  <c r="C21" i="6"/>
  <c r="J38" i="6"/>
  <c r="F81" i="6"/>
  <c r="I16" i="6"/>
  <c r="H31" i="6"/>
  <c r="AA43" i="6"/>
  <c r="G98" i="6"/>
  <c r="S26" i="6"/>
  <c r="L60" i="6"/>
  <c r="Z29" i="6"/>
  <c r="U59" i="6"/>
  <c r="R60" i="6"/>
  <c r="K29" i="6"/>
  <c r="R8" i="6"/>
  <c r="M97" i="6"/>
  <c r="I36" i="6"/>
  <c r="U54" i="6"/>
  <c r="W59" i="6"/>
  <c r="N60" i="6"/>
  <c r="AC67" i="6"/>
  <c r="AE15" i="6"/>
  <c r="Y82" i="6"/>
  <c r="I7" i="6"/>
  <c r="AE62" i="6"/>
  <c r="V11" i="6"/>
  <c r="Q40" i="6"/>
  <c r="AC80" i="6"/>
  <c r="V23" i="6"/>
  <c r="L4" i="6"/>
  <c r="V47" i="6"/>
  <c r="M21" i="6"/>
  <c r="Y33" i="6"/>
  <c r="Z46" i="6"/>
  <c r="N26" i="6"/>
  <c r="AD86" i="6"/>
  <c r="P106" i="6"/>
  <c r="Q5" i="6"/>
  <c r="L3" i="6"/>
  <c r="H5" i="6"/>
  <c r="Q21" i="6"/>
  <c r="AD83" i="6"/>
  <c r="W31" i="6"/>
  <c r="AB25" i="6"/>
  <c r="G29" i="6"/>
  <c r="AB42" i="6"/>
  <c r="H35" i="6"/>
  <c r="T12" i="6"/>
  <c r="M20" i="6"/>
  <c r="J36" i="6"/>
  <c r="T37" i="6"/>
  <c r="E28" i="6"/>
  <c r="U33" i="6"/>
  <c r="M79" i="6"/>
  <c r="U12" i="6"/>
  <c r="X15" i="6"/>
  <c r="AA25" i="6"/>
  <c r="Z34" i="6"/>
  <c r="D34" i="6"/>
  <c r="X59" i="6"/>
  <c r="Q9" i="6"/>
  <c r="P51" i="6"/>
  <c r="J17" i="6"/>
  <c r="P4" i="6"/>
  <c r="S21" i="6"/>
  <c r="T63" i="6"/>
  <c r="F7" i="6"/>
  <c r="G30" i="6"/>
  <c r="E59" i="6"/>
  <c r="AD51" i="6"/>
  <c r="F17" i="6"/>
  <c r="J5" i="6"/>
  <c r="R11" i="6"/>
  <c r="D24" i="6"/>
  <c r="L25" i="6"/>
  <c r="Y17" i="6"/>
  <c r="T43" i="6"/>
  <c r="M56" i="6"/>
  <c r="H69" i="6"/>
  <c r="C19" i="6"/>
  <c r="AD16" i="6"/>
  <c r="P44" i="6"/>
  <c r="C53" i="6"/>
  <c r="AA18" i="6"/>
  <c r="R23" i="6"/>
  <c r="O63" i="6"/>
  <c r="T41" i="6"/>
  <c r="S36" i="6"/>
  <c r="AB27" i="6"/>
  <c r="D42" i="6"/>
  <c r="H55" i="6"/>
  <c r="D31" i="6"/>
  <c r="V76" i="6"/>
  <c r="I32" i="6"/>
  <c r="S61" i="6"/>
  <c r="G38" i="6"/>
  <c r="U82" i="6"/>
  <c r="AE23" i="6"/>
  <c r="E16" i="6"/>
  <c r="G60" i="6"/>
  <c r="J41" i="6"/>
  <c r="K52" i="6"/>
  <c r="I56" i="6"/>
  <c r="Z90" i="6"/>
  <c r="U106" i="6"/>
  <c r="M54" i="6"/>
  <c r="V20" i="6"/>
  <c r="AE10" i="6"/>
  <c r="O87" i="6"/>
  <c r="Z51" i="6"/>
  <c r="F16" i="6"/>
  <c r="T13" i="6"/>
  <c r="I29" i="6"/>
  <c r="P89" i="6"/>
  <c r="J45" i="6"/>
  <c r="AC7" i="6"/>
  <c r="R37" i="6"/>
  <c r="P45" i="6"/>
  <c r="AD6" i="6"/>
  <c r="AC17" i="6"/>
  <c r="O55" i="6"/>
  <c r="W38" i="6"/>
  <c r="Y7" i="6"/>
  <c r="L30" i="6"/>
  <c r="E37" i="6"/>
  <c r="M32" i="6"/>
  <c r="Z86" i="6"/>
  <c r="L26" i="6"/>
  <c r="X30" i="6"/>
  <c r="AD31" i="6"/>
  <c r="N104" i="6"/>
  <c r="D55" i="6"/>
  <c r="I107" i="6"/>
  <c r="Y60" i="6"/>
  <c r="Y13" i="6"/>
  <c r="AC8" i="6"/>
  <c r="E7" i="6"/>
  <c r="H22" i="6"/>
  <c r="S8" i="6"/>
  <c r="R20" i="6"/>
  <c r="I3" i="6"/>
  <c r="L13" i="6"/>
  <c r="K12" i="6"/>
  <c r="L9" i="6"/>
  <c r="AC33" i="6"/>
  <c r="Y9" i="6"/>
  <c r="S29" i="6"/>
  <c r="P59" i="6"/>
  <c r="I79" i="6"/>
  <c r="D85" i="6"/>
  <c r="L38" i="6"/>
  <c r="U10" i="6"/>
  <c r="AE30" i="6"/>
  <c r="O33" i="6"/>
  <c r="S46" i="6"/>
  <c r="F33" i="6"/>
  <c r="X58" i="6"/>
  <c r="K42" i="6"/>
  <c r="J53" i="6"/>
  <c r="E22" i="6"/>
  <c r="P35" i="6"/>
  <c r="C17" i="6"/>
  <c r="AE38" i="6"/>
  <c r="AD50" i="6"/>
  <c r="G48" i="6"/>
  <c r="AB58" i="6"/>
  <c r="N63" i="6"/>
  <c r="V3" i="6"/>
  <c r="C6" i="6"/>
  <c r="S38" i="6"/>
  <c r="T45" i="6"/>
  <c r="S59" i="6"/>
  <c r="G59" i="6"/>
  <c r="P78" i="6"/>
  <c r="V78" i="6"/>
  <c r="X4" i="6"/>
  <c r="L37" i="6"/>
  <c r="Q17" i="6"/>
  <c r="R40" i="6"/>
  <c r="V51" i="6"/>
  <c r="C51" i="6"/>
  <c r="X61" i="6"/>
  <c r="J67" i="6"/>
  <c r="AE24" i="6"/>
  <c r="X11" i="6"/>
  <c r="R75" i="6"/>
  <c r="K49" i="6"/>
  <c r="U23" i="6"/>
  <c r="N30" i="6"/>
  <c r="O45" i="6"/>
  <c r="T68" i="6"/>
  <c r="P8" i="6"/>
  <c r="E41" i="6"/>
  <c r="M70" i="6"/>
  <c r="M13" i="6"/>
  <c r="C42" i="6"/>
  <c r="P46" i="6"/>
  <c r="AC18" i="6"/>
  <c r="Y75" i="6"/>
  <c r="V13" i="6"/>
  <c r="E49" i="6"/>
  <c r="AB26" i="6"/>
  <c r="Y96" i="6"/>
  <c r="I108" i="6"/>
  <c r="F91" i="6"/>
  <c r="X88" i="6"/>
  <c r="R84" i="6"/>
  <c r="AC65" i="6"/>
  <c r="Y32" i="6"/>
  <c r="Q55" i="6"/>
  <c r="AA89" i="6"/>
  <c r="Q41" i="6"/>
  <c r="K45" i="6"/>
  <c r="C28" i="6"/>
  <c r="N8" i="6"/>
  <c r="N53" i="6"/>
  <c r="V46" i="6"/>
  <c r="AE88" i="6"/>
  <c r="L77" i="6"/>
  <c r="D98" i="6"/>
  <c r="E67" i="6"/>
  <c r="C12" i="6"/>
  <c r="P21" i="6"/>
  <c r="H7" i="6"/>
  <c r="Z7" i="6"/>
  <c r="J32" i="6"/>
  <c r="X95" i="6"/>
  <c r="D50" i="6"/>
  <c r="Z12" i="6"/>
  <c r="C10" i="6"/>
  <c r="AC59" i="6"/>
  <c r="X86" i="6"/>
  <c r="R10" i="6"/>
  <c r="Z33" i="6"/>
  <c r="T42" i="6"/>
  <c r="D17" i="6"/>
  <c r="Z50" i="6"/>
  <c r="V35" i="6"/>
  <c r="Y43" i="6"/>
  <c r="X40" i="6"/>
  <c r="E29" i="6"/>
  <c r="E25" i="6"/>
  <c r="S22" i="6"/>
  <c r="U39" i="6"/>
  <c r="H88" i="6"/>
  <c r="F30" i="6"/>
  <c r="AC51" i="6"/>
  <c r="D41" i="6"/>
  <c r="X52" i="6"/>
  <c r="AC64" i="6"/>
  <c r="D74" i="6"/>
  <c r="C44" i="6"/>
  <c r="R12" i="6"/>
  <c r="D56" i="6"/>
  <c r="Z80" i="6"/>
  <c r="O66" i="6"/>
  <c r="J88" i="6"/>
  <c r="AE86" i="6"/>
  <c r="C109" i="6"/>
  <c r="Y102" i="6"/>
  <c r="J49" i="6"/>
  <c r="H95" i="6"/>
  <c r="U88" i="6"/>
  <c r="H11" i="6"/>
  <c r="O38" i="6"/>
  <c r="V9" i="6"/>
  <c r="K99" i="6"/>
  <c r="Y61" i="6"/>
  <c r="AD11" i="6"/>
  <c r="Y88" i="6"/>
  <c r="P90" i="6"/>
  <c r="U37" i="6"/>
  <c r="S19" i="6"/>
  <c r="U25" i="6"/>
  <c r="AC46" i="6"/>
  <c r="AD84" i="6"/>
  <c r="AE78" i="6"/>
  <c r="S24" i="6"/>
  <c r="E38" i="6"/>
  <c r="T24" i="6"/>
  <c r="F14" i="6"/>
  <c r="V8" i="6"/>
  <c r="C96" i="6"/>
  <c r="AE90" i="6"/>
  <c r="O72" i="6"/>
  <c r="M7" i="6"/>
  <c r="J3" i="6"/>
  <c r="G17" i="6"/>
  <c r="G44" i="6"/>
  <c r="AB15" i="6"/>
  <c r="AC62" i="6"/>
  <c r="M36" i="6"/>
  <c r="I30" i="6"/>
  <c r="I75" i="6"/>
  <c r="AB45" i="6"/>
  <c r="AC28" i="6"/>
  <c r="AB30" i="6"/>
  <c r="H39" i="6"/>
  <c r="H3" i="6"/>
  <c r="X56" i="6"/>
  <c r="O4" i="6"/>
  <c r="F97" i="6"/>
  <c r="O19" i="6"/>
  <c r="E24" i="6"/>
  <c r="AE17" i="6"/>
  <c r="Z49" i="6"/>
  <c r="N76" i="6"/>
  <c r="Q20" i="6"/>
  <c r="AC50" i="6"/>
  <c r="AA13" i="6"/>
  <c r="T54" i="6"/>
  <c r="I39" i="6"/>
  <c r="S43" i="6"/>
  <c r="E21" i="6"/>
  <c r="Z28" i="6"/>
  <c r="AE26" i="6"/>
  <c r="N33" i="6"/>
  <c r="S20" i="6"/>
  <c r="C92" i="6"/>
  <c r="P3" i="6"/>
  <c r="X7" i="6"/>
  <c r="T6" i="6"/>
  <c r="AB23" i="6"/>
  <c r="AD9" i="6"/>
  <c r="N10" i="6"/>
  <c r="R18" i="6"/>
  <c r="H32" i="6"/>
  <c r="W41" i="6"/>
  <c r="K19" i="6"/>
  <c r="J16" i="6"/>
  <c r="S50" i="6"/>
  <c r="AE57" i="6"/>
  <c r="AB6" i="6"/>
  <c r="I15" i="6"/>
  <c r="F80" i="6"/>
  <c r="N50" i="6"/>
  <c r="D20" i="6"/>
  <c r="AC35" i="6"/>
  <c r="AC43" i="6"/>
  <c r="I10" i="6"/>
  <c r="AB74" i="6"/>
  <c r="G21" i="6"/>
  <c r="G37" i="6"/>
  <c r="E44" i="6"/>
  <c r="V31" i="6"/>
  <c r="P11" i="6"/>
  <c r="AD59" i="6"/>
  <c r="G24" i="6"/>
  <c r="Q91" i="6"/>
  <c r="Z23" i="6"/>
  <c r="V73" i="6"/>
  <c r="J96" i="6"/>
  <c r="F102" i="6"/>
  <c r="O48" i="6"/>
  <c r="I60" i="6"/>
  <c r="E5" i="6"/>
  <c r="S35" i="6"/>
  <c r="E23" i="6"/>
  <c r="F27" i="6"/>
  <c r="AD5" i="6"/>
  <c r="F39" i="6"/>
  <c r="F31" i="6"/>
  <c r="Y19" i="6"/>
  <c r="R51" i="6"/>
  <c r="K30" i="6"/>
  <c r="C34" i="6"/>
  <c r="I45" i="6"/>
  <c r="Q4" i="6"/>
  <c r="R7" i="6"/>
  <c r="AC29" i="6"/>
  <c r="AB57" i="6"/>
  <c r="N40" i="6"/>
  <c r="S10" i="6"/>
  <c r="V57" i="6"/>
  <c r="AD41" i="6"/>
  <c r="D27" i="6"/>
  <c r="N58" i="6"/>
  <c r="H91" i="6"/>
  <c r="G81" i="6"/>
  <c r="V82" i="6"/>
  <c r="L98" i="6"/>
  <c r="Q101" i="6"/>
  <c r="U13" i="6"/>
  <c r="AA7" i="6"/>
  <c r="O12" i="6"/>
  <c r="M3" i="6"/>
  <c r="M9" i="6"/>
  <c r="W3" i="6"/>
  <c r="U22" i="6"/>
  <c r="I8" i="6"/>
  <c r="P23" i="6"/>
  <c r="J6" i="6"/>
  <c r="G32" i="6"/>
  <c r="R28" i="6"/>
  <c r="N29" i="6"/>
  <c r="F70" i="6"/>
  <c r="AB35" i="6"/>
  <c r="M92" i="6"/>
  <c r="AC72" i="6"/>
  <c r="M5" i="6"/>
  <c r="U29" i="6"/>
  <c r="G26" i="6"/>
  <c r="H50" i="6"/>
  <c r="J64" i="6"/>
  <c r="E65" i="6"/>
  <c r="C35" i="6"/>
  <c r="G18" i="6"/>
  <c r="AC5" i="6"/>
  <c r="S27" i="6"/>
  <c r="I42" i="6"/>
  <c r="P41" i="6"/>
  <c r="O27" i="6"/>
  <c r="AD49" i="6"/>
  <c r="K32" i="6"/>
  <c r="L40" i="6"/>
  <c r="U11" i="6"/>
  <c r="T31" i="6"/>
  <c r="K35" i="6"/>
  <c r="AE47" i="6"/>
  <c r="T35" i="6"/>
  <c r="E60" i="6"/>
  <c r="Q43" i="6"/>
  <c r="F66" i="6"/>
  <c r="AC6" i="6"/>
  <c r="H28" i="6"/>
  <c r="L14" i="6"/>
  <c r="M42" i="6"/>
  <c r="P28" i="6"/>
  <c r="V50" i="6"/>
  <c r="AE34" i="6"/>
  <c r="Z42" i="6"/>
  <c r="N13" i="6"/>
  <c r="T10" i="6"/>
  <c r="P16" i="6"/>
  <c r="C89" i="6"/>
  <c r="Q53" i="6"/>
  <c r="AE6" i="6"/>
  <c r="R29" i="6"/>
  <c r="AD24" i="6"/>
  <c r="Y14" i="6"/>
  <c r="F13" i="6"/>
  <c r="X41" i="6"/>
  <c r="G56" i="6"/>
  <c r="Y41" i="6"/>
  <c r="S51" i="6"/>
  <c r="AA69" i="6"/>
  <c r="P14" i="6"/>
  <c r="M46" i="6"/>
  <c r="N42" i="6"/>
  <c r="AB56" i="6"/>
  <c r="AD7" i="6"/>
  <c r="H66" i="6"/>
  <c r="J102" i="6"/>
  <c r="K87" i="6"/>
  <c r="Q96" i="6"/>
  <c r="K51" i="6"/>
  <c r="AA9" i="6"/>
  <c r="Y74" i="6"/>
  <c r="T21" i="6"/>
  <c r="E30" i="6"/>
  <c r="AD21" i="6"/>
  <c r="O31" i="6"/>
  <c r="AD22" i="6"/>
  <c r="R43" i="6"/>
  <c r="Z31" i="6"/>
  <c r="AC47" i="6"/>
  <c r="V40" i="6"/>
  <c r="G42" i="6"/>
  <c r="D90" i="6"/>
  <c r="C79" i="6"/>
  <c r="V15" i="6"/>
  <c r="C23" i="6"/>
  <c r="G16" i="6"/>
  <c r="Z10" i="6"/>
  <c r="Z5" i="6"/>
  <c r="AC14" i="6"/>
  <c r="N31" i="6"/>
  <c r="I21" i="6"/>
  <c r="P25" i="6"/>
  <c r="H6" i="6"/>
  <c r="AA28" i="6"/>
  <c r="P71" i="6"/>
  <c r="AE41" i="6"/>
  <c r="X5" i="6"/>
  <c r="K47" i="6"/>
  <c r="I59" i="6"/>
  <c r="AE54" i="6"/>
  <c r="W48" i="6"/>
  <c r="Z79" i="6"/>
  <c r="Y37" i="6"/>
  <c r="V61" i="6"/>
  <c r="R34" i="6"/>
  <c r="G13" i="6"/>
  <c r="L48" i="6"/>
  <c r="H27" i="6"/>
  <c r="M90" i="6"/>
  <c r="X91" i="6"/>
  <c r="I72" i="6"/>
  <c r="K91" i="6"/>
  <c r="U67" i="6"/>
  <c r="H41" i="6"/>
  <c r="AB70" i="6"/>
  <c r="D30" i="6"/>
  <c r="L35" i="6"/>
  <c r="AB95" i="6"/>
  <c r="P81" i="6"/>
  <c r="P54" i="6"/>
  <c r="AC88" i="6"/>
  <c r="S73" i="6"/>
  <c r="T80" i="6"/>
  <c r="W88" i="6"/>
  <c r="D61" i="6"/>
  <c r="H76" i="6"/>
  <c r="E32" i="6"/>
  <c r="X44" i="6"/>
  <c r="O42" i="6"/>
  <c r="AD108" i="6"/>
  <c r="K34" i="6"/>
  <c r="X36" i="6"/>
  <c r="O105" i="6"/>
  <c r="D25" i="6"/>
  <c r="E43" i="6"/>
  <c r="W53" i="6"/>
  <c r="Y35" i="6"/>
  <c r="H30" i="6"/>
  <c r="AB87" i="6"/>
  <c r="X38" i="6"/>
  <c r="U17" i="6"/>
  <c r="Z36" i="6"/>
  <c r="E51" i="6"/>
  <c r="J11" i="6"/>
  <c r="U44" i="6"/>
  <c r="AC4" i="6"/>
  <c r="P60" i="6"/>
  <c r="P27" i="6"/>
  <c r="AE43" i="6"/>
  <c r="T30" i="6"/>
  <c r="S28" i="6"/>
  <c r="R63" i="6"/>
  <c r="P30" i="6"/>
  <c r="I13" i="6"/>
  <c r="AA31" i="6"/>
  <c r="Y55" i="6"/>
  <c r="P100" i="6"/>
  <c r="L22" i="6"/>
  <c r="V14" i="6"/>
  <c r="T25" i="6"/>
  <c r="V54" i="6"/>
  <c r="D19" i="6"/>
  <c r="U21" i="6"/>
  <c r="C22" i="6"/>
  <c r="Z72" i="6"/>
  <c r="T3" i="6"/>
  <c r="V22" i="6"/>
  <c r="Y87" i="6"/>
  <c r="N27" i="6"/>
  <c r="Q18" i="6"/>
  <c r="X27" i="6"/>
  <c r="I85" i="6"/>
  <c r="C55" i="6"/>
  <c r="Q58" i="6"/>
  <c r="C18" i="6"/>
  <c r="M24" i="6"/>
  <c r="L29" i="6"/>
  <c r="F63" i="6"/>
  <c r="AC16" i="6"/>
  <c r="W47" i="6"/>
  <c r="H10" i="6"/>
  <c r="X72" i="6"/>
  <c r="AB24" i="6"/>
  <c r="R49" i="6"/>
  <c r="AB55" i="6"/>
  <c r="M26" i="6"/>
  <c r="AD46" i="6"/>
  <c r="J58" i="6"/>
  <c r="G12" i="6"/>
  <c r="I24" i="6"/>
  <c r="X3" i="6"/>
  <c r="AD25" i="6"/>
  <c r="I18" i="6"/>
  <c r="E3" i="6"/>
  <c r="AA4" i="6"/>
  <c r="AC10" i="6"/>
  <c r="O28" i="6"/>
  <c r="AA24" i="6"/>
  <c r="S31" i="6"/>
  <c r="U58" i="6"/>
  <c r="AC25" i="6"/>
  <c r="F22" i="6"/>
  <c r="F55" i="6"/>
  <c r="M85" i="6"/>
  <c r="U19" i="6"/>
  <c r="C32" i="6"/>
  <c r="D22" i="6"/>
  <c r="K26" i="6"/>
  <c r="V6" i="6"/>
  <c r="AE42" i="6"/>
  <c r="J44" i="6"/>
  <c r="Z35" i="6"/>
  <c r="M38" i="6"/>
  <c r="AB13" i="6"/>
  <c r="O49" i="6"/>
  <c r="J48" i="6"/>
  <c r="AC23" i="6"/>
  <c r="O26" i="6"/>
  <c r="AB44" i="6"/>
  <c r="G28" i="6"/>
  <c r="I31" i="6"/>
  <c r="Q6" i="6"/>
  <c r="S7" i="6"/>
  <c r="Z97" i="6"/>
  <c r="N87" i="6"/>
  <c r="AA27" i="6"/>
  <c r="N52" i="6"/>
  <c r="O39" i="6"/>
  <c r="L15" i="6"/>
  <c r="F24" i="6"/>
  <c r="AC44" i="6"/>
  <c r="L6" i="6"/>
  <c r="Z19" i="6"/>
  <c r="N55" i="6"/>
  <c r="L83" i="6"/>
  <c r="V81" i="6"/>
  <c r="AC32" i="6"/>
  <c r="E66" i="6"/>
  <c r="P37" i="6"/>
  <c r="E9" i="6"/>
  <c r="Z15" i="6"/>
  <c r="X45" i="6"/>
  <c r="AC9" i="6"/>
  <c r="Q32" i="6"/>
  <c r="AD75" i="6"/>
  <c r="AC39" i="6"/>
  <c r="O52" i="6"/>
  <c r="Y20" i="6"/>
  <c r="AC42" i="6"/>
  <c r="M59" i="6"/>
  <c r="F38" i="6"/>
  <c r="T103" i="6"/>
  <c r="T79" i="6"/>
  <c r="AA81" i="6"/>
  <c r="AD80" i="6"/>
  <c r="Z13" i="6"/>
  <c r="I19" i="6"/>
  <c r="J23" i="6"/>
  <c r="Z25" i="6"/>
  <c r="V12" i="6"/>
  <c r="X8" i="6"/>
  <c r="C13" i="6"/>
  <c r="X17" i="6"/>
  <c r="S5" i="6"/>
  <c r="K8" i="6"/>
  <c r="W14" i="6"/>
  <c r="V27" i="6"/>
  <c r="W52" i="6"/>
  <c r="AE74" i="6"/>
  <c r="E75" i="6"/>
  <c r="P19" i="6"/>
  <c r="U32" i="6"/>
  <c r="R9" i="6"/>
  <c r="X28" i="6"/>
  <c r="F25" i="6"/>
  <c r="J25" i="6"/>
  <c r="Z56" i="6"/>
  <c r="AE31" i="6"/>
  <c r="Q72" i="6"/>
  <c r="AD58" i="6"/>
  <c r="AC19" i="6"/>
  <c r="I26" i="6"/>
  <c r="AD17" i="6"/>
  <c r="O22" i="6"/>
  <c r="M45" i="6"/>
  <c r="S55" i="6"/>
  <c r="AC53" i="6"/>
  <c r="C87" i="6"/>
  <c r="AA6" i="6"/>
  <c r="J30" i="6"/>
  <c r="Y26" i="6"/>
  <c r="AB50" i="6"/>
  <c r="AD66" i="6"/>
  <c r="F67" i="6"/>
  <c r="AA35" i="6"/>
  <c r="AA3" i="6"/>
  <c r="AA26" i="6"/>
  <c r="Q19" i="6"/>
  <c r="D23" i="6"/>
  <c r="AD45" i="6"/>
  <c r="P56" i="6"/>
  <c r="J55" i="6"/>
  <c r="R32" i="6"/>
  <c r="N3" i="6"/>
  <c r="I5" i="6"/>
  <c r="Z39" i="6"/>
  <c r="S16" i="6"/>
  <c r="J50" i="6"/>
  <c r="I69" i="6"/>
  <c r="V37" i="6"/>
  <c r="O41" i="6"/>
  <c r="Z54" i="6"/>
  <c r="F15" i="6"/>
  <c r="K33" i="6"/>
  <c r="H54" i="6"/>
  <c r="L47" i="6"/>
  <c r="X12" i="6"/>
  <c r="M40" i="6"/>
  <c r="AC34" i="6"/>
  <c r="M28" i="6"/>
  <c r="I47" i="6"/>
  <c r="AB40" i="6"/>
  <c r="S76" i="6"/>
  <c r="M27" i="6"/>
  <c r="T98" i="6"/>
  <c r="V75" i="6"/>
  <c r="F96" i="6"/>
  <c r="AE104" i="6"/>
  <c r="L50" i="6"/>
  <c r="P24" i="6"/>
  <c r="S44" i="6"/>
  <c r="I4" i="6"/>
  <c r="I57" i="6"/>
  <c r="S6" i="6"/>
  <c r="H20" i="6"/>
  <c r="H9" i="6"/>
  <c r="Q52" i="6"/>
  <c r="L28" i="6"/>
  <c r="V41" i="6"/>
  <c r="Q15" i="6"/>
  <c r="T18" i="6"/>
  <c r="P70" i="6"/>
  <c r="AC107" i="6"/>
  <c r="R14" i="6"/>
  <c r="O8" i="6"/>
  <c r="E6" i="6"/>
  <c r="V2" i="6"/>
  <c r="AC13" i="6"/>
  <c r="H14" i="6"/>
  <c r="I37" i="6"/>
  <c r="Y42" i="6"/>
  <c r="F53" i="6"/>
  <c r="N35" i="6"/>
  <c r="AB29" i="6"/>
  <c r="J86" i="6"/>
  <c r="R38" i="6"/>
  <c r="AB10" i="6"/>
  <c r="M34" i="6"/>
  <c r="T16" i="6"/>
  <c r="R44" i="6"/>
  <c r="AB11" i="6"/>
  <c r="AA36" i="6"/>
  <c r="H25" i="6"/>
  <c r="G22" i="6"/>
  <c r="S53" i="6"/>
  <c r="C77" i="6"/>
  <c r="AD4" i="6"/>
  <c r="L51" i="6"/>
  <c r="AA42" i="6"/>
  <c r="AE7" i="6"/>
  <c r="P94" i="6"/>
  <c r="AE48" i="6"/>
  <c r="J60" i="6"/>
  <c r="R108" i="6"/>
  <c r="AB7" i="6"/>
  <c r="Q45" i="6"/>
  <c r="AD28" i="6"/>
  <c r="T14" i="6"/>
  <c r="X105" i="6"/>
  <c r="D58" i="6"/>
  <c r="O88" i="6"/>
  <c r="AB84" i="6"/>
  <c r="V70" i="6"/>
  <c r="F82" i="6"/>
  <c r="P109" i="6"/>
  <c r="W89" i="6"/>
  <c r="U72" i="6"/>
  <c r="V86" i="6"/>
  <c r="D51" i="6"/>
  <c r="G54" i="6"/>
  <c r="I63" i="6"/>
  <c r="D44" i="6"/>
  <c r="AD61" i="6"/>
  <c r="AA34" i="6"/>
  <c r="R97" i="6"/>
  <c r="AD29" i="6"/>
  <c r="K5" i="6"/>
  <c r="P26" i="6"/>
  <c r="R50" i="6"/>
  <c r="T65" i="6"/>
  <c r="Y65" i="6"/>
  <c r="U35" i="6"/>
  <c r="AB14" i="6"/>
  <c r="J37" i="6"/>
  <c r="C11" i="6"/>
  <c r="Q30" i="6"/>
  <c r="M61" i="6"/>
  <c r="C94" i="6"/>
  <c r="H92" i="6"/>
  <c r="G39" i="6"/>
  <c r="Y21" i="6"/>
  <c r="S30" i="6"/>
  <c r="K6" i="6"/>
  <c r="E27" i="6"/>
  <c r="J51" i="6"/>
  <c r="J70" i="6"/>
  <c r="P68" i="6"/>
  <c r="D36" i="6"/>
  <c r="Y12" i="6"/>
  <c r="Y3" i="6"/>
  <c r="I6" i="6"/>
  <c r="Z38" i="6"/>
  <c r="J18" i="6"/>
  <c r="AA40" i="6"/>
  <c r="C52" i="6"/>
  <c r="W51" i="6"/>
  <c r="J62" i="6"/>
  <c r="G68" i="6"/>
  <c r="AA17" i="6"/>
  <c r="I12" i="6"/>
  <c r="S17" i="6"/>
  <c r="U51" i="6"/>
  <c r="Y84" i="6"/>
  <c r="S70" i="6"/>
  <c r="G5" i="6"/>
  <c r="R13" i="6"/>
  <c r="K43" i="6"/>
  <c r="F42" i="6"/>
  <c r="W77" i="6"/>
  <c r="W29" i="6"/>
  <c r="AA86" i="6"/>
  <c r="W24" i="6"/>
  <c r="X10" i="6"/>
  <c r="U7" i="6"/>
  <c r="V53" i="6"/>
  <c r="AE70" i="6"/>
  <c r="R53" i="6"/>
  <c r="H4" i="6"/>
  <c r="P40" i="6"/>
  <c r="F64" i="6"/>
  <c r="O77" i="6"/>
  <c r="Y73" i="6"/>
  <c r="AD14" i="6"/>
  <c r="C24" i="6"/>
  <c r="D62" i="6"/>
  <c r="H42" i="6"/>
  <c r="R33" i="6"/>
  <c r="E78" i="6"/>
  <c r="X106" i="6"/>
  <c r="Q74" i="6"/>
  <c r="AE100" i="6"/>
  <c r="U65" i="6"/>
  <c r="T67" i="6"/>
  <c r="Z88" i="6"/>
  <c r="U48" i="6"/>
  <c r="Y94" i="6"/>
  <c r="K71" i="6"/>
  <c r="E19" i="6"/>
  <c r="P18" i="6"/>
  <c r="N49" i="6"/>
  <c r="D47" i="6"/>
  <c r="Q57" i="6"/>
  <c r="AE91" i="6"/>
  <c r="N9" i="6"/>
  <c r="Y8" i="6"/>
  <c r="Q36" i="6"/>
  <c r="M31" i="6"/>
  <c r="S79" i="6"/>
  <c r="F5" i="6"/>
  <c r="R42" i="6"/>
  <c r="C59" i="6"/>
  <c r="AD47" i="6"/>
  <c r="AD71" i="6"/>
  <c r="V100" i="6"/>
  <c r="R45" i="6"/>
  <c r="F75" i="6"/>
  <c r="V109" i="6"/>
  <c r="J52" i="6"/>
  <c r="L80" i="6"/>
  <c r="X87" i="6"/>
  <c r="F72" i="6"/>
  <c r="W82" i="6"/>
  <c r="R106" i="6"/>
  <c r="I81" i="6"/>
  <c r="Y89" i="6"/>
  <c r="V60" i="6"/>
  <c r="Q92" i="6"/>
  <c r="AD91" i="6"/>
  <c r="AB34" i="6"/>
  <c r="H74" i="6"/>
  <c r="W67" i="6"/>
  <c r="AB109" i="6"/>
  <c r="I82" i="6"/>
  <c r="N70" i="6"/>
  <c r="Q95" i="6"/>
  <c r="N47" i="6"/>
  <c r="E73" i="6"/>
  <c r="Z100" i="6"/>
  <c r="E70" i="6"/>
  <c r="C97" i="6"/>
  <c r="AB47" i="6"/>
  <c r="R68" i="6"/>
  <c r="S83" i="6"/>
  <c r="W106" i="6"/>
  <c r="K109" i="6"/>
  <c r="W27" i="6"/>
  <c r="F73" i="6"/>
  <c r="O81" i="6"/>
  <c r="O3" i="6"/>
  <c r="X24" i="6"/>
  <c r="G9" i="6"/>
  <c r="AD30" i="6"/>
  <c r="L17" i="6"/>
  <c r="N20" i="6"/>
  <c r="U15" i="6"/>
  <c r="C62" i="6"/>
  <c r="W64" i="6"/>
  <c r="N67" i="6"/>
  <c r="L68" i="6"/>
  <c r="T93" i="6"/>
  <c r="AD102" i="6"/>
  <c r="T53" i="6"/>
  <c r="I68" i="6"/>
  <c r="R70" i="6"/>
  <c r="O85" i="6"/>
  <c r="N108" i="6"/>
  <c r="K13" i="6"/>
  <c r="E48" i="6"/>
  <c r="AE68" i="6"/>
  <c r="R105" i="6"/>
  <c r="Z57" i="6"/>
  <c r="AE97" i="6"/>
  <c r="R72" i="6"/>
  <c r="J33" i="6"/>
  <c r="L65" i="6"/>
  <c r="AB106" i="6"/>
  <c r="M95" i="6"/>
  <c r="AA5" i="6"/>
  <c r="V16" i="6"/>
  <c r="D37" i="6"/>
  <c r="C33" i="6"/>
  <c r="Q44" i="6"/>
  <c r="G45" i="6"/>
  <c r="AD53" i="6"/>
  <c r="N56" i="6"/>
  <c r="AB12" i="6"/>
  <c r="R3" i="6"/>
  <c r="G6" i="6"/>
  <c r="G93" i="6"/>
  <c r="P52" i="6"/>
  <c r="U52" i="6"/>
  <c r="L7" i="6"/>
  <c r="X16" i="6"/>
  <c r="F19" i="6"/>
  <c r="X18" i="6"/>
  <c r="I51" i="6"/>
  <c r="M25" i="6"/>
  <c r="Q68" i="6"/>
  <c r="H58" i="6"/>
  <c r="AC41" i="6"/>
  <c r="N39" i="6"/>
  <c r="X70" i="6"/>
  <c r="M53" i="6"/>
  <c r="Q46" i="6"/>
  <c r="L16" i="6"/>
  <c r="L31" i="6"/>
  <c r="E72" i="6"/>
  <c r="O51" i="6"/>
  <c r="U38" i="6"/>
  <c r="R31" i="6"/>
  <c r="J19" i="6"/>
  <c r="L53" i="6"/>
  <c r="O54" i="6"/>
  <c r="I34" i="6"/>
  <c r="F48" i="6"/>
  <c r="S94" i="6"/>
  <c r="C66" i="6"/>
  <c r="AD103" i="6"/>
  <c r="G63" i="6"/>
  <c r="X82" i="6"/>
  <c r="V59" i="6"/>
  <c r="U89" i="6"/>
  <c r="AC90" i="6"/>
  <c r="C56" i="6"/>
  <c r="X33" i="6"/>
  <c r="AB20" i="6"/>
  <c r="V32" i="6"/>
  <c r="I44" i="6"/>
  <c r="D53" i="6"/>
  <c r="Z11" i="6"/>
  <c r="E17" i="6"/>
  <c r="N5" i="6"/>
  <c r="F45" i="6"/>
  <c r="S39" i="6"/>
  <c r="J9" i="6"/>
  <c r="AD42" i="6"/>
  <c r="N54" i="6"/>
  <c r="I22" i="6"/>
  <c r="F29" i="6"/>
  <c r="N45" i="6"/>
  <c r="AB36" i="6"/>
  <c r="O29" i="6"/>
  <c r="AC82" i="6"/>
  <c r="L89" i="6"/>
  <c r="AB37" i="6"/>
  <c r="T29" i="6"/>
  <c r="W18" i="6"/>
  <c r="E46" i="6"/>
  <c r="I14" i="6"/>
  <c r="AC98" i="6"/>
  <c r="AC37" i="6"/>
  <c r="AA85" i="6"/>
  <c r="Y83" i="6"/>
  <c r="R15" i="6"/>
  <c r="M16" i="6"/>
  <c r="K9" i="6"/>
  <c r="V24" i="6"/>
  <c r="AA11" i="6"/>
  <c r="AD20" i="6"/>
  <c r="Y10" i="6"/>
  <c r="S9" i="6"/>
  <c r="S12" i="6"/>
  <c r="W35" i="6"/>
  <c r="C8" i="6"/>
  <c r="T11" i="6"/>
  <c r="M65" i="6"/>
  <c r="P48" i="6"/>
  <c r="Q47" i="6"/>
  <c r="F57" i="6"/>
  <c r="N12" i="6"/>
  <c r="F10" i="6"/>
  <c r="W15" i="6"/>
  <c r="AE27" i="6"/>
  <c r="G53" i="6"/>
  <c r="H77" i="6"/>
  <c r="R76" i="6"/>
  <c r="K20" i="6"/>
  <c r="AA32" i="6"/>
  <c r="N11" i="6"/>
  <c r="D29" i="6"/>
  <c r="O25" i="6"/>
  <c r="V25" i="6"/>
  <c r="J57" i="6"/>
  <c r="N32" i="6"/>
  <c r="AA73" i="6"/>
  <c r="R59" i="6"/>
  <c r="F6" i="6"/>
  <c r="L34" i="6"/>
  <c r="P29" i="6"/>
  <c r="U30" i="6"/>
  <c r="G74" i="6"/>
  <c r="M37" i="6"/>
  <c r="G43" i="6"/>
  <c r="W75" i="6"/>
  <c r="AE16" i="6"/>
  <c r="V29" i="6"/>
  <c r="D26" i="6"/>
  <c r="Q26" i="6"/>
  <c r="G58" i="6"/>
  <c r="F34" i="6"/>
  <c r="X76" i="6"/>
  <c r="AB62" i="6"/>
  <c r="AE3" i="6"/>
  <c r="R22" i="6"/>
  <c r="G7" i="6"/>
  <c r="Q28" i="6"/>
  <c r="Z14" i="6"/>
  <c r="U42" i="6"/>
  <c r="AB28" i="6"/>
  <c r="N51" i="6"/>
  <c r="AE35" i="6"/>
  <c r="Z43" i="6"/>
  <c r="AB18" i="6"/>
  <c r="I17" i="6"/>
  <c r="M22" i="6"/>
  <c r="R91" i="6"/>
  <c r="U49" i="6"/>
  <c r="Y54" i="6"/>
  <c r="U3" i="6"/>
  <c r="Y23" i="6"/>
  <c r="X9" i="6"/>
  <c r="S18" i="6"/>
  <c r="L52" i="6"/>
  <c r="U69" i="6"/>
  <c r="J71" i="6"/>
  <c r="N7" i="6"/>
  <c r="Y4" i="6"/>
  <c r="H23" i="6"/>
  <c r="S67" i="6"/>
  <c r="T44" i="6"/>
  <c r="AB68" i="6"/>
  <c r="J43" i="6"/>
  <c r="AD19" i="6"/>
  <c r="G25" i="6"/>
  <c r="H56" i="6"/>
  <c r="AD13" i="6"/>
  <c r="P15" i="6"/>
  <c r="F84" i="6"/>
  <c r="J54" i="6"/>
  <c r="P10" i="6"/>
  <c r="J7" i="6"/>
  <c r="L49" i="6"/>
  <c r="V101" i="6"/>
  <c r="I62" i="6"/>
  <c r="AA70" i="6"/>
  <c r="J89" i="6"/>
  <c r="AA65" i="6"/>
  <c r="T97" i="6"/>
  <c r="S108" i="6"/>
  <c r="U78" i="6"/>
  <c r="AA64" i="6"/>
  <c r="H33" i="6"/>
  <c r="X43" i="6"/>
  <c r="AB61" i="6"/>
  <c r="AE25" i="6"/>
  <c r="R92" i="6"/>
  <c r="W9" i="6"/>
  <c r="O32" i="6"/>
  <c r="AC40" i="6"/>
  <c r="C45" i="6"/>
  <c r="I77" i="6"/>
  <c r="W94" i="6"/>
  <c r="Q25" i="6"/>
  <c r="C9" i="6"/>
  <c r="P42" i="6"/>
  <c r="Z52" i="6"/>
  <c r="Z95" i="6"/>
  <c r="H93" i="6"/>
  <c r="Q48" i="6"/>
  <c r="U103" i="6"/>
  <c r="AA98" i="6"/>
  <c r="I54" i="6"/>
  <c r="AB81" i="6"/>
  <c r="X104" i="6"/>
  <c r="W98" i="6"/>
  <c r="S88" i="6"/>
  <c r="W54" i="6"/>
  <c r="Q97" i="6"/>
  <c r="O61" i="6"/>
  <c r="AD68" i="6"/>
  <c r="U68" i="6"/>
  <c r="N80" i="6"/>
  <c r="F47" i="6"/>
  <c r="I93" i="6"/>
  <c r="C91" i="6"/>
  <c r="W37" i="6"/>
  <c r="Z66" i="6"/>
  <c r="J106" i="6"/>
  <c r="AD40" i="6"/>
  <c r="R74" i="6"/>
  <c r="X81" i="6"/>
  <c r="M68" i="6"/>
  <c r="M89" i="6"/>
  <c r="S89" i="6"/>
  <c r="AA60" i="6"/>
  <c r="G86" i="6"/>
  <c r="X80" i="6"/>
  <c r="X63" i="6"/>
  <c r="P91" i="6"/>
  <c r="L27" i="6"/>
  <c r="V36" i="6"/>
  <c r="D38" i="6"/>
  <c r="AA39" i="6"/>
  <c r="W25" i="6"/>
  <c r="H45" i="6"/>
  <c r="X29" i="6"/>
  <c r="X54" i="6"/>
  <c r="K22" i="6"/>
  <c r="D94" i="6"/>
  <c r="E33" i="6"/>
  <c r="V97" i="6"/>
  <c r="G79" i="6"/>
  <c r="W84" i="6"/>
  <c r="Y103" i="6"/>
  <c r="W73" i="6"/>
  <c r="O104" i="6"/>
  <c r="AC77" i="6"/>
  <c r="M87" i="6"/>
  <c r="Q89" i="6"/>
  <c r="M50" i="6"/>
  <c r="N34" i="6"/>
  <c r="I33" i="6"/>
  <c r="E47" i="6"/>
  <c r="V74" i="6"/>
  <c r="H86" i="6"/>
  <c r="V85" i="6"/>
  <c r="S66" i="6"/>
  <c r="I65" i="6"/>
  <c r="T70" i="6"/>
  <c r="X107" i="6"/>
  <c r="J109" i="6"/>
  <c r="Z21" i="6"/>
  <c r="Y24" i="6"/>
  <c r="G34" i="6"/>
  <c r="L67" i="6"/>
  <c r="Q23" i="6"/>
  <c r="W43" i="6"/>
  <c r="R27" i="6"/>
  <c r="N37" i="6"/>
  <c r="Q39" i="6"/>
  <c r="J12" i="6"/>
  <c r="G40" i="6"/>
  <c r="AB52" i="6"/>
  <c r="T96" i="6"/>
  <c r="O46" i="6"/>
  <c r="AD23" i="6"/>
  <c r="E12" i="6"/>
  <c r="Y40" i="6"/>
  <c r="C39" i="6"/>
  <c r="H44" i="6"/>
  <c r="AC52" i="6"/>
  <c r="H46" i="6"/>
  <c r="W10" i="6"/>
  <c r="Y34" i="6"/>
  <c r="D32" i="6"/>
  <c r="R55" i="6"/>
  <c r="W71" i="6"/>
  <c r="AE55" i="6"/>
  <c r="F32" i="6"/>
  <c r="T40" i="6"/>
  <c r="AE19" i="6"/>
  <c r="T48" i="6"/>
  <c r="K15" i="6"/>
  <c r="U36" i="6"/>
  <c r="Y49" i="6"/>
  <c r="U34" i="6"/>
  <c r="Q22" i="6"/>
  <c r="C37" i="6"/>
  <c r="I90" i="6"/>
  <c r="U92" i="6"/>
  <c r="AB73" i="6"/>
  <c r="S60" i="6"/>
  <c r="X83" i="6"/>
  <c r="E97" i="6"/>
  <c r="Z83" i="6"/>
  <c r="T88" i="6"/>
  <c r="T82" i="6"/>
  <c r="J28" i="6"/>
  <c r="AD94" i="6"/>
  <c r="AB17" i="6"/>
  <c r="K38" i="6"/>
  <c r="AC49" i="6"/>
  <c r="AB67" i="6"/>
  <c r="P7" i="6"/>
  <c r="H36" i="6"/>
  <c r="P31" i="6"/>
  <c r="T38" i="6"/>
  <c r="E34" i="6"/>
  <c r="K7" i="6"/>
  <c r="Z44" i="6"/>
  <c r="Y39" i="6"/>
  <c r="N24" i="6"/>
  <c r="AC38" i="6"/>
  <c r="K74" i="6"/>
  <c r="Y47" i="6"/>
  <c r="C31" i="6"/>
  <c r="D75" i="6"/>
  <c r="O11" i="6"/>
  <c r="U57" i="6"/>
  <c r="F35" i="6"/>
  <c r="I25" i="6"/>
  <c r="C30" i="6"/>
  <c r="H29" i="6"/>
  <c r="I35" i="6"/>
  <c r="R78" i="6"/>
  <c r="X67" i="6"/>
  <c r="AD38" i="6"/>
  <c r="W19" i="6"/>
  <c r="N21" i="6"/>
  <c r="Q7" i="6"/>
  <c r="E11" i="6"/>
  <c r="L23" i="6"/>
  <c r="U5" i="6"/>
  <c r="I9" i="6"/>
  <c r="E4" i="6"/>
  <c r="AD8" i="6"/>
  <c r="S4" i="6"/>
  <c r="N16" i="6"/>
  <c r="X14" i="6"/>
  <c r="S34" i="6"/>
  <c r="X77" i="6"/>
  <c r="P22" i="6"/>
  <c r="AD48" i="6"/>
  <c r="O43" i="6"/>
  <c r="S23" i="6"/>
  <c r="T15" i="6"/>
  <c r="AB38" i="6"/>
  <c r="AB43" i="6"/>
  <c r="U53" i="6"/>
  <c r="U43" i="6"/>
  <c r="O79" i="6"/>
  <c r="C49" i="6"/>
  <c r="AC15" i="6"/>
  <c r="Z16" i="6"/>
  <c r="R5" i="6"/>
  <c r="H38" i="6"/>
  <c r="W44" i="6"/>
  <c r="F59" i="6"/>
  <c r="AA57" i="6"/>
  <c r="R77" i="6"/>
  <c r="AB77" i="6"/>
  <c r="M12" i="6"/>
  <c r="H18" i="6"/>
  <c r="T28" i="6"/>
  <c r="Q54" i="6"/>
  <c r="V84" i="6"/>
  <c r="S80" i="6"/>
  <c r="F21" i="6"/>
  <c r="V33" i="6"/>
  <c r="G4" i="6"/>
  <c r="C7" i="6"/>
  <c r="D40" i="6"/>
  <c r="R46" i="6"/>
  <c r="C60" i="6"/>
  <c r="Q60" i="6"/>
  <c r="W79" i="6"/>
  <c r="J80" i="6"/>
  <c r="T9" i="6"/>
  <c r="W22" i="6"/>
  <c r="G27" i="6"/>
  <c r="F20" i="6"/>
  <c r="M23" i="6"/>
  <c r="T46" i="6"/>
  <c r="AC56" i="6"/>
  <c r="T56" i="6"/>
  <c r="G33" i="6"/>
  <c r="M18" i="6"/>
  <c r="O17" i="6"/>
  <c r="O37" i="6"/>
  <c r="AA55" i="6"/>
  <c r="U50" i="6"/>
  <c r="Y62" i="6"/>
  <c r="Q34" i="6"/>
  <c r="W6" i="6"/>
  <c r="N6" i="6"/>
  <c r="AE12" i="6"/>
  <c r="Y22" i="6"/>
  <c r="I66" i="6"/>
  <c r="AE49" i="6"/>
  <c r="V55" i="6"/>
  <c r="L18" i="6"/>
  <c r="C40" i="6"/>
  <c r="D49" i="6"/>
  <c r="L46" i="6"/>
  <c r="P64" i="6"/>
  <c r="V48" i="6"/>
  <c r="AE21" i="6"/>
  <c r="Q33" i="6"/>
  <c r="O21" i="6"/>
  <c r="N75" i="6"/>
  <c r="U8" i="6"/>
  <c r="AC27" i="6"/>
  <c r="AE45" i="6"/>
  <c r="Y51" i="6"/>
  <c r="N22" i="6"/>
  <c r="F11" i="6"/>
  <c r="M64" i="6"/>
  <c r="AC95" i="6"/>
  <c r="AD62" i="6"/>
  <c r="AB82" i="6"/>
  <c r="V106" i="6"/>
  <c r="AC103" i="6"/>
  <c r="D66" i="6"/>
  <c r="AD96" i="6"/>
  <c r="N103" i="6"/>
  <c r="S13" i="6"/>
  <c r="AE11" i="6"/>
  <c r="F9" i="6"/>
  <c r="E45" i="6"/>
  <c r="L72" i="6"/>
  <c r="AE53" i="6"/>
  <c r="Q3" i="6"/>
  <c r="G19" i="6"/>
  <c r="D18" i="6"/>
  <c r="F58" i="6"/>
  <c r="W46" i="6"/>
  <c r="E76" i="6"/>
  <c r="L11" i="6"/>
  <c r="U41" i="6"/>
  <c r="AB41" i="6"/>
  <c r="M51" i="6"/>
  <c r="M81" i="6"/>
  <c r="D95" i="6"/>
  <c r="S56" i="6"/>
  <c r="AA87" i="6"/>
  <c r="S100" i="6"/>
  <c r="T62" i="6"/>
  <c r="X99" i="6"/>
  <c r="Y105" i="6"/>
  <c r="Y80" i="6"/>
  <c r="G92" i="6"/>
  <c r="AA52" i="6"/>
  <c r="AD77" i="6"/>
  <c r="R65" i="6"/>
  <c r="AB97" i="6"/>
  <c r="AD56" i="6"/>
  <c r="C64" i="6"/>
  <c r="C98" i="6"/>
  <c r="P69" i="6"/>
  <c r="S106" i="6"/>
  <c r="D33" i="6"/>
  <c r="G72" i="6"/>
  <c r="P88" i="6"/>
  <c r="X35" i="6"/>
  <c r="M75" i="6"/>
  <c r="W96" i="6"/>
  <c r="U47" i="6"/>
  <c r="Q77" i="6"/>
  <c r="AD109" i="6"/>
  <c r="Z67" i="6"/>
  <c r="V98" i="6"/>
  <c r="E69" i="6"/>
  <c r="AA76" i="6"/>
  <c r="P75" i="6"/>
  <c r="F54" i="6"/>
  <c r="W11" i="6"/>
  <c r="W30" i="6"/>
  <c r="AA45" i="6"/>
  <c r="N36" i="6"/>
  <c r="AE28" i="6"/>
  <c r="K17" i="6"/>
  <c r="I40" i="6"/>
  <c r="Y30" i="6"/>
  <c r="S47" i="6"/>
  <c r="J22" i="6"/>
  <c r="W100" i="6"/>
  <c r="N106" i="6"/>
  <c r="AE107" i="6"/>
  <c r="AD67" i="6"/>
  <c r="G105" i="6"/>
  <c r="V94" i="6"/>
  <c r="D82" i="6"/>
  <c r="X109" i="6"/>
  <c r="R93" i="6"/>
  <c r="AD99" i="6"/>
  <c r="E10" i="6"/>
  <c r="Y15" i="6"/>
  <c r="E57" i="6"/>
  <c r="L100" i="6"/>
  <c r="AB46" i="6"/>
  <c r="Y63" i="6"/>
  <c r="L5" i="6"/>
  <c r="D81" i="6"/>
  <c r="P83" i="6"/>
  <c r="AB104" i="6"/>
  <c r="AA103" i="6"/>
  <c r="Q59" i="6"/>
  <c r="T36" i="6"/>
  <c r="L82" i="6"/>
  <c r="K65" i="6"/>
  <c r="H40" i="6"/>
  <c r="F4" i="6"/>
  <c r="E15" i="6"/>
  <c r="D21" i="6"/>
  <c r="AA29" i="6"/>
  <c r="K56" i="6"/>
  <c r="U93" i="6"/>
  <c r="N86" i="6"/>
  <c r="AE22" i="6"/>
  <c r="W34" i="6"/>
  <c r="G41" i="6"/>
  <c r="P13" i="6"/>
  <c r="L19" i="6"/>
  <c r="K81" i="6"/>
  <c r="D52" i="6"/>
  <c r="W50" i="6"/>
  <c r="AD73" i="6"/>
  <c r="F3" i="6"/>
  <c r="N28" i="6"/>
  <c r="S3" i="6"/>
  <c r="AC24" i="6"/>
  <c r="X48" i="6"/>
  <c r="T59" i="6"/>
  <c r="T60" i="6"/>
  <c r="H34" i="6"/>
  <c r="AA10" i="6"/>
  <c r="AA33" i="6"/>
  <c r="Y6" i="6"/>
  <c r="M10" i="6"/>
  <c r="N62" i="6"/>
  <c r="X47" i="6"/>
  <c r="Z45" i="6"/>
  <c r="W49" i="6"/>
  <c r="S11" i="6"/>
  <c r="T22" i="6"/>
  <c r="AE58" i="6"/>
  <c r="M96" i="6"/>
  <c r="AD35" i="6"/>
  <c r="E96" i="6"/>
  <c r="X101" i="6"/>
  <c r="AB54" i="6"/>
  <c r="W74" i="6"/>
  <c r="I105" i="6"/>
  <c r="K83" i="6"/>
  <c r="T72" i="6"/>
  <c r="S86" i="6"/>
  <c r="AB105" i="6"/>
  <c r="P95" i="6"/>
  <c r="AA66" i="6"/>
  <c r="R96" i="6"/>
  <c r="H102" i="6"/>
  <c r="G97" i="6"/>
  <c r="S81" i="6"/>
  <c r="Z98" i="6"/>
  <c r="Z108" i="6"/>
  <c r="X103" i="6"/>
  <c r="O30" i="6"/>
  <c r="AC87" i="6"/>
  <c r="G50" i="6"/>
  <c r="I103" i="6"/>
  <c r="N97" i="6"/>
  <c r="W69" i="6"/>
  <c r="I64" i="6"/>
  <c r="K61" i="6"/>
  <c r="C106" i="6"/>
  <c r="N90" i="6"/>
  <c r="O97" i="6"/>
  <c r="I97" i="6"/>
  <c r="H52" i="6"/>
  <c r="X90" i="6"/>
  <c r="AD65" i="6"/>
  <c r="F109" i="6"/>
  <c r="M69" i="6"/>
  <c r="Q71" i="6"/>
  <c r="AB107" i="6"/>
  <c r="F89" i="6"/>
  <c r="H94" i="6"/>
  <c r="L86" i="6"/>
  <c r="Q66" i="6"/>
  <c r="G57" i="6"/>
  <c r="Y11" i="6"/>
  <c r="W12" i="6"/>
  <c r="V4" i="6"/>
  <c r="U26" i="6"/>
  <c r="X39" i="6"/>
  <c r="U85" i="6"/>
  <c r="H26" i="6"/>
  <c r="X46" i="6"/>
  <c r="AA30" i="6"/>
  <c r="D39" i="6"/>
  <c r="J73" i="6"/>
  <c r="X62" i="6"/>
  <c r="AD69" i="6"/>
  <c r="O65" i="6"/>
  <c r="AE83" i="6"/>
  <c r="F68" i="6"/>
  <c r="Q75" i="6"/>
  <c r="W108" i="6"/>
  <c r="AA62" i="6"/>
  <c r="AB102" i="6"/>
  <c r="X92" i="6"/>
  <c r="L59" i="6"/>
  <c r="R79" i="6"/>
  <c r="F108" i="6"/>
  <c r="I11" i="6"/>
  <c r="I43" i="6"/>
  <c r="O74" i="6"/>
  <c r="D87" i="6"/>
  <c r="O58" i="6"/>
  <c r="E93" i="6"/>
  <c r="L66" i="6"/>
  <c r="AA102" i="6"/>
  <c r="AD74" i="6"/>
  <c r="C105" i="6"/>
  <c r="Q83" i="6"/>
  <c r="Q50" i="6"/>
  <c r="AB48" i="6"/>
  <c r="V92" i="6"/>
  <c r="W87" i="6"/>
  <c r="AC75" i="6"/>
  <c r="AB93" i="6"/>
  <c r="AD90" i="6"/>
  <c r="AA61" i="6"/>
  <c r="T47" i="6"/>
  <c r="AB64" i="6"/>
  <c r="R61" i="6"/>
  <c r="L85" i="6"/>
  <c r="AE85" i="6"/>
  <c r="W5" i="6"/>
  <c r="E18" i="6"/>
  <c r="K4" i="6"/>
  <c r="U6" i="6"/>
  <c r="AB59" i="6"/>
  <c r="C46" i="6"/>
  <c r="L44" i="6"/>
  <c r="E53" i="6"/>
  <c r="P12" i="6"/>
  <c r="Z32" i="6"/>
  <c r="W17" i="6"/>
  <c r="F43" i="6"/>
  <c r="Y44" i="6"/>
  <c r="S25" i="6"/>
  <c r="D57" i="6"/>
  <c r="I48" i="6"/>
  <c r="J26" i="6"/>
  <c r="Q27" i="6"/>
  <c r="O40" i="6"/>
  <c r="T23" i="6"/>
  <c r="S54" i="6"/>
  <c r="R30" i="6"/>
  <c r="G65" i="6"/>
  <c r="J56" i="6"/>
  <c r="AD10" i="6"/>
  <c r="N15" i="6"/>
  <c r="X13" i="6"/>
  <c r="W32" i="6"/>
  <c r="O73" i="6"/>
  <c r="AA21" i="6"/>
  <c r="G47" i="6"/>
  <c r="AA38" i="6"/>
  <c r="X23" i="6"/>
  <c r="AE13" i="6"/>
  <c r="S75" i="6"/>
  <c r="R47" i="6"/>
  <c r="L56" i="6"/>
  <c r="AE101" i="6"/>
  <c r="M108" i="6"/>
  <c r="P57" i="6"/>
  <c r="K62" i="6"/>
  <c r="L81" i="6"/>
  <c r="R87" i="6"/>
  <c r="AE67" i="6"/>
  <c r="AD70" i="6"/>
  <c r="Z87" i="6"/>
  <c r="AB91" i="6"/>
  <c r="O59" i="6"/>
  <c r="E87" i="6"/>
  <c r="T95" i="6"/>
  <c r="Z41" i="6"/>
  <c r="I61" i="6"/>
  <c r="AE82" i="6"/>
  <c r="P55" i="6"/>
  <c r="AA53" i="6"/>
  <c r="AE50" i="6"/>
  <c r="Z85" i="6"/>
  <c r="AA95" i="6"/>
  <c r="AA99" i="6"/>
  <c r="W109" i="6"/>
  <c r="O60" i="6"/>
  <c r="AC68" i="6"/>
  <c r="Z89" i="6"/>
  <c r="O100" i="6"/>
  <c r="H75" i="6"/>
  <c r="N89" i="6"/>
  <c r="I94" i="6"/>
  <c r="AB51" i="6"/>
  <c r="T69" i="6"/>
  <c r="L84" i="6"/>
  <c r="J61" i="6"/>
  <c r="H98" i="6"/>
  <c r="AD63" i="6"/>
  <c r="U96" i="6"/>
  <c r="E94" i="6"/>
  <c r="AC58" i="6"/>
  <c r="T83" i="6"/>
  <c r="AB71" i="6"/>
  <c r="R73" i="6"/>
  <c r="AB5" i="6"/>
  <c r="Y16" i="6"/>
  <c r="K25" i="6"/>
  <c r="AD15" i="6"/>
  <c r="H21" i="6"/>
  <c r="R95" i="6"/>
  <c r="Y53" i="6"/>
  <c r="G52" i="6"/>
  <c r="S78" i="6"/>
  <c r="R81" i="6"/>
  <c r="U73" i="6"/>
  <c r="AE80" i="6"/>
  <c r="P53" i="6"/>
  <c r="AE87" i="6"/>
  <c r="H59" i="6"/>
  <c r="L94" i="6"/>
  <c r="V67" i="6"/>
  <c r="AB99" i="6"/>
  <c r="N107" i="6"/>
  <c r="V88" i="6"/>
  <c r="O69" i="6"/>
  <c r="O57" i="6"/>
  <c r="F50" i="6"/>
  <c r="R62" i="6"/>
  <c r="C15" i="6"/>
  <c r="Y57" i="6"/>
  <c r="K77" i="6"/>
  <c r="P97" i="6"/>
  <c r="K94" i="6"/>
  <c r="F103" i="6"/>
  <c r="D67" i="6"/>
  <c r="AB103" i="6"/>
  <c r="I83" i="6"/>
  <c r="U55" i="6"/>
  <c r="Q80" i="6"/>
  <c r="K69" i="6"/>
  <c r="AA90" i="6"/>
  <c r="N101" i="6"/>
  <c r="P101" i="6"/>
  <c r="G83" i="6"/>
  <c r="I88" i="6"/>
  <c r="D100" i="6"/>
  <c r="M106" i="6"/>
  <c r="AA50" i="6"/>
  <c r="E39" i="6"/>
  <c r="C69" i="6"/>
  <c r="AE44" i="6"/>
  <c r="I53" i="6"/>
  <c r="O7" i="6"/>
  <c r="C20" i="6"/>
  <c r="J40" i="6"/>
  <c r="Q12" i="6"/>
  <c r="X31" i="6"/>
  <c r="N69" i="6"/>
  <c r="T20" i="6"/>
  <c r="F46" i="6"/>
  <c r="AE39" i="6"/>
  <c r="V10" i="6"/>
  <c r="V18" i="6"/>
  <c r="K39" i="6"/>
  <c r="J35" i="6"/>
  <c r="W45" i="6"/>
  <c r="D46" i="6"/>
  <c r="X55" i="6"/>
  <c r="Y58" i="6"/>
  <c r="H12" i="6"/>
  <c r="V42" i="6"/>
  <c r="AE32" i="6"/>
  <c r="L42" i="6"/>
  <c r="O56" i="6"/>
  <c r="Z53" i="6"/>
  <c r="H71" i="6"/>
  <c r="H72" i="6"/>
  <c r="J13" i="6"/>
  <c r="AA41" i="6"/>
  <c r="U31" i="6"/>
  <c r="X34" i="6"/>
  <c r="P87" i="6"/>
  <c r="AE40" i="6"/>
  <c r="U56" i="6"/>
  <c r="Z22" i="6"/>
  <c r="Z17" i="6"/>
  <c r="E31" i="6"/>
  <c r="Z20" i="6"/>
  <c r="U24" i="6"/>
  <c r="Z65" i="6"/>
  <c r="H70" i="6"/>
  <c r="S102" i="6"/>
  <c r="R35" i="6"/>
  <c r="J74" i="6"/>
  <c r="AB72" i="6"/>
  <c r="AE108" i="6"/>
  <c r="I38" i="6"/>
  <c r="C83" i="6"/>
  <c r="D77" i="6"/>
  <c r="I109" i="6"/>
  <c r="T52" i="6"/>
  <c r="D97" i="6"/>
  <c r="W102" i="6"/>
  <c r="Z68" i="6"/>
  <c r="K70" i="6"/>
  <c r="S95" i="6"/>
  <c r="AB75" i="6"/>
  <c r="N98" i="6"/>
  <c r="Z78" i="6"/>
  <c r="AA101" i="6"/>
  <c r="D96" i="6"/>
  <c r="D106" i="6"/>
  <c r="S42" i="6"/>
  <c r="F69" i="6"/>
  <c r="AE72" i="6"/>
  <c r="D78" i="6"/>
  <c r="K97" i="6"/>
  <c r="G90" i="6"/>
  <c r="AA78" i="6"/>
  <c r="H90" i="6"/>
  <c r="AB53" i="6"/>
  <c r="D59" i="6"/>
  <c r="J82" i="6"/>
  <c r="L63" i="6"/>
  <c r="M107" i="6"/>
  <c r="C101" i="6"/>
  <c r="M62" i="6"/>
  <c r="L109" i="6"/>
  <c r="X69" i="6"/>
  <c r="R90" i="6"/>
  <c r="F41" i="6"/>
  <c r="C57" i="6"/>
  <c r="R19" i="6"/>
  <c r="N14" i="6"/>
  <c r="D35" i="6"/>
  <c r="AD18" i="6"/>
  <c r="V19" i="6"/>
  <c r="J46" i="6"/>
  <c r="Z26" i="6"/>
  <c r="AA58" i="6"/>
  <c r="C50" i="6"/>
  <c r="F61" i="6"/>
  <c r="Q64" i="6"/>
  <c r="K89" i="6"/>
  <c r="AE77" i="6"/>
  <c r="Y97" i="6"/>
  <c r="O96" i="6"/>
  <c r="P103" i="6"/>
  <c r="AD105" i="6"/>
  <c r="F86" i="6"/>
  <c r="Y100" i="6"/>
  <c r="G73" i="6"/>
  <c r="X98" i="6"/>
  <c r="N73" i="6"/>
  <c r="Q99" i="6"/>
  <c r="Q37" i="6"/>
  <c r="V17" i="6"/>
  <c r="G55" i="6"/>
  <c r="U79" i="6"/>
  <c r="K105" i="6"/>
  <c r="AC85" i="6"/>
  <c r="E50" i="6"/>
  <c r="I98" i="6"/>
  <c r="R52" i="6"/>
  <c r="F101" i="6"/>
  <c r="Q63" i="6"/>
  <c r="G88" i="6"/>
  <c r="I71" i="6"/>
  <c r="E98" i="6"/>
  <c r="AE73" i="6"/>
  <c r="X84" i="6"/>
  <c r="AC108" i="6"/>
  <c r="H73" i="6"/>
  <c r="T107" i="6"/>
  <c r="C104" i="6"/>
  <c r="V72" i="6"/>
  <c r="AA82" i="6"/>
  <c r="H108" i="6"/>
  <c r="AC71" i="6"/>
  <c r="C38" i="6"/>
  <c r="H85" i="6"/>
  <c r="P82" i="6"/>
  <c r="V104" i="6"/>
  <c r="T76" i="6"/>
  <c r="K93" i="6"/>
  <c r="Y108" i="6"/>
  <c r="AD32" i="6"/>
  <c r="L41" i="6"/>
  <c r="X66" i="6"/>
  <c r="H96" i="6"/>
  <c r="Q106" i="6"/>
  <c r="H82" i="6"/>
  <c r="Q102" i="6"/>
  <c r="V93" i="6"/>
  <c r="D83" i="6"/>
  <c r="S57" i="6"/>
  <c r="U62" i="6"/>
  <c r="T106" i="6"/>
  <c r="Z99" i="6"/>
  <c r="P85" i="6"/>
  <c r="E102" i="6"/>
  <c r="T87" i="6"/>
  <c r="AB94" i="6"/>
  <c r="Y72" i="6"/>
  <c r="E61" i="6"/>
  <c r="Z77" i="6"/>
  <c r="W105" i="6"/>
  <c r="AA96" i="6"/>
  <c r="N68" i="6"/>
  <c r="C76" i="6"/>
  <c r="H103" i="6"/>
  <c r="AA105" i="6"/>
  <c r="I84" i="6"/>
  <c r="W99" i="6"/>
  <c r="Q100" i="6"/>
  <c r="Z62" i="6"/>
  <c r="G80" i="6"/>
  <c r="W61" i="6"/>
  <c r="N93" i="6"/>
  <c r="AC97" i="6"/>
  <c r="J87" i="6"/>
  <c r="AD93" i="6"/>
  <c r="C86" i="6"/>
  <c r="C48" i="6"/>
  <c r="R80" i="6"/>
  <c r="I70" i="6"/>
  <c r="Z6" i="6"/>
  <c r="U9" i="6"/>
  <c r="M30" i="6"/>
  <c r="K18" i="6"/>
  <c r="L45" i="6"/>
  <c r="Y31" i="6"/>
  <c r="N57" i="6"/>
  <c r="N41" i="6"/>
  <c r="D65" i="6"/>
  <c r="AC81" i="6"/>
  <c r="F104" i="6"/>
  <c r="M76" i="6"/>
  <c r="AC92" i="6"/>
  <c r="AD107" i="6"/>
  <c r="X32" i="6"/>
  <c r="S40" i="6"/>
  <c r="J65" i="6"/>
  <c r="AE96" i="6"/>
  <c r="J105" i="6"/>
  <c r="U81" i="6"/>
  <c r="C102" i="6"/>
  <c r="O93" i="6"/>
  <c r="O35" i="6"/>
  <c r="K46" i="6"/>
  <c r="AA74" i="6"/>
  <c r="O67" i="6"/>
  <c r="J104" i="6"/>
  <c r="F88" i="6"/>
  <c r="S107" i="6"/>
  <c r="E99" i="6"/>
  <c r="M55" i="6"/>
  <c r="H63" i="6"/>
  <c r="F65" i="6"/>
  <c r="O82" i="6"/>
  <c r="D80" i="6"/>
  <c r="AD87" i="6"/>
  <c r="AD106" i="6"/>
  <c r="X49" i="6"/>
  <c r="AA72" i="6"/>
  <c r="J76" i="6"/>
  <c r="S63" i="6"/>
  <c r="K82" i="6"/>
  <c r="O92" i="6"/>
  <c r="Z101" i="6"/>
  <c r="U77" i="6"/>
  <c r="D63" i="6"/>
  <c r="W101" i="6"/>
  <c r="G103" i="6"/>
  <c r="AA83" i="6"/>
  <c r="P66" i="6"/>
  <c r="R99" i="6"/>
  <c r="P36" i="6"/>
  <c r="F77" i="6"/>
  <c r="F74" i="6"/>
  <c r="AA54" i="6"/>
  <c r="G106" i="6"/>
  <c r="L71" i="6"/>
  <c r="AC93" i="6"/>
  <c r="K67" i="6"/>
  <c r="H83" i="6"/>
  <c r="T92" i="6"/>
  <c r="S87" i="6"/>
  <c r="E90" i="6"/>
  <c r="O86" i="6"/>
  <c r="AE89" i="6"/>
  <c r="AB89" i="6"/>
  <c r="Q61" i="6"/>
  <c r="M82" i="6"/>
  <c r="H64" i="6"/>
  <c r="O106" i="6"/>
  <c r="M99" i="6"/>
  <c r="AE52" i="6"/>
  <c r="V87" i="6"/>
  <c r="L54" i="6"/>
  <c r="AA80" i="6"/>
  <c r="X96" i="6"/>
  <c r="AE84" i="6"/>
  <c r="V103" i="6"/>
  <c r="W40" i="6"/>
  <c r="K57" i="6"/>
  <c r="U46" i="6"/>
  <c r="V80" i="6"/>
  <c r="E88" i="6"/>
  <c r="H101" i="6"/>
  <c r="L96" i="6"/>
  <c r="AB90" i="6"/>
  <c r="AC45" i="6"/>
  <c r="N66" i="6"/>
  <c r="M52" i="6"/>
  <c r="U94" i="6"/>
  <c r="V96" i="6"/>
  <c r="Y99" i="6"/>
  <c r="O101" i="6"/>
  <c r="AC96" i="6"/>
  <c r="R86" i="6"/>
  <c r="AA93" i="6"/>
  <c r="S72" i="6"/>
  <c r="AB60" i="6"/>
  <c r="U108" i="6"/>
  <c r="N105" i="6"/>
  <c r="N96" i="6"/>
  <c r="I67" i="6"/>
  <c r="K68" i="6"/>
  <c r="P99" i="6"/>
  <c r="C71" i="6"/>
  <c r="T104" i="6"/>
  <c r="S104" i="6"/>
  <c r="P47" i="6"/>
  <c r="P76" i="6"/>
  <c r="W76" i="6"/>
  <c r="M83" i="6"/>
  <c r="D102" i="6"/>
  <c r="P62" i="6"/>
  <c r="R83" i="6"/>
  <c r="G95" i="6"/>
  <c r="AA59" i="6"/>
  <c r="AB65" i="6"/>
  <c r="AD78" i="6"/>
  <c r="W91" i="6"/>
  <c r="E91" i="6"/>
  <c r="J93" i="6"/>
  <c r="L58" i="6"/>
  <c r="E83" i="6"/>
  <c r="E68" i="6"/>
  <c r="AA88" i="6"/>
  <c r="F95" i="6"/>
  <c r="W13" i="6"/>
  <c r="AB3" i="6"/>
  <c r="C29" i="6"/>
  <c r="R25" i="6"/>
  <c r="P49" i="6"/>
  <c r="S62" i="6"/>
  <c r="Z63" i="6"/>
  <c r="T34" i="6"/>
  <c r="N46" i="6"/>
  <c r="I80" i="6"/>
  <c r="H87" i="6"/>
  <c r="X100" i="6"/>
  <c r="J95" i="6"/>
  <c r="O90" i="6"/>
  <c r="V45" i="6"/>
  <c r="Q65" i="6"/>
  <c r="T51" i="6"/>
  <c r="Y93" i="6"/>
  <c r="I96" i="6"/>
  <c r="N99" i="6"/>
  <c r="E101" i="6"/>
  <c r="G96" i="6"/>
  <c r="Q51" i="6"/>
  <c r="E82" i="6"/>
  <c r="L57" i="6"/>
  <c r="O62" i="6"/>
  <c r="AA104" i="6"/>
  <c r="AE98" i="6"/>
  <c r="J85" i="6"/>
  <c r="J101" i="6"/>
  <c r="Q49" i="6"/>
  <c r="V71" i="6"/>
  <c r="Z75" i="6"/>
  <c r="M63" i="6"/>
  <c r="C82" i="6"/>
  <c r="U91" i="6"/>
  <c r="S101" i="6"/>
  <c r="AE76" i="6"/>
  <c r="L75" i="6"/>
  <c r="X108" i="6"/>
  <c r="Q73" i="6"/>
  <c r="U84" i="6"/>
  <c r="X102" i="6"/>
  <c r="X53" i="6"/>
  <c r="L88" i="6"/>
  <c r="AE99" i="6"/>
  <c r="K106" i="6"/>
  <c r="AE59" i="6"/>
  <c r="AC84" i="6"/>
  <c r="M104" i="6"/>
  <c r="W92" i="6"/>
  <c r="V56" i="6"/>
  <c r="W65" i="6"/>
  <c r="L90" i="6"/>
  <c r="H61" i="6"/>
  <c r="F99" i="6"/>
  <c r="R102" i="6"/>
  <c r="H57" i="6"/>
  <c r="AA91" i="6"/>
  <c r="N81" i="6"/>
  <c r="AE106" i="6"/>
  <c r="M84" i="6"/>
  <c r="E89" i="6"/>
  <c r="Z96" i="6"/>
  <c r="P92" i="6"/>
  <c r="W68" i="6"/>
  <c r="Q78" i="6"/>
  <c r="J39" i="6"/>
  <c r="L93" i="6"/>
  <c r="P74" i="6"/>
  <c r="Z76" i="6"/>
  <c r="H79" i="6"/>
  <c r="X68" i="6"/>
  <c r="G89" i="6"/>
  <c r="E81" i="6"/>
  <c r="W78" i="6"/>
  <c r="L87" i="6"/>
  <c r="T105" i="6"/>
  <c r="R67" i="6"/>
  <c r="F60" i="6"/>
  <c r="U70" i="6"/>
  <c r="H67" i="6"/>
  <c r="Q87" i="6"/>
  <c r="O84" i="6"/>
  <c r="M91" i="6"/>
  <c r="R109" i="6"/>
  <c r="L78" i="6"/>
  <c r="P67" i="6"/>
  <c r="P80" i="6"/>
  <c r="AB69" i="6"/>
  <c r="O95" i="6"/>
  <c r="X94" i="6"/>
  <c r="U98" i="6"/>
  <c r="AC109" i="6"/>
  <c r="AC66" i="6"/>
  <c r="D68" i="6"/>
  <c r="D99" i="6"/>
  <c r="Z70" i="6"/>
  <c r="M103" i="6"/>
  <c r="H104" i="6"/>
  <c r="H47" i="6"/>
  <c r="F76" i="6"/>
  <c r="V68" i="6"/>
  <c r="J107" i="6"/>
  <c r="O89" i="6"/>
  <c r="T81" i="6"/>
  <c r="G100" i="6"/>
  <c r="G87" i="6"/>
  <c r="S58" i="6"/>
  <c r="K84" i="6"/>
  <c r="G91" i="6"/>
  <c r="D71" i="6"/>
  <c r="W70" i="6"/>
  <c r="C99" i="6"/>
  <c r="S92" i="6"/>
  <c r="Y36" i="6"/>
  <c r="O76" i="6"/>
  <c r="U107" i="6"/>
  <c r="T99" i="6"/>
  <c r="AE61" i="6"/>
  <c r="R107" i="6"/>
  <c r="S68" i="6"/>
  <c r="J90" i="6"/>
  <c r="I74" i="6"/>
  <c r="S99" i="6"/>
  <c r="AB83" i="6"/>
  <c r="AC11" i="6"/>
  <c r="AD3" i="6"/>
  <c r="F28" i="6"/>
  <c r="E42" i="6"/>
  <c r="O24" i="6"/>
  <c r="AC55" i="6"/>
  <c r="G31" i="6"/>
  <c r="AA67" i="6"/>
  <c r="M58" i="6"/>
  <c r="D70" i="6"/>
  <c r="AE66" i="6"/>
  <c r="I87" i="6"/>
  <c r="G84" i="6"/>
  <c r="D91" i="6"/>
  <c r="H109" i="6"/>
  <c r="V77" i="6"/>
  <c r="C67" i="6"/>
  <c r="AC79" i="6"/>
  <c r="V69" i="6"/>
  <c r="AE94" i="6"/>
  <c r="O91" i="6"/>
  <c r="X97" i="6"/>
  <c r="N109" i="6"/>
  <c r="K54" i="6"/>
  <c r="N84" i="6"/>
  <c r="AC91" i="6"/>
  <c r="M72" i="6"/>
  <c r="G109" i="6"/>
  <c r="W107" i="6"/>
  <c r="E105" i="6"/>
  <c r="AD95" i="6"/>
  <c r="L76" i="6"/>
  <c r="Z74" i="6"/>
  <c r="G107" i="6"/>
  <c r="K73" i="6"/>
  <c r="H84" i="6"/>
  <c r="O102" i="6"/>
  <c r="O53" i="6"/>
  <c r="I86" i="6"/>
  <c r="X75" i="6"/>
  <c r="C84" i="6"/>
  <c r="U102" i="6"/>
  <c r="Y90" i="6"/>
  <c r="S105" i="6"/>
  <c r="R56" i="6"/>
  <c r="V64" i="6"/>
  <c r="G78" i="6"/>
  <c r="AB85" i="6"/>
  <c r="W55" i="6"/>
  <c r="Y81" i="6"/>
  <c r="T89" i="6"/>
  <c r="Y107" i="6"/>
  <c r="M48" i="6"/>
  <c r="G70" i="6"/>
  <c r="V105" i="6"/>
  <c r="V99" i="6"/>
  <c r="U75" i="6"/>
  <c r="L101" i="6"/>
  <c r="C88" i="6"/>
  <c r="G102" i="6"/>
  <c r="R103" i="6"/>
  <c r="L73" i="6"/>
  <c r="C68" i="6"/>
  <c r="N78" i="6"/>
  <c r="W97" i="6"/>
  <c r="M109" i="6"/>
  <c r="N65" i="6"/>
  <c r="L107" i="6"/>
  <c r="L92" i="6"/>
  <c r="L70" i="6"/>
  <c r="N61" i="6"/>
  <c r="D92" i="6"/>
  <c r="Y86" i="6"/>
  <c r="P96" i="6"/>
  <c r="K76" i="6"/>
  <c r="S84" i="6"/>
  <c r="Z103" i="6"/>
  <c r="E92" i="6"/>
  <c r="F106" i="6"/>
  <c r="AB19" i="6"/>
  <c r="AE92" i="6"/>
  <c r="U74" i="6"/>
  <c r="Z84" i="6"/>
  <c r="AC100" i="6"/>
  <c r="U109" i="6"/>
  <c r="U61" i="6"/>
  <c r="D86" i="6"/>
  <c r="H106" i="6"/>
  <c r="W93" i="6"/>
  <c r="Q76" i="6"/>
  <c r="V91" i="6"/>
  <c r="E95" i="6"/>
  <c r="I52" i="6"/>
  <c r="X78" i="6"/>
  <c r="P86" i="6"/>
  <c r="K104" i="6"/>
  <c r="C73" i="6"/>
  <c r="P72" i="6"/>
  <c r="Z107" i="6"/>
  <c r="S82" i="6"/>
  <c r="V66" i="6"/>
  <c r="AC89" i="6"/>
  <c r="I100" i="6"/>
  <c r="C108" i="6"/>
  <c r="I78" i="6"/>
  <c r="G71" i="6"/>
  <c r="J79" i="6"/>
  <c r="AB92" i="6"/>
  <c r="N83" i="6"/>
  <c r="Y101" i="6"/>
  <c r="S93" i="6"/>
  <c r="D60" i="6"/>
  <c r="AB63" i="6"/>
  <c r="X79" i="6"/>
  <c r="S109" i="6"/>
  <c r="W86" i="6"/>
  <c r="Y104" i="6"/>
  <c r="E77" i="6"/>
  <c r="M88" i="6"/>
  <c r="R71" i="6"/>
  <c r="W103" i="6"/>
  <c r="I102" i="6"/>
  <c r="E103" i="6"/>
  <c r="M94" i="6"/>
  <c r="AD57" i="6"/>
  <c r="N91" i="6"/>
  <c r="C85" i="6"/>
  <c r="Q67" i="6"/>
  <c r="J92" i="6"/>
  <c r="P102" i="6"/>
  <c r="Q109" i="6"/>
  <c r="K92" i="6"/>
  <c r="G69" i="6"/>
  <c r="L97" i="6"/>
  <c r="D107" i="6"/>
  <c r="AC54" i="6"/>
  <c r="Z91" i="6"/>
  <c r="M77" i="6"/>
  <c r="N85" i="6"/>
  <c r="E106" i="6"/>
  <c r="Z92" i="6"/>
  <c r="H107" i="6"/>
  <c r="C58" i="6"/>
  <c r="J68" i="6"/>
  <c r="M66" i="6"/>
  <c r="X85" i="6"/>
  <c r="Z82" i="6"/>
  <c r="C90" i="6"/>
  <c r="AA107" i="6"/>
  <c r="J47" i="6"/>
  <c r="Y67" i="6"/>
  <c r="C74" i="6"/>
  <c r="L62" i="6"/>
  <c r="K80" i="6"/>
  <c r="N88" i="6"/>
  <c r="L99" i="6"/>
  <c r="R64" i="6"/>
  <c r="S65" i="6"/>
  <c r="I95" i="6"/>
  <c r="AE69" i="6"/>
  <c r="M101" i="6"/>
  <c r="AB108" i="6"/>
  <c r="R69" i="6"/>
  <c r="N100" i="6"/>
  <c r="O71" i="6"/>
  <c r="V108" i="6"/>
  <c r="H105" i="6"/>
  <c r="V79" i="6"/>
  <c r="H43" i="6"/>
  <c r="AC60" i="6"/>
  <c r="F49" i="6"/>
  <c r="Q85" i="6"/>
  <c r="L104" i="6"/>
  <c r="AC106" i="6"/>
  <c r="R85" i="6"/>
  <c r="T101" i="6"/>
  <c r="G101" i="6"/>
  <c r="G62" i="6"/>
  <c r="AE93" i="6"/>
  <c r="S98" i="6"/>
  <c r="AB39" i="6"/>
  <c r="J94" i="6"/>
  <c r="O80" i="6"/>
  <c r="Y91" i="6"/>
  <c r="Y95" i="6"/>
  <c r="AB86" i="6"/>
  <c r="G94" i="6"/>
  <c r="P61" i="6"/>
  <c r="K98" i="6"/>
  <c r="J83" i="6"/>
  <c r="AC104" i="6"/>
  <c r="AC94" i="6"/>
  <c r="AA56" i="6"/>
  <c r="AE64" i="6"/>
  <c r="X65" i="6"/>
  <c r="D84" i="6"/>
  <c r="H81" i="6"/>
  <c r="D89" i="6"/>
  <c r="AA108" i="6"/>
  <c r="AA46" i="6"/>
  <c r="T90" i="6"/>
  <c r="AD60" i="6"/>
  <c r="E63" i="6"/>
  <c r="D79" i="6"/>
  <c r="K86" i="6"/>
  <c r="W56" i="6"/>
  <c r="F83" i="6"/>
  <c r="W90" i="6"/>
  <c r="J108" i="6"/>
  <c r="M93" i="6"/>
  <c r="AE79" i="6"/>
  <c r="L91" i="6"/>
  <c r="Z93" i="6"/>
  <c r="T86" i="6"/>
  <c r="Q93" i="6"/>
  <c r="AD52" i="6"/>
  <c r="K64" i="6"/>
  <c r="J78" i="6"/>
  <c r="L105" i="6"/>
  <c r="AA97" i="6"/>
  <c r="E79" i="6"/>
  <c r="S97" i="6"/>
  <c r="U90" i="6"/>
  <c r="F92" i="6"/>
  <c r="Z59" i="6"/>
  <c r="V63" i="6"/>
  <c r="K79" i="6"/>
  <c r="T108" i="6"/>
  <c r="Q86" i="6"/>
  <c r="Q104" i="6"/>
  <c r="C47" i="6"/>
  <c r="T66" i="6"/>
  <c r="Z73" i="6"/>
  <c r="F62" i="6"/>
  <c r="AA79" i="6"/>
  <c r="O108" i="6"/>
  <c r="AB98" i="6"/>
  <c r="U63" i="6"/>
  <c r="S64" i="6"/>
  <c r="AA94" i="6"/>
  <c r="Y69" i="6"/>
  <c r="AB100" i="6"/>
  <c r="E108" i="6"/>
  <c r="E40" i="6"/>
  <c r="D64" i="6"/>
  <c r="C95" i="6"/>
  <c r="G104" i="6"/>
  <c r="AB80" i="6"/>
  <c r="K101" i="6"/>
  <c r="I92" i="6"/>
  <c r="T8" i="6"/>
  <c r="H99" i="6"/>
  <c r="T84" i="6"/>
  <c r="AC105" i="6"/>
  <c r="N95" i="6"/>
  <c r="X57" i="6"/>
  <c r="M67" i="6"/>
  <c r="G66" i="6"/>
  <c r="AA84" i="6"/>
  <c r="R82" i="6"/>
  <c r="X89" i="6"/>
  <c r="O109" i="6"/>
  <c r="AE51" i="6"/>
  <c r="AE75" i="6"/>
  <c r="K78" i="6"/>
  <c r="T64" i="6"/>
  <c r="S85" i="6"/>
  <c r="K96" i="6"/>
  <c r="D104" i="6"/>
  <c r="K72" i="6"/>
  <c r="C72" i="6"/>
  <c r="AC102" i="6"/>
  <c r="J72" i="6"/>
  <c r="G82" i="6"/>
  <c r="O107" i="6"/>
  <c r="D45" i="6"/>
  <c r="W72" i="6"/>
  <c r="H65" i="6"/>
  <c r="AD101" i="6"/>
  <c r="U86" i="6"/>
  <c r="D109" i="6"/>
  <c r="M98" i="6"/>
  <c r="Q81" i="6"/>
  <c r="J66" i="6"/>
  <c r="I89" i="6"/>
  <c r="AD98" i="6"/>
  <c r="C107" i="6"/>
  <c r="Y76" i="6"/>
  <c r="AC69" i="6"/>
  <c r="M78" i="6"/>
  <c r="F90" i="6"/>
  <c r="Q82" i="6"/>
  <c r="I101" i="6"/>
  <c r="K75" i="6"/>
  <c r="S71" i="6"/>
  <c r="Q62" i="6"/>
  <c r="AA75" i="6"/>
  <c r="T77" i="6"/>
  <c r="P84" i="6"/>
  <c r="D103" i="6"/>
  <c r="W63" i="6"/>
  <c r="G85" i="6"/>
  <c r="U95" i="6"/>
  <c r="E55" i="6"/>
  <c r="F100" i="6"/>
  <c r="G108" i="6"/>
  <c r="Y64" i="6"/>
  <c r="D69" i="6"/>
  <c r="R89" i="6"/>
  <c r="AA109" i="6"/>
  <c r="AD76" i="6"/>
  <c r="C65" i="6"/>
  <c r="H97" i="6"/>
  <c r="C100" i="6"/>
  <c r="AD97" i="6"/>
  <c r="P104" i="6"/>
  <c r="U104" i="6"/>
  <c r="U97" i="6"/>
  <c r="X50" i="6"/>
  <c r="X73" i="6"/>
  <c r="G77" i="6"/>
  <c r="AE63" i="6"/>
  <c r="AC83" i="6"/>
  <c r="D93" i="6"/>
  <c r="Z102" i="6"/>
  <c r="AE33" i="6"/>
  <c r="D43" i="6"/>
  <c r="C70" i="6"/>
  <c r="W62" i="6"/>
  <c r="U71" i="6"/>
  <c r="Q105" i="6"/>
  <c r="AB49" i="6"/>
  <c r="AA92" i="6"/>
  <c r="G99" i="6"/>
  <c r="AC63" i="6"/>
  <c r="AA68" i="6"/>
  <c r="R88" i="6"/>
  <c r="Z109" i="6"/>
  <c r="U76" i="6"/>
  <c r="Z64" i="6"/>
  <c r="S96" i="6"/>
  <c r="P73" i="6"/>
  <c r="Q103" i="6"/>
  <c r="N82" i="6"/>
  <c r="R104" i="6"/>
  <c r="I91" i="6"/>
  <c r="AD104" i="6"/>
  <c r="P98" i="6"/>
  <c r="AD92" i="6"/>
  <c r="Y46" i="6"/>
  <c r="K66" i="6"/>
  <c r="T73" i="6"/>
  <c r="AC61" i="6"/>
  <c r="N79" i="6"/>
  <c r="D108" i="6"/>
  <c r="O98" i="6"/>
  <c r="AE71" i="6"/>
  <c r="Y71" i="6"/>
  <c r="K102" i="6"/>
  <c r="D72" i="6"/>
  <c r="W81" i="6"/>
  <c r="F107" i="6"/>
  <c r="K44" i="6"/>
  <c r="Z71" i="6"/>
  <c r="AD64" i="6"/>
  <c r="R101" i="6"/>
  <c r="M86" i="6"/>
  <c r="P108" i="6"/>
  <c r="AB96" i="6"/>
  <c r="G64" i="6"/>
  <c r="F51" i="6"/>
  <c r="S90" i="6"/>
  <c r="R94" i="6"/>
  <c r="Q98" i="6"/>
  <c r="K100" i="6"/>
  <c r="V95" i="6"/>
  <c r="AE60" i="6"/>
  <c r="Y98" i="6"/>
  <c r="I106" i="6"/>
  <c r="U105" i="6"/>
  <c r="F98" i="6"/>
  <c r="X51" i="6"/>
  <c r="M74" i="6"/>
  <c r="AA77" i="6"/>
  <c r="N64" i="6"/>
  <c r="K85" i="6"/>
  <c r="W95" i="6"/>
  <c r="K103" i="6"/>
  <c r="AD81" i="6"/>
  <c r="H78" i="6"/>
  <c r="M102" i="6"/>
  <c r="C75" i="6"/>
  <c r="T91" i="6"/>
  <c r="L106" i="6"/>
  <c r="AA49" i="6"/>
  <c r="AB79" i="6"/>
  <c r="N72" i="6"/>
  <c r="AD79" i="6"/>
  <c r="T94" i="6"/>
  <c r="E84" i="6"/>
  <c r="T102" i="6"/>
  <c r="N77" i="6"/>
  <c r="E56" i="6"/>
  <c r="Z61" i="6"/>
  <c r="D101" i="6"/>
  <c r="J97" i="6"/>
  <c r="K107" i="6"/>
  <c r="AC99" i="6"/>
  <c r="Z58" i="6"/>
  <c r="J63" i="6"/>
  <c r="T78" i="6"/>
  <c r="L103" i="6"/>
  <c r="E86" i="6"/>
  <c r="O103" i="6"/>
  <c r="Z40" i="6"/>
  <c r="AC74" i="6"/>
  <c r="AD55" i="6"/>
  <c r="Q84" i="6"/>
  <c r="F85" i="6"/>
  <c r="N92" i="6"/>
  <c r="G75" i="6"/>
  <c r="F71" i="6"/>
  <c r="M100" i="6"/>
  <c r="P93" i="6"/>
  <c r="L64" i="6"/>
  <c r="S69" i="6"/>
  <c r="V107" i="6"/>
  <c r="L95" i="6"/>
  <c r="AE102" i="6"/>
  <c r="E100" i="6"/>
  <c r="F56" i="6"/>
  <c r="Y79" i="6"/>
  <c r="J100" i="6"/>
  <c r="E109" i="6"/>
  <c r="Q70" i="6"/>
  <c r="J99" i="6"/>
  <c r="R98" i="6"/>
  <c r="H100" i="6"/>
  <c r="AE109" i="6"/>
  <c r="F79" i="6"/>
  <c r="G76" i="6"/>
  <c r="AD100" i="6"/>
  <c r="AC73" i="6"/>
  <c r="AB88" i="6"/>
  <c r="M105" i="6"/>
  <c r="M44" i="6"/>
  <c r="R48" i="6"/>
  <c r="O70" i="6"/>
  <c r="E54" i="6"/>
  <c r="P63" i="6"/>
  <c r="F105" i="6"/>
  <c r="I104" i="6"/>
  <c r="E85" i="6"/>
  <c r="AB66" i="6"/>
  <c r="R100" i="6"/>
  <c r="N94" i="6"/>
  <c r="N102" i="6"/>
  <c r="J98" i="6"/>
  <c r="Z55" i="6"/>
  <c r="L79" i="6"/>
  <c r="L108" i="6"/>
  <c r="K108" i="6"/>
  <c r="Z60" i="6"/>
  <c r="U80" i="6"/>
  <c r="F87" i="6"/>
  <c r="O68" i="6"/>
  <c r="Q90" i="6"/>
  <c r="U87" i="6"/>
  <c r="Q94" i="6"/>
  <c r="Y109" i="6"/>
  <c r="E71" i="6"/>
  <c r="Y70" i="6"/>
  <c r="AB101" i="6"/>
  <c r="AA71" i="6"/>
  <c r="J81" i="6"/>
  <c r="Z106" i="6"/>
  <c r="S49" i="6"/>
  <c r="Y78" i="6"/>
  <c r="N71" i="6"/>
  <c r="Q79" i="6"/>
  <c r="F94" i="6"/>
  <c r="U83" i="6"/>
  <c r="L102" i="6"/>
  <c r="O75" i="6"/>
  <c r="L55" i="6"/>
  <c r="T61" i="6"/>
  <c r="T100" i="6"/>
  <c r="Q108" i="6"/>
  <c r="AA106" i="6"/>
  <c r="U99" i="6"/>
  <c r="V65" i="6"/>
  <c r="P77" i="6"/>
  <c r="J69" i="6"/>
  <c r="X93" i="6"/>
  <c r="V90" i="6"/>
  <c r="AE95" i="6"/>
  <c r="T109" i="6"/>
  <c r="AC70" i="6"/>
  <c r="U100" i="6"/>
  <c r="O99" i="6"/>
  <c r="AA100" i="6"/>
  <c r="C93" i="6"/>
  <c r="W80" i="6"/>
  <c r="Y77" i="6"/>
  <c r="AC101" i="6"/>
  <c r="S74" i="6"/>
  <c r="J91" i="6"/>
  <c r="AE105" i="6"/>
  <c r="I55" i="6"/>
  <c r="Y92" i="6"/>
  <c r="AB78" i="6"/>
  <c r="W85" i="6"/>
  <c r="Q107" i="6"/>
  <c r="F93" i="6"/>
  <c r="P107" i="6"/>
  <c r="V52" i="6"/>
  <c r="K60" i="6"/>
  <c r="E64" i="6"/>
  <c r="H80" i="6"/>
  <c r="C78" i="6"/>
  <c r="AC86" i="6"/>
  <c r="D105" i="6"/>
  <c r="S77" i="6"/>
  <c r="H89" i="6"/>
  <c r="X71" i="6"/>
  <c r="P105" i="6"/>
  <c r="AE103" i="6"/>
  <c r="E104" i="6"/>
  <c r="Z94" i="6"/>
  <c r="T73" i="4"/>
  <c r="AE45" i="4"/>
  <c r="AF101" i="4"/>
  <c r="N58" i="4"/>
  <c r="K92" i="4"/>
  <c r="K94" i="4"/>
  <c r="D88" i="4"/>
  <c r="Z41" i="4"/>
  <c r="Q16" i="4"/>
  <c r="L103" i="4"/>
  <c r="Y108" i="4"/>
  <c r="N92" i="4"/>
  <c r="AE18" i="4"/>
  <c r="S6" i="4"/>
  <c r="S90" i="4"/>
  <c r="AE37" i="4"/>
  <c r="N40" i="4"/>
  <c r="Y19" i="4"/>
  <c r="X30" i="4"/>
  <c r="D41" i="4"/>
  <c r="P50" i="4"/>
  <c r="X66" i="4"/>
  <c r="T10" i="4"/>
  <c r="J34" i="4"/>
  <c r="Y61" i="4"/>
  <c r="J83" i="4"/>
  <c r="AE106" i="4"/>
  <c r="S20" i="4"/>
  <c r="Z39" i="4"/>
  <c r="Q95" i="4"/>
  <c r="AA46" i="4"/>
  <c r="E75" i="4"/>
  <c r="AB54" i="4"/>
  <c r="AA95" i="4"/>
  <c r="T36" i="4"/>
  <c r="Q84" i="4"/>
  <c r="AE5" i="4"/>
  <c r="AB76" i="4"/>
  <c r="U34" i="4"/>
  <c r="H46" i="4"/>
  <c r="M31" i="4"/>
  <c r="J10" i="4"/>
  <c r="Q9" i="4"/>
  <c r="AB53" i="4"/>
  <c r="U19" i="4"/>
  <c r="AC17" i="4"/>
  <c r="O47" i="4"/>
  <c r="V16" i="4"/>
  <c r="V51" i="4"/>
  <c r="H98" i="4"/>
  <c r="AA70" i="4"/>
  <c r="Q48" i="4"/>
  <c r="U67" i="4"/>
  <c r="E10" i="4"/>
  <c r="Y84" i="4"/>
  <c r="S85" i="4"/>
  <c r="O55" i="4"/>
  <c r="I14" i="4"/>
  <c r="E108" i="4"/>
  <c r="Y63" i="4"/>
  <c r="D50" i="4"/>
  <c r="V87" i="4"/>
  <c r="V25" i="4"/>
  <c r="N41" i="4"/>
  <c r="H17" i="4"/>
  <c r="G64" i="4"/>
  <c r="Z76" i="4"/>
  <c r="F41" i="4"/>
  <c r="AC32" i="4"/>
  <c r="G21" i="4"/>
  <c r="S43" i="4"/>
  <c r="Z72" i="4"/>
  <c r="U52" i="4"/>
  <c r="D40" i="4"/>
  <c r="Z89" i="4"/>
  <c r="W54" i="4"/>
  <c r="AE15" i="4"/>
  <c r="L23" i="4"/>
  <c r="Z78" i="4"/>
  <c r="T6" i="4"/>
  <c r="AB7" i="4"/>
  <c r="S72" i="4"/>
  <c r="G54" i="4"/>
  <c r="I86" i="4"/>
  <c r="AB82" i="4"/>
  <c r="Z43" i="4"/>
  <c r="AF78" i="4"/>
  <c r="F55" i="4"/>
  <c r="Q92" i="4"/>
  <c r="AE69" i="4"/>
  <c r="T83" i="4"/>
  <c r="Q77" i="4"/>
  <c r="T59" i="4"/>
  <c r="O11" i="4"/>
  <c r="R55" i="4"/>
  <c r="L33" i="4"/>
  <c r="Q4" i="4"/>
  <c r="X98" i="4"/>
  <c r="J11" i="4"/>
  <c r="V57" i="4"/>
  <c r="V10" i="4"/>
  <c r="N83" i="4"/>
  <c r="AD69" i="4"/>
  <c r="W56" i="4"/>
  <c r="J23" i="4"/>
  <c r="M36" i="4"/>
  <c r="W72" i="4"/>
  <c r="AA43" i="4"/>
  <c r="AF17" i="4"/>
  <c r="U80" i="4"/>
  <c r="AC58" i="4"/>
  <c r="D46" i="4"/>
  <c r="F86" i="4"/>
  <c r="AA86" i="4"/>
  <c r="D76" i="4"/>
  <c r="O73" i="4"/>
  <c r="AA82" i="4"/>
  <c r="W86" i="4"/>
  <c r="AE61" i="4"/>
  <c r="S78" i="4"/>
  <c r="L40" i="4"/>
  <c r="G24" i="4"/>
  <c r="G75" i="4"/>
  <c r="Z95" i="4"/>
  <c r="AC93" i="4"/>
  <c r="Y4" i="4"/>
  <c r="T67" i="4"/>
  <c r="N50" i="4"/>
  <c r="V5" i="4"/>
  <c r="AC102" i="4"/>
  <c r="W59" i="4"/>
  <c r="W79" i="4"/>
  <c r="R32" i="4"/>
  <c r="R87" i="4"/>
  <c r="M19" i="4"/>
  <c r="I70" i="4"/>
  <c r="N15" i="4"/>
  <c r="AF43" i="4"/>
  <c r="N80" i="4"/>
  <c r="U14" i="4"/>
  <c r="U69" i="4"/>
  <c r="J56" i="4"/>
  <c r="S62" i="4"/>
  <c r="G17" i="4"/>
  <c r="S2" i="4"/>
  <c r="AC26" i="4"/>
  <c r="AA26" i="4"/>
  <c r="U15" i="4"/>
  <c r="AA45" i="4"/>
  <c r="H82" i="4"/>
  <c r="AF81" i="4"/>
  <c r="M108" i="4"/>
  <c r="V44" i="4"/>
  <c r="L22" i="4"/>
  <c r="K4" i="4"/>
  <c r="Y5" i="4"/>
  <c r="D22" i="4"/>
  <c r="X67" i="4"/>
  <c r="K107" i="4"/>
  <c r="W51" i="4"/>
  <c r="AB20" i="4"/>
  <c r="X20" i="4"/>
  <c r="Y90" i="4"/>
  <c r="F105" i="4"/>
  <c r="G101" i="4"/>
  <c r="Z26" i="4"/>
  <c r="AF24" i="4"/>
  <c r="D61" i="4"/>
  <c r="AA96" i="4"/>
  <c r="Z103" i="4"/>
  <c r="V46" i="4"/>
  <c r="S89" i="4"/>
  <c r="O53" i="4"/>
  <c r="AC77" i="4"/>
  <c r="E34" i="4"/>
  <c r="O6" i="4"/>
  <c r="N90" i="4"/>
  <c r="J67" i="4"/>
  <c r="AC97" i="4"/>
  <c r="K104" i="4"/>
  <c r="AB3" i="4"/>
  <c r="Q54" i="4"/>
  <c r="U70" i="4"/>
  <c r="M84" i="4"/>
  <c r="W32" i="4"/>
  <c r="G41" i="4"/>
  <c r="I88" i="4"/>
  <c r="Q73" i="4"/>
  <c r="T30" i="4"/>
  <c r="G51" i="4"/>
  <c r="V53" i="4"/>
  <c r="O72" i="4"/>
  <c r="L72" i="4"/>
  <c r="K10" i="4"/>
  <c r="L95" i="4"/>
  <c r="AA60" i="4"/>
  <c r="F33" i="4"/>
  <c r="AD21" i="4"/>
  <c r="AD101" i="4"/>
  <c r="D11" i="4"/>
  <c r="U47" i="4"/>
  <c r="Q108" i="4"/>
  <c r="D74" i="4"/>
  <c r="F104" i="4"/>
  <c r="AA20" i="4"/>
  <c r="X29" i="4"/>
  <c r="R81" i="4"/>
  <c r="Z7" i="4"/>
  <c r="K62" i="4"/>
  <c r="AD49" i="4"/>
  <c r="X39" i="4"/>
  <c r="AF70" i="4"/>
  <c r="X46" i="4"/>
  <c r="AD38" i="4"/>
  <c r="O96" i="4"/>
  <c r="T81" i="4"/>
  <c r="W109" i="4"/>
  <c r="F12" i="4"/>
  <c r="Q71" i="4"/>
  <c r="AD15" i="4"/>
  <c r="AB16" i="4"/>
  <c r="G106" i="4"/>
  <c r="D42" i="4"/>
  <c r="AC9" i="4"/>
  <c r="G28" i="4"/>
  <c r="F68" i="4"/>
  <c r="T62" i="4"/>
  <c r="AC94" i="4"/>
  <c r="T68" i="4"/>
  <c r="L84" i="4"/>
  <c r="AE93" i="4"/>
  <c r="AA79" i="4"/>
  <c r="V73" i="4"/>
  <c r="AE84" i="4"/>
  <c r="K39" i="4"/>
  <c r="Z16" i="4"/>
  <c r="N18" i="4"/>
  <c r="Y58" i="4"/>
  <c r="D24" i="4"/>
  <c r="N11" i="4"/>
  <c r="X35" i="4"/>
  <c r="K103" i="4"/>
  <c r="J92" i="4"/>
  <c r="P47" i="4"/>
  <c r="AA55" i="4"/>
  <c r="AE98" i="4"/>
  <c r="M8" i="4"/>
  <c r="AE28" i="4"/>
  <c r="X12" i="4"/>
  <c r="R105" i="4"/>
  <c r="T23" i="4"/>
  <c r="T29" i="4"/>
  <c r="W55" i="4"/>
  <c r="E82" i="4"/>
  <c r="Y30" i="4"/>
  <c r="O32" i="4"/>
  <c r="L6" i="4"/>
  <c r="N46" i="4"/>
  <c r="E51" i="4"/>
  <c r="H8" i="4"/>
  <c r="AF106" i="4"/>
  <c r="E93" i="4"/>
  <c r="I55" i="4"/>
  <c r="Y109" i="4"/>
  <c r="F8" i="4"/>
  <c r="J100" i="4"/>
  <c r="D3" i="4"/>
  <c r="X89" i="4"/>
  <c r="AF42" i="4"/>
  <c r="Y54" i="4"/>
  <c r="D96" i="4"/>
  <c r="G18" i="4"/>
  <c r="M90" i="4"/>
  <c r="Q3" i="4"/>
  <c r="K58" i="4"/>
  <c r="Q30" i="4"/>
  <c r="T48" i="4"/>
  <c r="N73" i="4"/>
  <c r="AB75" i="4"/>
  <c r="S9" i="4"/>
  <c r="Z85" i="4"/>
  <c r="E67" i="4"/>
  <c r="T80" i="4"/>
  <c r="O93" i="4"/>
  <c r="H6" i="4"/>
  <c r="T26" i="4"/>
  <c r="AC70" i="4"/>
  <c r="U44" i="4"/>
  <c r="AE80" i="4"/>
  <c r="AE3" i="4"/>
  <c r="S34" i="4"/>
  <c r="E7" i="4"/>
  <c r="AF60" i="4"/>
  <c r="W52" i="4"/>
  <c r="Q65" i="4"/>
  <c r="AF64" i="4"/>
  <c r="AB35" i="4"/>
  <c r="T108" i="4"/>
  <c r="F94" i="4"/>
  <c r="R43" i="4"/>
  <c r="P58" i="4"/>
  <c r="AB2" i="4"/>
  <c r="V107" i="4"/>
  <c r="V4" i="4"/>
  <c r="W46" i="4"/>
  <c r="V82" i="4"/>
  <c r="AB71" i="4"/>
  <c r="F47" i="4"/>
  <c r="I31" i="4"/>
  <c r="AE97" i="4"/>
  <c r="P8" i="4"/>
  <c r="E31" i="4"/>
  <c r="T96" i="4"/>
  <c r="U18" i="4"/>
  <c r="J18" i="4"/>
  <c r="F80" i="4"/>
  <c r="E50" i="4"/>
  <c r="M62" i="4"/>
  <c r="Y88" i="4"/>
  <c r="W73" i="4"/>
  <c r="F22" i="4"/>
  <c r="AB67" i="4"/>
  <c r="Y13" i="4"/>
  <c r="AB103" i="4"/>
  <c r="Q44" i="4"/>
  <c r="Z9" i="4"/>
  <c r="M96" i="4"/>
  <c r="G58" i="4"/>
  <c r="U50" i="4"/>
  <c r="L108" i="4"/>
  <c r="AC11" i="4"/>
  <c r="AF61" i="4"/>
  <c r="Q26" i="4"/>
  <c r="I11" i="4"/>
  <c r="H41" i="4"/>
  <c r="O33" i="4"/>
  <c r="J29" i="4"/>
  <c r="E14" i="4"/>
  <c r="K63" i="4"/>
  <c r="AB90" i="4"/>
  <c r="Q70" i="4"/>
  <c r="G102" i="4"/>
  <c r="J59" i="4"/>
  <c r="Z4" i="4"/>
  <c r="I107" i="4"/>
  <c r="K17" i="4"/>
  <c r="AE49" i="4"/>
  <c r="S76" i="4"/>
  <c r="P99" i="4"/>
  <c r="I76" i="4"/>
  <c r="O49" i="4"/>
  <c r="E65" i="4"/>
  <c r="AB41" i="4"/>
  <c r="Y49" i="4"/>
  <c r="K56" i="4"/>
  <c r="F21" i="4"/>
  <c r="AA47" i="4"/>
  <c r="S45" i="4"/>
  <c r="AF56" i="4"/>
  <c r="M85" i="4"/>
  <c r="X23" i="4"/>
  <c r="E33" i="4"/>
  <c r="W88" i="4"/>
  <c r="S14" i="4"/>
  <c r="N101" i="4"/>
  <c r="J55" i="4"/>
  <c r="AC39" i="4"/>
  <c r="G10" i="4"/>
  <c r="Y11" i="4"/>
  <c r="F20" i="4"/>
  <c r="R6" i="4"/>
  <c r="F51" i="4"/>
  <c r="AA30" i="4"/>
  <c r="M12" i="4"/>
  <c r="F18" i="4"/>
  <c r="X38" i="4"/>
  <c r="P26" i="4"/>
  <c r="Y80" i="4"/>
  <c r="R26" i="4"/>
  <c r="U81" i="4"/>
  <c r="AF22" i="4"/>
  <c r="H72" i="4"/>
  <c r="R36" i="4"/>
  <c r="H10" i="4"/>
  <c r="N27" i="4"/>
  <c r="M35" i="4"/>
  <c r="AA64" i="4"/>
  <c r="Q39" i="4"/>
  <c r="R61" i="4"/>
  <c r="E109" i="4"/>
  <c r="H103" i="4"/>
  <c r="I89" i="4"/>
  <c r="AA31" i="4"/>
  <c r="O59" i="4"/>
  <c r="AB23" i="4"/>
  <c r="Z25" i="4"/>
  <c r="R60" i="4"/>
  <c r="H35" i="4"/>
  <c r="O106" i="4"/>
  <c r="O28" i="4"/>
  <c r="E64" i="4"/>
  <c r="E28" i="4"/>
  <c r="Q32" i="4"/>
  <c r="U13" i="4"/>
  <c r="Y38" i="4"/>
  <c r="Y87" i="4"/>
  <c r="I85" i="4"/>
  <c r="G35" i="4"/>
  <c r="N102" i="4"/>
  <c r="K80" i="4"/>
  <c r="AE33" i="4"/>
  <c r="M64" i="4"/>
  <c r="D34" i="4"/>
  <c r="AB59" i="4"/>
  <c r="T18" i="4"/>
  <c r="R30" i="4"/>
  <c r="Z11" i="4"/>
  <c r="AE41" i="4"/>
  <c r="I49" i="4"/>
  <c r="M3" i="4"/>
  <c r="S69" i="4"/>
  <c r="Z79" i="4"/>
  <c r="Z19" i="4"/>
  <c r="Q79" i="4"/>
  <c r="Q14" i="4"/>
  <c r="AC50" i="4"/>
  <c r="AF7" i="4"/>
  <c r="AC60" i="4"/>
  <c r="S96" i="4"/>
  <c r="H99" i="4"/>
  <c r="AA14" i="4"/>
  <c r="K61" i="4"/>
  <c r="AC74" i="4"/>
  <c r="H106" i="4"/>
  <c r="X11" i="4"/>
  <c r="F44" i="4"/>
  <c r="V102" i="4"/>
  <c r="L45" i="4"/>
  <c r="AC80" i="4"/>
  <c r="F84" i="4"/>
  <c r="AE70" i="4"/>
  <c r="G19" i="4"/>
  <c r="K3" i="4"/>
  <c r="O52" i="4"/>
  <c r="F34" i="4"/>
  <c r="AB61" i="4"/>
  <c r="Z44" i="4"/>
  <c r="I2" i="4"/>
  <c r="Z24" i="4"/>
  <c r="AE11" i="4"/>
  <c r="Q49" i="4"/>
  <c r="U94" i="4"/>
  <c r="W102" i="4"/>
  <c r="N5" i="4"/>
  <c r="AE31" i="4"/>
  <c r="AF8" i="4"/>
  <c r="Q69" i="4"/>
  <c r="AF109" i="4"/>
  <c r="AD107" i="4"/>
  <c r="T55" i="4"/>
  <c r="H77" i="4"/>
  <c r="X43" i="4"/>
  <c r="H44" i="4"/>
  <c r="L37" i="4"/>
  <c r="S106" i="4"/>
  <c r="AD47" i="4"/>
  <c r="V52" i="4"/>
  <c r="R99" i="4"/>
  <c r="K72" i="4"/>
  <c r="V62" i="4"/>
  <c r="K85" i="4"/>
  <c r="W94" i="4"/>
  <c r="AE94" i="4"/>
  <c r="AE72" i="4"/>
  <c r="K76" i="4"/>
  <c r="N33" i="4"/>
  <c r="G90" i="4"/>
  <c r="N54" i="4"/>
  <c r="H61" i="4"/>
  <c r="AA105" i="4"/>
  <c r="AA48" i="4"/>
  <c r="K77" i="4"/>
  <c r="W77" i="4"/>
  <c r="D75" i="4"/>
  <c r="O87" i="4"/>
  <c r="AC100" i="4"/>
  <c r="Z8" i="4"/>
  <c r="Q105" i="4"/>
  <c r="X97" i="4"/>
  <c r="E96" i="4"/>
  <c r="AC35" i="4"/>
  <c r="H66" i="4"/>
  <c r="U25" i="4"/>
  <c r="H20" i="4"/>
  <c r="W82" i="4"/>
  <c r="R12" i="4"/>
  <c r="J62" i="4"/>
  <c r="T57" i="4"/>
  <c r="D35" i="4"/>
  <c r="AD22" i="4"/>
  <c r="N77" i="4"/>
  <c r="U54" i="4"/>
  <c r="P80" i="4"/>
  <c r="AF82" i="4"/>
  <c r="AA90" i="4"/>
  <c r="W37" i="4"/>
  <c r="M55" i="4"/>
  <c r="P13" i="4"/>
  <c r="F103" i="4"/>
  <c r="L11" i="4"/>
  <c r="AE27" i="4"/>
  <c r="D48" i="4"/>
  <c r="J60" i="4"/>
  <c r="Z42" i="4"/>
  <c r="AA100" i="4"/>
  <c r="I57" i="4"/>
  <c r="AF86" i="4"/>
  <c r="AF94" i="4"/>
  <c r="AD83" i="4"/>
  <c r="V58" i="4"/>
  <c r="AD30" i="4"/>
  <c r="AB101" i="4"/>
  <c r="T21" i="4"/>
  <c r="Q101" i="4"/>
  <c r="P24" i="4"/>
  <c r="AE100" i="4"/>
  <c r="H73" i="4"/>
  <c r="G79" i="4"/>
  <c r="AA23" i="4"/>
  <c r="N62" i="4"/>
  <c r="O2" i="4"/>
  <c r="Z34" i="4"/>
  <c r="K99" i="4"/>
  <c r="W19" i="4"/>
  <c r="H27" i="4"/>
  <c r="AF11" i="4"/>
  <c r="Y15" i="4"/>
  <c r="K28" i="4"/>
  <c r="O51" i="4"/>
  <c r="L80" i="4"/>
  <c r="F30" i="4"/>
  <c r="AB52" i="4"/>
  <c r="W74" i="4"/>
  <c r="U74" i="4"/>
  <c r="X19" i="4"/>
  <c r="AD106" i="4"/>
  <c r="D80" i="4"/>
  <c r="M87" i="4"/>
  <c r="T58" i="4"/>
  <c r="T7" i="4"/>
  <c r="I40" i="4"/>
  <c r="O88" i="4"/>
  <c r="AA13" i="4"/>
  <c r="D67" i="4"/>
  <c r="W95" i="4"/>
  <c r="AA28" i="4"/>
  <c r="AB100" i="4"/>
  <c r="R73" i="4"/>
  <c r="J28" i="4"/>
  <c r="J38" i="4"/>
  <c r="P76" i="4"/>
  <c r="V24" i="4"/>
  <c r="AD39" i="4"/>
  <c r="X103" i="4"/>
  <c r="L49" i="4"/>
  <c r="U24" i="4"/>
  <c r="H87" i="4"/>
  <c r="Z15" i="4"/>
  <c r="E52" i="4"/>
  <c r="X14" i="4"/>
  <c r="R22" i="4"/>
  <c r="AD37" i="4"/>
  <c r="O35" i="4"/>
  <c r="X105" i="4"/>
  <c r="S39" i="4"/>
  <c r="S47" i="4"/>
  <c r="G71" i="4"/>
  <c r="W61" i="4"/>
  <c r="Z104" i="4"/>
  <c r="E37" i="4"/>
  <c r="L62" i="4"/>
  <c r="M44" i="4"/>
  <c r="Y95" i="4"/>
  <c r="L92" i="4"/>
  <c r="E100" i="4"/>
  <c r="S56" i="4"/>
  <c r="W63" i="4"/>
  <c r="Y3" i="4"/>
  <c r="X78" i="4"/>
  <c r="AC28" i="4"/>
  <c r="T56" i="4"/>
  <c r="L39" i="4"/>
  <c r="L90" i="4"/>
  <c r="AB96" i="4"/>
  <c r="W91" i="4"/>
  <c r="J47" i="4"/>
  <c r="J25" i="4"/>
  <c r="V45" i="4"/>
  <c r="P59" i="4"/>
  <c r="E27" i="4"/>
  <c r="Z23" i="4"/>
  <c r="Q87" i="4"/>
  <c r="W93" i="4"/>
  <c r="W64" i="4"/>
  <c r="P81" i="4"/>
  <c r="AA44" i="4"/>
  <c r="W25" i="4"/>
  <c r="V91" i="4"/>
  <c r="O61" i="4"/>
  <c r="X74" i="4"/>
  <c r="N69" i="4"/>
  <c r="AE13" i="4"/>
  <c r="N91" i="4"/>
  <c r="E57" i="4"/>
  <c r="O97" i="4"/>
  <c r="L74" i="4"/>
  <c r="Z106" i="4"/>
  <c r="F37" i="4"/>
  <c r="E19" i="4"/>
  <c r="P33" i="4"/>
  <c r="N17" i="4"/>
  <c r="J71" i="4"/>
  <c r="O39" i="4"/>
  <c r="AA37" i="4"/>
  <c r="K70" i="4"/>
  <c r="Z87" i="4"/>
  <c r="N104" i="4"/>
  <c r="H13" i="4"/>
  <c r="AF10" i="4"/>
  <c r="Q38" i="4"/>
  <c r="P34" i="4"/>
  <c r="X9" i="4"/>
  <c r="Q41" i="4"/>
  <c r="T13" i="4"/>
  <c r="Y89" i="4"/>
  <c r="U11" i="4"/>
  <c r="M88" i="4"/>
  <c r="F29" i="4"/>
  <c r="AB10" i="4"/>
  <c r="S94" i="4"/>
  <c r="W104" i="4"/>
  <c r="X88" i="4"/>
  <c r="E32" i="4"/>
  <c r="X45" i="4"/>
  <c r="Y44" i="4"/>
  <c r="AE78" i="4"/>
  <c r="L50" i="4"/>
  <c r="O36" i="4"/>
  <c r="Q74" i="4"/>
  <c r="O89" i="4"/>
  <c r="H81" i="4"/>
  <c r="AF69" i="4"/>
  <c r="AF52" i="4"/>
  <c r="AE14" i="4"/>
  <c r="AB65" i="4"/>
  <c r="AC107" i="4"/>
  <c r="AC56" i="4"/>
  <c r="M42" i="4"/>
  <c r="Y59" i="4"/>
  <c r="AD2" i="4"/>
  <c r="H108" i="4"/>
  <c r="N3" i="4"/>
  <c r="R82" i="4"/>
  <c r="D29" i="4"/>
  <c r="AD6" i="4"/>
  <c r="F17" i="4"/>
  <c r="F63" i="4"/>
  <c r="E16" i="4"/>
  <c r="P56" i="4"/>
  <c r="P41" i="4"/>
  <c r="AC25" i="4"/>
  <c r="AD102" i="4"/>
  <c r="E44" i="4"/>
  <c r="AB48" i="4"/>
  <c r="R31" i="4"/>
  <c r="AD71" i="4"/>
  <c r="L35" i="4"/>
  <c r="X17" i="4"/>
  <c r="U102" i="4"/>
  <c r="E89" i="4"/>
  <c r="P44" i="4"/>
  <c r="S63" i="4"/>
  <c r="K38" i="4"/>
  <c r="O66" i="4"/>
  <c r="M11" i="4"/>
  <c r="Z63" i="4"/>
  <c r="D21" i="4"/>
  <c r="R64" i="4"/>
  <c r="Y34" i="4"/>
  <c r="Y93" i="4"/>
  <c r="H63" i="4"/>
  <c r="AE2" i="4"/>
  <c r="O70" i="4"/>
  <c r="I93" i="4"/>
  <c r="T34" i="4"/>
  <c r="AC104" i="4"/>
  <c r="K71" i="4"/>
  <c r="J87" i="4"/>
  <c r="K83" i="4"/>
  <c r="V47" i="4"/>
  <c r="I66" i="4"/>
  <c r="AE90" i="4"/>
  <c r="I54" i="4"/>
  <c r="I98" i="4"/>
  <c r="S57" i="4"/>
  <c r="AE57" i="4"/>
  <c r="D102" i="4"/>
  <c r="D19" i="4"/>
  <c r="AE7" i="4"/>
  <c r="E107" i="4"/>
  <c r="V97" i="4"/>
  <c r="AF100" i="4"/>
  <c r="O83" i="4"/>
  <c r="L17" i="4"/>
  <c r="K93" i="4"/>
  <c r="AD27" i="4"/>
  <c r="W27" i="4"/>
  <c r="U101" i="4"/>
  <c r="AA34" i="4"/>
  <c r="V88" i="4"/>
  <c r="Y64" i="4"/>
  <c r="Y28" i="4"/>
  <c r="AC10" i="4"/>
  <c r="S11" i="4"/>
  <c r="S27" i="4"/>
  <c r="M79" i="4"/>
  <c r="Q22" i="4"/>
  <c r="AD65" i="4"/>
  <c r="D62" i="4"/>
  <c r="G16" i="4"/>
  <c r="F43" i="4"/>
  <c r="F81" i="4"/>
  <c r="P96" i="4"/>
  <c r="D33" i="4"/>
  <c r="W49" i="4"/>
  <c r="AB60" i="4"/>
  <c r="AF25" i="4"/>
  <c r="T50" i="4"/>
  <c r="P67" i="4"/>
  <c r="F101" i="4"/>
  <c r="AF98" i="4"/>
  <c r="AD20" i="4"/>
  <c r="AF68" i="4"/>
  <c r="H19" i="4"/>
  <c r="AD50" i="4"/>
  <c r="P63" i="4"/>
  <c r="AD10" i="4"/>
  <c r="H84" i="4"/>
  <c r="AC109" i="4"/>
  <c r="W99" i="4"/>
  <c r="D78" i="4"/>
  <c r="Q86" i="4"/>
  <c r="D70" i="4"/>
  <c r="T15" i="4"/>
  <c r="U103" i="4"/>
  <c r="AF46" i="4"/>
  <c r="H94" i="4"/>
  <c r="M92" i="4"/>
  <c r="U57" i="4"/>
  <c r="S7" i="4"/>
  <c r="U98" i="4"/>
  <c r="AB8" i="4"/>
  <c r="Y101" i="4"/>
  <c r="L59" i="4"/>
  <c r="U46" i="4"/>
  <c r="AA78" i="4"/>
  <c r="H33" i="4"/>
  <c r="G33" i="4"/>
  <c r="T27" i="4"/>
  <c r="O31" i="4"/>
  <c r="AA29" i="4"/>
  <c r="L18" i="4"/>
  <c r="G85" i="4"/>
  <c r="Y75" i="4"/>
  <c r="O95" i="4"/>
  <c r="L7" i="4"/>
  <c r="T51" i="4"/>
  <c r="Q60" i="4"/>
  <c r="D59" i="4"/>
  <c r="Q67" i="4"/>
  <c r="K96" i="4"/>
  <c r="R46" i="4"/>
  <c r="AE66" i="4"/>
  <c r="M106" i="4"/>
  <c r="Z98" i="4"/>
  <c r="R92" i="4"/>
  <c r="L70" i="4"/>
  <c r="G84" i="4"/>
  <c r="L106" i="4"/>
  <c r="T102" i="4"/>
  <c r="AC43" i="4"/>
  <c r="P105" i="4"/>
  <c r="L83" i="4"/>
  <c r="AF57" i="4"/>
  <c r="I27" i="4"/>
  <c r="R57" i="4"/>
  <c r="AF20" i="4"/>
  <c r="AD92" i="4"/>
  <c r="AF95" i="4"/>
  <c r="G15" i="4"/>
  <c r="H89" i="4"/>
  <c r="G9" i="4"/>
  <c r="T45" i="4"/>
  <c r="F38" i="4"/>
  <c r="AE77" i="4"/>
  <c r="AA16" i="4"/>
  <c r="T24" i="4"/>
  <c r="Z67" i="4"/>
  <c r="AC51" i="4"/>
  <c r="D60" i="4"/>
  <c r="H100" i="4"/>
  <c r="H97" i="4"/>
  <c r="P69" i="4"/>
  <c r="Y25" i="4"/>
  <c r="AA27" i="4"/>
  <c r="P94" i="4"/>
  <c r="M102" i="4"/>
  <c r="AD105" i="4"/>
  <c r="AD36" i="4"/>
  <c r="AD100" i="4"/>
  <c r="E53" i="4"/>
  <c r="F85" i="4"/>
  <c r="P54" i="4"/>
  <c r="AC47" i="4"/>
  <c r="E73" i="4"/>
  <c r="Z75" i="4"/>
  <c r="AF14" i="4"/>
  <c r="E94" i="4"/>
  <c r="S107" i="4"/>
  <c r="F62" i="4"/>
  <c r="O15" i="4"/>
  <c r="K33" i="4"/>
  <c r="J108" i="4"/>
  <c r="AE10" i="4"/>
  <c r="J81" i="4"/>
  <c r="K37" i="4"/>
  <c r="Q46" i="4"/>
  <c r="AA72" i="4"/>
  <c r="N85" i="4"/>
  <c r="AF83" i="4"/>
  <c r="R19" i="4"/>
  <c r="D82" i="4"/>
  <c r="R7" i="4"/>
  <c r="T63" i="4"/>
  <c r="AB99" i="4"/>
  <c r="V48" i="4"/>
  <c r="D43" i="4"/>
  <c r="M40" i="4"/>
  <c r="V41" i="4"/>
  <c r="AF33" i="4"/>
  <c r="V21" i="4"/>
  <c r="O68" i="4"/>
  <c r="L97" i="4"/>
  <c r="AC68" i="4"/>
  <c r="G70" i="4"/>
  <c r="AF9" i="4"/>
  <c r="AA81" i="4"/>
  <c r="Z48" i="4"/>
  <c r="S71" i="4"/>
  <c r="X64" i="4"/>
  <c r="AB108" i="4"/>
  <c r="M98" i="4"/>
  <c r="AB62" i="4"/>
  <c r="R42" i="4"/>
  <c r="D26" i="4"/>
  <c r="W39" i="4"/>
  <c r="AC29" i="4"/>
  <c r="Y78" i="4"/>
  <c r="H60" i="4"/>
  <c r="AA63" i="4"/>
  <c r="AF107" i="4"/>
  <c r="AD14" i="4"/>
  <c r="U83" i="4"/>
  <c r="L8" i="4"/>
  <c r="N37" i="4"/>
  <c r="E84" i="4"/>
  <c r="AF16" i="4"/>
  <c r="Q91" i="4"/>
  <c r="AE103" i="4"/>
  <c r="M37" i="4"/>
  <c r="AF54" i="4"/>
  <c r="W57" i="4"/>
  <c r="F59" i="4"/>
  <c r="X49" i="4"/>
  <c r="H104" i="4"/>
  <c r="T66" i="4"/>
  <c r="Y22" i="4"/>
  <c r="O63" i="4"/>
  <c r="X61" i="4"/>
  <c r="AD87" i="4"/>
  <c r="AB4" i="4"/>
  <c r="N32" i="4"/>
  <c r="AF88" i="4"/>
  <c r="AB45" i="4"/>
  <c r="O19" i="4"/>
  <c r="Q51" i="4"/>
  <c r="AF80" i="4"/>
  <c r="P104" i="4"/>
  <c r="F4" i="4"/>
  <c r="S86" i="4"/>
  <c r="AF75" i="4"/>
  <c r="J57" i="4"/>
  <c r="Y72" i="4"/>
  <c r="M99" i="4"/>
  <c r="J20" i="4"/>
  <c r="X101" i="4"/>
  <c r="G55" i="4"/>
  <c r="H83" i="4"/>
  <c r="R91" i="4"/>
  <c r="AB44" i="4"/>
  <c r="AF35" i="4"/>
  <c r="E54" i="4"/>
  <c r="J32" i="4"/>
  <c r="AA88" i="4"/>
  <c r="W67" i="4"/>
  <c r="X47" i="4"/>
  <c r="H71" i="4"/>
  <c r="AB32" i="4"/>
  <c r="AB105" i="4"/>
  <c r="G69" i="4"/>
  <c r="N57" i="4"/>
  <c r="T74" i="4"/>
  <c r="I60" i="4"/>
  <c r="AF55" i="4"/>
  <c r="M97" i="4"/>
  <c r="W10" i="4"/>
  <c r="AF85" i="4"/>
  <c r="K14" i="4"/>
  <c r="E3" i="4"/>
  <c r="J106" i="4"/>
  <c r="M47" i="4"/>
  <c r="S31" i="4"/>
  <c r="F25" i="4"/>
  <c r="AD19" i="4"/>
  <c r="J70" i="4"/>
  <c r="S104" i="4"/>
  <c r="AF63" i="4"/>
  <c r="T16" i="4"/>
  <c r="X73" i="4"/>
  <c r="Z52" i="4"/>
  <c r="T37" i="4"/>
  <c r="J101" i="4"/>
  <c r="D30" i="4"/>
  <c r="X96" i="4"/>
  <c r="T40" i="4"/>
  <c r="W71" i="4"/>
  <c r="L2" i="4"/>
  <c r="T84" i="4"/>
  <c r="I83" i="4"/>
  <c r="J52" i="4"/>
  <c r="X109" i="4"/>
  <c r="K60" i="4"/>
  <c r="P93" i="4"/>
  <c r="M51" i="4"/>
  <c r="W96" i="4"/>
  <c r="AD40" i="4"/>
  <c r="E98" i="4"/>
  <c r="M48" i="4"/>
  <c r="F97" i="4"/>
  <c r="H50" i="4"/>
  <c r="I75" i="4"/>
  <c r="Q11" i="4"/>
  <c r="Z82" i="4"/>
  <c r="S50" i="4"/>
  <c r="O94" i="4"/>
  <c r="O12" i="4"/>
  <c r="W26" i="4"/>
  <c r="X4" i="4"/>
  <c r="H34" i="4"/>
  <c r="M25" i="4"/>
  <c r="J90" i="4"/>
  <c r="Y52" i="4"/>
  <c r="AD66" i="4"/>
  <c r="M74" i="4"/>
  <c r="F64" i="4"/>
  <c r="H45" i="4"/>
  <c r="U36" i="4"/>
  <c r="G76" i="4"/>
  <c r="G95" i="4"/>
  <c r="L20" i="4"/>
  <c r="AC41" i="4"/>
  <c r="AE81" i="4"/>
  <c r="F60" i="4"/>
  <c r="W5" i="4"/>
  <c r="E22" i="4"/>
  <c r="U12" i="4"/>
  <c r="L56" i="4"/>
  <c r="J53" i="4"/>
  <c r="Y67" i="4"/>
  <c r="X32" i="4"/>
  <c r="X16" i="4"/>
  <c r="Z107" i="4"/>
  <c r="R69" i="4"/>
  <c r="H62" i="4"/>
  <c r="P77" i="4"/>
  <c r="AA61" i="4"/>
  <c r="V6" i="4"/>
  <c r="Y100" i="4"/>
  <c r="V49" i="4"/>
  <c r="AA58" i="4"/>
  <c r="J44" i="4"/>
  <c r="I44" i="4"/>
  <c r="AA107" i="4"/>
  <c r="M43" i="4"/>
  <c r="AD104" i="4"/>
  <c r="G68" i="4"/>
  <c r="W100" i="4"/>
  <c r="M59" i="4"/>
  <c r="E43" i="4"/>
  <c r="X65" i="4"/>
  <c r="J82" i="4"/>
  <c r="O82" i="4"/>
  <c r="J105" i="4"/>
  <c r="AD85" i="4"/>
  <c r="M34" i="4"/>
  <c r="M9" i="4"/>
  <c r="Q6" i="4"/>
  <c r="X50" i="4"/>
  <c r="T25" i="4"/>
  <c r="K82" i="4"/>
  <c r="W21" i="4"/>
  <c r="R72" i="4"/>
  <c r="AD68" i="4"/>
  <c r="Q57" i="4"/>
  <c r="R89" i="4"/>
  <c r="L81" i="4"/>
  <c r="Q81" i="4"/>
  <c r="U48" i="4"/>
  <c r="D14" i="4"/>
  <c r="N79" i="4"/>
  <c r="Y9" i="4"/>
  <c r="Z60" i="4"/>
  <c r="W108" i="4"/>
  <c r="Z86" i="4"/>
  <c r="S4" i="4"/>
  <c r="W84" i="4"/>
  <c r="V23" i="4"/>
  <c r="D85" i="4"/>
  <c r="F42" i="4"/>
  <c r="J79" i="4"/>
  <c r="Q34" i="4"/>
  <c r="X86" i="4"/>
  <c r="H49" i="4"/>
  <c r="D56" i="4"/>
  <c r="W83" i="4"/>
  <c r="AF12" i="4"/>
  <c r="P9" i="4"/>
  <c r="U23" i="4"/>
  <c r="U72" i="4"/>
  <c r="G7" i="4"/>
  <c r="Z62" i="4"/>
  <c r="I43" i="4"/>
  <c r="S59" i="4"/>
  <c r="AE19" i="4"/>
  <c r="AC12" i="4"/>
  <c r="Y82" i="4"/>
  <c r="AA49" i="4"/>
  <c r="G12" i="4"/>
  <c r="Z32" i="4"/>
  <c r="P72" i="4"/>
  <c r="W16" i="4"/>
  <c r="S49" i="4"/>
  <c r="D63" i="4"/>
  <c r="J69" i="4"/>
  <c r="I91" i="4"/>
  <c r="Q35" i="4"/>
  <c r="I18" i="4"/>
  <c r="V69" i="4"/>
  <c r="J27" i="4"/>
  <c r="T97" i="4"/>
  <c r="L78" i="4"/>
  <c r="W23" i="4"/>
  <c r="N93" i="4"/>
  <c r="D7" i="4"/>
  <c r="K55" i="4"/>
  <c r="I105" i="4"/>
  <c r="Z83" i="4"/>
  <c r="G74" i="4"/>
  <c r="U100" i="4"/>
  <c r="M4" i="4"/>
  <c r="Y60" i="4"/>
  <c r="M2" i="4"/>
  <c r="M46" i="4"/>
  <c r="G89" i="4"/>
  <c r="X51" i="4"/>
  <c r="O98" i="4"/>
  <c r="S100" i="4"/>
  <c r="U78" i="4"/>
  <c r="H92" i="4"/>
  <c r="W22" i="4"/>
  <c r="Y55" i="4"/>
  <c r="F88" i="4"/>
  <c r="E48" i="4"/>
  <c r="T95" i="4"/>
  <c r="U95" i="4"/>
  <c r="L79" i="4"/>
  <c r="AC75" i="4"/>
  <c r="M49" i="4"/>
  <c r="H93" i="4"/>
  <c r="Z55" i="4"/>
  <c r="V19" i="4"/>
  <c r="Q97" i="4"/>
  <c r="AF40" i="4"/>
  <c r="AF47" i="4"/>
  <c r="U79" i="4"/>
  <c r="E78" i="4"/>
  <c r="W6" i="4"/>
  <c r="S30" i="4"/>
  <c r="H105" i="4"/>
  <c r="P48" i="4"/>
  <c r="I74" i="4"/>
  <c r="K13" i="4"/>
  <c r="AC55" i="4"/>
  <c r="Q98" i="4"/>
  <c r="T17" i="4"/>
  <c r="D97" i="4"/>
  <c r="AF77" i="4"/>
  <c r="AA52" i="4"/>
  <c r="P46" i="4"/>
  <c r="F19" i="4"/>
  <c r="S97" i="4"/>
  <c r="S98" i="4"/>
  <c r="R28" i="4"/>
  <c r="M7" i="4"/>
  <c r="G100" i="4"/>
  <c r="I36" i="4"/>
  <c r="W107" i="4"/>
  <c r="V33" i="4"/>
  <c r="S25" i="4"/>
  <c r="G44" i="4"/>
  <c r="Y32" i="4"/>
  <c r="S41" i="4"/>
  <c r="S67" i="4"/>
  <c r="D87" i="4"/>
  <c r="AE42" i="4"/>
  <c r="L91" i="4"/>
  <c r="G43" i="4"/>
  <c r="K84" i="4"/>
  <c r="I16" i="4"/>
  <c r="P100" i="4"/>
  <c r="K75" i="4"/>
  <c r="S3" i="4"/>
  <c r="P108" i="4"/>
  <c r="AA98" i="4"/>
  <c r="E2" i="4"/>
  <c r="Z74" i="4"/>
  <c r="AD61" i="4"/>
  <c r="F106" i="4"/>
  <c r="T103" i="4"/>
  <c r="Z59" i="4"/>
  <c r="S19" i="4"/>
  <c r="K109" i="4"/>
  <c r="P32" i="4"/>
  <c r="U96" i="4"/>
  <c r="AC7" i="4"/>
  <c r="AB104" i="4"/>
  <c r="Y62" i="4"/>
  <c r="Y107" i="4"/>
  <c r="L14" i="4"/>
  <c r="K8" i="4"/>
  <c r="D65" i="4"/>
  <c r="P43" i="4"/>
  <c r="Q18" i="4"/>
  <c r="J88" i="4"/>
  <c r="E87" i="4"/>
  <c r="AB107" i="4"/>
  <c r="E56" i="4"/>
  <c r="X36" i="4"/>
  <c r="O5" i="4"/>
  <c r="AA109" i="4"/>
  <c r="Q102" i="4"/>
  <c r="L28" i="4"/>
  <c r="E55" i="4"/>
  <c r="N34" i="4"/>
  <c r="R76" i="4"/>
  <c r="R78" i="4"/>
  <c r="AD42" i="4"/>
  <c r="K7" i="4"/>
  <c r="AF102" i="4"/>
  <c r="K2" i="4"/>
  <c r="P107" i="4"/>
  <c r="Z65" i="4"/>
  <c r="AB63" i="4"/>
  <c r="P7" i="4"/>
  <c r="E63" i="4"/>
  <c r="E21" i="4"/>
  <c r="Y14" i="4"/>
  <c r="Y98" i="4"/>
  <c r="D77" i="4"/>
  <c r="E86" i="4"/>
  <c r="M72" i="4"/>
  <c r="D25" i="4"/>
  <c r="O60" i="4"/>
  <c r="M63" i="4"/>
  <c r="AC23" i="4"/>
  <c r="AA85" i="4"/>
  <c r="E11" i="4"/>
  <c r="O100" i="4"/>
  <c r="L69" i="4"/>
  <c r="G109" i="4"/>
  <c r="U10" i="4"/>
  <c r="T87" i="4"/>
  <c r="AE35" i="4"/>
  <c r="T90" i="4"/>
  <c r="X22" i="4"/>
  <c r="Q75" i="4"/>
  <c r="AD56" i="4"/>
  <c r="AA6" i="4"/>
  <c r="K57" i="4"/>
  <c r="V27" i="4"/>
  <c r="U77" i="4"/>
  <c r="W105" i="4"/>
  <c r="Q31" i="4"/>
  <c r="V74" i="4"/>
  <c r="D89" i="4"/>
  <c r="H64" i="4"/>
  <c r="O20" i="4"/>
  <c r="F10" i="4"/>
  <c r="H56" i="4"/>
  <c r="W103" i="4"/>
  <c r="V71" i="4"/>
  <c r="H107" i="4"/>
  <c r="M50" i="4"/>
  <c r="O45" i="4"/>
  <c r="P84" i="4"/>
  <c r="H86" i="4"/>
  <c r="AF65" i="4"/>
  <c r="Q82" i="4"/>
  <c r="M14" i="4"/>
  <c r="K19" i="4"/>
  <c r="U55" i="4"/>
  <c r="L41" i="4"/>
  <c r="S73" i="4"/>
  <c r="K15" i="4"/>
  <c r="U92" i="4"/>
  <c r="I28" i="4"/>
  <c r="Z27" i="4"/>
  <c r="AC16" i="4"/>
  <c r="V13" i="4"/>
  <c r="Z68" i="4"/>
  <c r="O30" i="4"/>
  <c r="I67" i="4"/>
  <c r="AA9" i="4"/>
  <c r="D23" i="4"/>
  <c r="D17" i="4"/>
  <c r="U59" i="4"/>
  <c r="Y27" i="4"/>
  <c r="F76" i="4"/>
  <c r="AB88" i="4"/>
  <c r="AB13" i="4"/>
  <c r="M69" i="4"/>
  <c r="J58" i="4"/>
  <c r="AF27" i="4"/>
  <c r="M81" i="4"/>
  <c r="Q2" i="4"/>
  <c r="U4" i="4"/>
  <c r="AF30" i="4"/>
  <c r="E66" i="4"/>
  <c r="G42" i="4"/>
  <c r="AD77" i="4"/>
  <c r="AF97" i="4"/>
  <c r="S60" i="4"/>
  <c r="AD58" i="4"/>
  <c r="AC34" i="4"/>
  <c r="X24" i="4"/>
  <c r="AC89" i="4"/>
  <c r="F39" i="4"/>
  <c r="AB50" i="4"/>
  <c r="K105" i="4"/>
  <c r="H102" i="4"/>
  <c r="W40" i="4"/>
  <c r="G40" i="4"/>
  <c r="R83" i="4"/>
  <c r="G86" i="4"/>
  <c r="I3" i="4"/>
  <c r="S87" i="4"/>
  <c r="Y103" i="4"/>
  <c r="N43" i="4"/>
  <c r="U75" i="4"/>
  <c r="D16" i="4"/>
  <c r="L30" i="4"/>
  <c r="AD26" i="4"/>
  <c r="AE109" i="4"/>
  <c r="R109" i="4"/>
  <c r="T8" i="4"/>
  <c r="K87" i="4"/>
  <c r="Z2" i="4"/>
  <c r="AB37" i="4"/>
  <c r="X100" i="4"/>
  <c r="H51" i="4"/>
  <c r="Q89" i="4"/>
  <c r="X85" i="4"/>
  <c r="AB77" i="4"/>
  <c r="D103" i="4"/>
  <c r="R70" i="4"/>
  <c r="R102" i="4"/>
  <c r="J86" i="4"/>
  <c r="L12" i="4"/>
  <c r="Y81" i="4"/>
  <c r="S38" i="4"/>
  <c r="G23" i="4"/>
  <c r="K21" i="4"/>
  <c r="AF87" i="4"/>
  <c r="W36" i="4"/>
  <c r="T42" i="4"/>
  <c r="I97" i="4"/>
  <c r="AE51" i="4"/>
  <c r="G20" i="4"/>
  <c r="AE36" i="4"/>
  <c r="G93" i="4"/>
  <c r="Q17" i="4"/>
  <c r="X44" i="4"/>
  <c r="P109" i="4"/>
  <c r="H80" i="4"/>
  <c r="L21" i="4"/>
  <c r="E83" i="4"/>
  <c r="R16" i="4"/>
  <c r="Z102" i="4"/>
  <c r="G3" i="4"/>
  <c r="Z22" i="4"/>
  <c r="G11" i="4"/>
  <c r="I25" i="4"/>
  <c r="V104" i="4"/>
  <c r="Z90" i="4"/>
  <c r="I63" i="4"/>
  <c r="S46" i="4"/>
  <c r="Z100" i="4"/>
  <c r="O21" i="4"/>
  <c r="V29" i="4"/>
  <c r="AC84" i="4"/>
  <c r="H2" i="4"/>
  <c r="AC4" i="4"/>
  <c r="Z30" i="4"/>
  <c r="AA53" i="4"/>
  <c r="V63" i="4"/>
  <c r="I7" i="4"/>
  <c r="N56" i="4"/>
  <c r="I65" i="4"/>
  <c r="D100" i="4"/>
  <c r="Q5" i="4"/>
  <c r="I34" i="4"/>
  <c r="U5" i="4"/>
  <c r="Y17" i="4"/>
  <c r="J104" i="4"/>
  <c r="R40" i="4"/>
  <c r="R68" i="4"/>
  <c r="AE50" i="4"/>
  <c r="U41" i="4"/>
  <c r="G92" i="4"/>
  <c r="K47" i="4"/>
  <c r="Q15" i="4"/>
  <c r="I100" i="4"/>
  <c r="N2" i="4"/>
  <c r="P64" i="4"/>
  <c r="AE48" i="4"/>
  <c r="R51" i="4"/>
  <c r="U104" i="4"/>
  <c r="X82" i="4"/>
  <c r="I46" i="4"/>
  <c r="AE55" i="4"/>
  <c r="U107" i="4"/>
  <c r="Z92" i="4"/>
  <c r="Z91" i="4"/>
  <c r="O54" i="4"/>
  <c r="Q103" i="4"/>
  <c r="P35" i="4"/>
  <c r="F79" i="4"/>
  <c r="G72" i="4"/>
  <c r="AA74" i="4"/>
  <c r="T104" i="4"/>
  <c r="X94" i="4"/>
  <c r="G98" i="4"/>
  <c r="G73" i="4"/>
  <c r="X5" i="4"/>
  <c r="J3" i="4"/>
  <c r="H65" i="4"/>
  <c r="E91" i="4"/>
  <c r="F50" i="4"/>
  <c r="N49" i="4"/>
  <c r="Q68" i="4"/>
  <c r="G31" i="4"/>
  <c r="AA80" i="4"/>
  <c r="AF19" i="4"/>
  <c r="J4" i="4"/>
  <c r="D101" i="4"/>
  <c r="Q96" i="4"/>
  <c r="F11" i="4"/>
  <c r="AF37" i="4"/>
  <c r="I20" i="4"/>
  <c r="AB40" i="4"/>
  <c r="S36" i="4"/>
  <c r="Q27" i="4"/>
  <c r="L98" i="4"/>
  <c r="N70" i="4"/>
  <c r="W38" i="4"/>
  <c r="V34" i="4"/>
  <c r="S42" i="4"/>
  <c r="AC33" i="4"/>
  <c r="Q10" i="4"/>
  <c r="O80" i="4"/>
  <c r="N55" i="4"/>
  <c r="Y46" i="4"/>
  <c r="AE99" i="4"/>
  <c r="R10" i="4"/>
  <c r="M56" i="4"/>
  <c r="S52" i="4"/>
  <c r="O17" i="4"/>
  <c r="AD78" i="4"/>
  <c r="AF18" i="4"/>
  <c r="W43" i="4"/>
  <c r="L65" i="4"/>
  <c r="S108" i="4"/>
  <c r="AD31" i="4"/>
  <c r="AB26" i="4"/>
  <c r="F58" i="4"/>
  <c r="K108" i="4"/>
  <c r="P42" i="4"/>
  <c r="AE25" i="4"/>
  <c r="T70" i="4"/>
  <c r="J40" i="4"/>
  <c r="F69" i="4"/>
  <c r="V30" i="4"/>
  <c r="M53" i="4"/>
  <c r="F6" i="4"/>
  <c r="AC19" i="4"/>
  <c r="R104" i="4"/>
  <c r="Y69" i="4"/>
  <c r="AA40" i="4"/>
  <c r="U105" i="4"/>
  <c r="W47" i="4"/>
  <c r="AF38" i="4"/>
  <c r="P39" i="4"/>
  <c r="S48" i="4"/>
  <c r="N64" i="4"/>
  <c r="AB58" i="4"/>
  <c r="D94" i="4"/>
  <c r="AD33" i="4"/>
  <c r="O9" i="4"/>
  <c r="O26" i="4"/>
  <c r="M68" i="4"/>
  <c r="S65" i="4"/>
  <c r="L5" i="4"/>
  <c r="R84" i="4"/>
  <c r="Y42" i="4"/>
  <c r="K67" i="4"/>
  <c r="M32" i="4"/>
  <c r="I56" i="4"/>
  <c r="I58" i="4"/>
  <c r="K34" i="4"/>
  <c r="P25" i="4"/>
  <c r="M77" i="4"/>
  <c r="D69" i="4"/>
  <c r="I6" i="4"/>
  <c r="U51" i="4"/>
  <c r="P73" i="4"/>
  <c r="AB15" i="4"/>
  <c r="N9" i="4"/>
  <c r="X25" i="4"/>
  <c r="AF59" i="4"/>
  <c r="Y37" i="4"/>
  <c r="AB30" i="4"/>
  <c r="AB70" i="4"/>
  <c r="AD74" i="4"/>
  <c r="AD94" i="4"/>
  <c r="AF34" i="4"/>
  <c r="W76" i="4"/>
  <c r="M10" i="4"/>
  <c r="AC52" i="4"/>
  <c r="F89" i="4"/>
  <c r="W33" i="4"/>
  <c r="D28" i="4"/>
  <c r="O8" i="4"/>
  <c r="T33" i="4"/>
  <c r="H75" i="4"/>
  <c r="D84" i="4"/>
  <c r="P29" i="4"/>
  <c r="R66" i="4"/>
  <c r="I106" i="4"/>
  <c r="U43" i="4"/>
  <c r="F71" i="4"/>
  <c r="AE68" i="4"/>
  <c r="AF13" i="4"/>
  <c r="Y105" i="4"/>
  <c r="T92" i="4"/>
  <c r="AC82" i="4"/>
  <c r="Q43" i="4"/>
  <c r="D32" i="4"/>
  <c r="AB93" i="4"/>
  <c r="X69" i="4"/>
  <c r="J73" i="4"/>
  <c r="AC95" i="4"/>
  <c r="AB73" i="4"/>
  <c r="D109" i="4"/>
  <c r="M100" i="4"/>
  <c r="K69" i="4"/>
  <c r="F67" i="4"/>
  <c r="Q53" i="4"/>
  <c r="O7" i="4"/>
  <c r="O102" i="4"/>
  <c r="AA42" i="4"/>
  <c r="X83" i="4"/>
  <c r="Z35" i="4"/>
  <c r="AE88" i="4"/>
  <c r="AB57" i="4"/>
  <c r="Q52" i="4"/>
  <c r="P90" i="4"/>
  <c r="G46" i="4"/>
  <c r="Q93" i="4"/>
  <c r="AB19" i="4"/>
  <c r="Z56" i="4"/>
  <c r="J42" i="4"/>
  <c r="AF2" i="4"/>
  <c r="I104" i="4"/>
  <c r="L34" i="4"/>
  <c r="U87" i="4"/>
  <c r="AE92" i="4"/>
  <c r="T65" i="4"/>
  <c r="F77" i="4"/>
  <c r="AF41" i="4"/>
  <c r="AE56" i="4"/>
  <c r="AE95" i="4"/>
  <c r="V35" i="4"/>
  <c r="S101" i="4"/>
  <c r="AD95" i="4"/>
  <c r="H68" i="4"/>
  <c r="F90" i="4"/>
  <c r="T20" i="4"/>
  <c r="AE108" i="4"/>
  <c r="F13" i="4"/>
  <c r="S81" i="4"/>
  <c r="R15" i="4"/>
  <c r="Y77" i="4"/>
  <c r="P106" i="4"/>
  <c r="AB55" i="4"/>
  <c r="K88" i="4"/>
  <c r="T69" i="4"/>
  <c r="X37" i="4"/>
  <c r="R25" i="4"/>
  <c r="AA68" i="4"/>
  <c r="V76" i="4"/>
  <c r="G25" i="4"/>
  <c r="AC92" i="4"/>
  <c r="W42" i="4"/>
  <c r="M39" i="4"/>
  <c r="O65" i="4"/>
  <c r="H91" i="4"/>
  <c r="L51" i="4"/>
  <c r="V56" i="4"/>
  <c r="T53" i="4"/>
  <c r="P45" i="4"/>
  <c r="AE9" i="4"/>
  <c r="AD86" i="4"/>
  <c r="K25" i="4"/>
  <c r="I87" i="4"/>
  <c r="S109" i="4"/>
  <c r="Y31" i="4"/>
  <c r="I37" i="4"/>
  <c r="S21" i="4"/>
  <c r="V2" i="4"/>
  <c r="N61" i="4"/>
  <c r="AA17" i="4"/>
  <c r="O99" i="4"/>
  <c r="Z36" i="4"/>
  <c r="AE4" i="4"/>
  <c r="AB49" i="4"/>
  <c r="X54" i="4"/>
  <c r="S95" i="4"/>
  <c r="U49" i="4"/>
  <c r="H28" i="4"/>
  <c r="P55" i="4"/>
  <c r="AE83" i="4"/>
  <c r="D10" i="4"/>
  <c r="Q56" i="4"/>
  <c r="M89" i="4"/>
  <c r="H58" i="4"/>
  <c r="E80" i="4"/>
  <c r="L85" i="4"/>
  <c r="L10" i="4"/>
  <c r="AA22" i="4"/>
  <c r="AC87" i="4"/>
  <c r="P36" i="4"/>
  <c r="AB29" i="4"/>
  <c r="S18" i="4"/>
  <c r="W92" i="4"/>
  <c r="AA104" i="4"/>
  <c r="F24" i="4"/>
  <c r="K91" i="4"/>
  <c r="M76" i="4"/>
  <c r="M101" i="4"/>
  <c r="V84" i="4"/>
  <c r="I29" i="4"/>
  <c r="N95" i="4"/>
  <c r="AD59" i="4"/>
  <c r="Y45" i="4"/>
  <c r="D39" i="4"/>
  <c r="G37" i="4"/>
  <c r="J61" i="4"/>
  <c r="Q62" i="4"/>
  <c r="W58" i="4"/>
  <c r="O23" i="4"/>
  <c r="P22" i="4"/>
  <c r="N94" i="4"/>
  <c r="Q21" i="4"/>
  <c r="H15" i="4"/>
  <c r="AC79" i="4"/>
  <c r="AC78" i="4"/>
  <c r="I99" i="4"/>
  <c r="AA38" i="4"/>
  <c r="R49" i="4"/>
  <c r="AA87" i="4"/>
  <c r="AD90" i="4"/>
  <c r="Y66" i="4"/>
  <c r="Y40" i="4"/>
  <c r="AC8" i="4"/>
  <c r="AF74" i="4"/>
  <c r="H29" i="4"/>
  <c r="V101" i="4"/>
  <c r="N28" i="4"/>
  <c r="I90" i="4"/>
  <c r="X21" i="4"/>
  <c r="G78" i="4"/>
  <c r="F31" i="4"/>
  <c r="I84" i="4"/>
  <c r="G5" i="4"/>
  <c r="AE76" i="4"/>
  <c r="V89" i="4"/>
  <c r="Y96" i="4"/>
  <c r="X41" i="4"/>
  <c r="N4" i="4"/>
  <c r="Z58" i="4"/>
  <c r="U66" i="4"/>
  <c r="E92" i="4"/>
  <c r="P75" i="4"/>
  <c r="F66" i="4"/>
  <c r="S61" i="4"/>
  <c r="AE34" i="4"/>
  <c r="AE58" i="4"/>
  <c r="AD43" i="4"/>
  <c r="X53" i="4"/>
  <c r="S53" i="4"/>
  <c r="D55" i="4"/>
  <c r="AE79" i="4"/>
  <c r="V11" i="4"/>
  <c r="Z47" i="4"/>
  <c r="F27" i="4"/>
  <c r="V61" i="4"/>
  <c r="AB64" i="4"/>
  <c r="V3" i="4"/>
  <c r="X106" i="4"/>
  <c r="W20" i="4"/>
  <c r="Y86" i="4"/>
  <c r="U31" i="4"/>
  <c r="P82" i="4"/>
  <c r="T61" i="4"/>
  <c r="Y74" i="4"/>
  <c r="AF108" i="4"/>
  <c r="X63" i="4"/>
  <c r="S35" i="4"/>
  <c r="E99" i="4"/>
  <c r="R63" i="4"/>
  <c r="F95" i="4"/>
  <c r="AC105" i="4"/>
  <c r="X84" i="4"/>
  <c r="P95" i="4"/>
  <c r="AD11" i="4"/>
  <c r="Q90" i="4"/>
  <c r="F7" i="4"/>
  <c r="H31" i="4"/>
  <c r="U97" i="4"/>
  <c r="AD44" i="4"/>
  <c r="N78" i="4"/>
  <c r="V26" i="4"/>
  <c r="D27" i="4"/>
  <c r="T43" i="4"/>
  <c r="AB68" i="4"/>
  <c r="U2" i="4"/>
  <c r="AE67" i="4"/>
  <c r="V55" i="4"/>
  <c r="W13" i="4"/>
  <c r="P62" i="4"/>
  <c r="R23" i="4"/>
  <c r="S40" i="4"/>
  <c r="Q47" i="4"/>
  <c r="J24" i="4"/>
  <c r="AA89" i="4"/>
  <c r="J14" i="4"/>
  <c r="X93" i="4"/>
  <c r="D9" i="4"/>
  <c r="V109" i="4"/>
  <c r="X104" i="4"/>
  <c r="AC69" i="4"/>
  <c r="I59" i="4"/>
  <c r="T89" i="4"/>
  <c r="AA73" i="4"/>
  <c r="R67" i="4"/>
  <c r="L87" i="4"/>
  <c r="K49" i="4"/>
  <c r="X62" i="4"/>
  <c r="N109" i="4"/>
  <c r="N23" i="4"/>
  <c r="F3" i="4"/>
  <c r="AA92" i="4"/>
  <c r="N105" i="4"/>
  <c r="AF99" i="4"/>
  <c r="Z5" i="4"/>
  <c r="W17" i="4"/>
  <c r="K9" i="4"/>
  <c r="Z64" i="4"/>
  <c r="E76" i="4"/>
  <c r="AE8" i="4"/>
  <c r="V72" i="4"/>
  <c r="U38" i="4"/>
  <c r="N81" i="4"/>
  <c r="D86" i="4"/>
  <c r="O91" i="4"/>
  <c r="O101" i="4"/>
  <c r="F109" i="4"/>
  <c r="AD81" i="4"/>
  <c r="X95" i="4"/>
  <c r="Y23" i="4"/>
  <c r="K89" i="4"/>
  <c r="I12" i="4"/>
  <c r="AF104" i="4"/>
  <c r="L109" i="4"/>
  <c r="P71" i="4"/>
  <c r="AC71" i="4"/>
  <c r="E29" i="4"/>
  <c r="J68" i="4"/>
  <c r="J72" i="4"/>
  <c r="S15" i="4"/>
  <c r="F72" i="4"/>
  <c r="V100" i="4"/>
  <c r="K18" i="4"/>
  <c r="N31" i="4"/>
  <c r="H4" i="4"/>
  <c r="AE38" i="4"/>
  <c r="Q7" i="4"/>
  <c r="J96" i="4"/>
  <c r="R20" i="4"/>
  <c r="U20" i="4"/>
  <c r="I22" i="4"/>
  <c r="Q64" i="4"/>
  <c r="M71" i="4"/>
  <c r="Y79" i="4"/>
  <c r="I19" i="4"/>
  <c r="H55" i="4"/>
  <c r="K98" i="4"/>
  <c r="T4" i="4"/>
  <c r="Q88" i="4"/>
  <c r="E95" i="4"/>
  <c r="R107" i="4"/>
  <c r="AC20" i="4"/>
  <c r="X80" i="4"/>
  <c r="J36" i="4"/>
  <c r="Q59" i="4"/>
  <c r="E74" i="4"/>
  <c r="I26" i="4"/>
  <c r="AD12" i="4"/>
  <c r="L3" i="4"/>
  <c r="E58" i="4"/>
  <c r="L63" i="4"/>
  <c r="AC88" i="4"/>
  <c r="Z80" i="4"/>
  <c r="G2" i="4"/>
  <c r="AB21" i="4"/>
  <c r="AC53" i="4"/>
  <c r="Z93" i="4"/>
  <c r="V105" i="4"/>
  <c r="E61" i="4"/>
  <c r="R77" i="4"/>
  <c r="J48" i="4"/>
  <c r="Q13" i="4"/>
  <c r="L76" i="4"/>
  <c r="Y41" i="4"/>
  <c r="R47" i="4"/>
  <c r="F75" i="4"/>
  <c r="Z99" i="4"/>
  <c r="I82" i="4"/>
  <c r="N82" i="4"/>
  <c r="J98" i="4"/>
  <c r="L54" i="4"/>
  <c r="O29" i="4"/>
  <c r="AB74" i="4"/>
  <c r="AD93" i="4"/>
  <c r="AB42" i="4"/>
  <c r="L66" i="4"/>
  <c r="M24" i="4"/>
  <c r="J39" i="4"/>
  <c r="W75" i="4"/>
  <c r="M29" i="4"/>
  <c r="T76" i="4"/>
  <c r="E38" i="4"/>
  <c r="U91" i="4"/>
  <c r="T2" i="4"/>
  <c r="Y70" i="4"/>
  <c r="E72" i="4"/>
  <c r="V9" i="4"/>
  <c r="O44" i="4"/>
  <c r="Z69" i="4"/>
  <c r="AD64" i="4"/>
  <c r="G63" i="4"/>
  <c r="AD97" i="4"/>
  <c r="Q78" i="4"/>
  <c r="AD28" i="4"/>
  <c r="F9" i="4"/>
  <c r="AC31" i="4"/>
  <c r="D95" i="4"/>
  <c r="AC5" i="4"/>
  <c r="J94" i="4"/>
  <c r="G80" i="4"/>
  <c r="X81" i="4"/>
  <c r="P92" i="4"/>
  <c r="T85" i="4"/>
  <c r="O42" i="4"/>
  <c r="Z20" i="4"/>
  <c r="D52" i="4"/>
  <c r="O81" i="4"/>
  <c r="R93" i="4"/>
  <c r="F70" i="4"/>
  <c r="AC57" i="4"/>
  <c r="M109" i="4"/>
  <c r="U39" i="4"/>
  <c r="AB46" i="4"/>
  <c r="N14" i="4"/>
  <c r="F2" i="4"/>
  <c r="U108" i="4"/>
  <c r="H90" i="4"/>
  <c r="T39" i="4"/>
  <c r="E12" i="4"/>
  <c r="P102" i="4"/>
  <c r="E41" i="4"/>
  <c r="J65" i="4"/>
  <c r="L43" i="4"/>
  <c r="D38" i="4"/>
  <c r="K68" i="4"/>
  <c r="Q37" i="4"/>
  <c r="P88" i="4"/>
  <c r="M65" i="4"/>
  <c r="AB5" i="4"/>
  <c r="V15" i="4"/>
  <c r="U58" i="4"/>
  <c r="X6" i="4"/>
  <c r="G14" i="4"/>
  <c r="Y7" i="4"/>
  <c r="I24" i="4"/>
  <c r="R88" i="4"/>
  <c r="H47" i="4"/>
  <c r="AF62" i="4"/>
  <c r="R35" i="4"/>
  <c r="M23" i="4"/>
  <c r="M33" i="4"/>
  <c r="S23" i="4"/>
  <c r="Y57" i="4"/>
  <c r="AF32" i="4"/>
  <c r="AF103" i="4"/>
  <c r="S93" i="4"/>
  <c r="W70" i="4"/>
  <c r="AA39" i="4"/>
  <c r="AE104" i="4"/>
  <c r="Q83" i="4"/>
  <c r="N99" i="4"/>
  <c r="E97" i="4"/>
  <c r="Y106" i="4"/>
  <c r="H59" i="4"/>
  <c r="M86" i="4"/>
  <c r="Y104" i="4"/>
  <c r="AC103" i="4"/>
  <c r="V70" i="4"/>
  <c r="AF29" i="4"/>
  <c r="V36" i="4"/>
  <c r="I81" i="4"/>
  <c r="AD46" i="4"/>
  <c r="AB51" i="4"/>
  <c r="V37" i="4"/>
  <c r="M22" i="4"/>
  <c r="AA99" i="4"/>
  <c r="AE91" i="4"/>
  <c r="X56" i="4"/>
  <c r="L15" i="4"/>
  <c r="J45" i="4"/>
  <c r="I80" i="4"/>
  <c r="G47" i="4"/>
  <c r="F26" i="4"/>
  <c r="AE44" i="4"/>
  <c r="S79" i="4"/>
  <c r="V28" i="4"/>
  <c r="AC22" i="4"/>
  <c r="N106" i="4"/>
  <c r="P98" i="4"/>
  <c r="Y83" i="4"/>
  <c r="Z57" i="4"/>
  <c r="F45" i="4"/>
  <c r="Z14" i="4"/>
  <c r="L16" i="4"/>
  <c r="X107" i="4"/>
  <c r="AB80" i="4"/>
  <c r="AF28" i="4"/>
  <c r="G34" i="4"/>
  <c r="AA33" i="4"/>
  <c r="AB109" i="4"/>
  <c r="V12" i="4"/>
  <c r="Y92" i="4"/>
  <c r="G32" i="4"/>
  <c r="F83" i="4"/>
  <c r="S80" i="4"/>
  <c r="M73" i="4"/>
  <c r="G30" i="4"/>
  <c r="I109" i="4"/>
  <c r="AF58" i="4"/>
  <c r="H37" i="4"/>
  <c r="G88" i="4"/>
  <c r="AE71" i="4"/>
  <c r="T72" i="4"/>
  <c r="O22" i="4"/>
  <c r="D92" i="4"/>
  <c r="R103" i="4"/>
  <c r="L9" i="4"/>
  <c r="AE39" i="4"/>
  <c r="T52" i="4"/>
  <c r="H7" i="4"/>
  <c r="Z97" i="4"/>
  <c r="D54" i="4"/>
  <c r="AD84" i="4"/>
  <c r="P85" i="4"/>
  <c r="N107" i="4"/>
  <c r="W12" i="4"/>
  <c r="U89" i="4"/>
  <c r="H18" i="4"/>
  <c r="O4" i="4"/>
  <c r="W85" i="4"/>
  <c r="D107" i="4"/>
  <c r="L24" i="4"/>
  <c r="AD18" i="4"/>
  <c r="Z31" i="4"/>
  <c r="G27" i="4"/>
  <c r="F53" i="4"/>
  <c r="O41" i="4"/>
  <c r="T105" i="4"/>
  <c r="AD109" i="4"/>
  <c r="O77" i="4"/>
  <c r="AB85" i="4"/>
  <c r="L27" i="4"/>
  <c r="X28" i="4"/>
  <c r="V38" i="4"/>
  <c r="Y99" i="4"/>
  <c r="I53" i="4"/>
  <c r="AB6" i="4"/>
  <c r="E26" i="4"/>
  <c r="V39" i="4"/>
  <c r="AB22" i="4"/>
  <c r="O18" i="4"/>
  <c r="P86" i="4"/>
  <c r="L25" i="4"/>
  <c r="Z13" i="4"/>
  <c r="AA18" i="4"/>
  <c r="D91" i="4"/>
  <c r="T78" i="4"/>
  <c r="U93" i="4"/>
  <c r="AF71" i="4"/>
  <c r="P11" i="4"/>
  <c r="Z40" i="4"/>
  <c r="AC64" i="4"/>
  <c r="R85" i="4"/>
  <c r="R9" i="4"/>
  <c r="Z33" i="4"/>
  <c r="AA21" i="4"/>
  <c r="Y73" i="4"/>
  <c r="Y53" i="4"/>
  <c r="N60" i="4"/>
  <c r="Z109" i="4"/>
  <c r="X58" i="4"/>
  <c r="X60" i="4"/>
  <c r="S10" i="4"/>
  <c r="Y35" i="4"/>
  <c r="AC62" i="4"/>
  <c r="U85" i="4"/>
  <c r="AF92" i="4"/>
  <c r="L29" i="4"/>
  <c r="L64" i="4"/>
  <c r="P38" i="4"/>
  <c r="R17" i="4"/>
  <c r="G65" i="4"/>
  <c r="N97" i="4"/>
  <c r="Q50" i="4"/>
  <c r="M45" i="4"/>
  <c r="P3" i="4"/>
  <c r="O79" i="4"/>
  <c r="AA106" i="4"/>
  <c r="R4" i="4"/>
  <c r="P87" i="4"/>
  <c r="G96" i="4"/>
  <c r="F28" i="4"/>
  <c r="V42" i="4"/>
  <c r="D15" i="4"/>
  <c r="S33" i="4"/>
  <c r="K27" i="4"/>
  <c r="Q61" i="4"/>
  <c r="AE54" i="4"/>
  <c r="P74" i="4"/>
  <c r="Y65" i="4"/>
  <c r="K32" i="4"/>
  <c r="K53" i="4"/>
  <c r="Q99" i="4"/>
  <c r="I17" i="4"/>
  <c r="P5" i="4"/>
  <c r="Z88" i="4"/>
  <c r="S70" i="4"/>
  <c r="Z49" i="4"/>
  <c r="Y29" i="4"/>
  <c r="D66" i="4"/>
  <c r="I96" i="4"/>
  <c r="R58" i="4"/>
  <c r="W87" i="4"/>
  <c r="AB91" i="4"/>
  <c r="Q100" i="4"/>
  <c r="V14" i="4"/>
  <c r="X18" i="4"/>
  <c r="X92" i="4"/>
  <c r="O56" i="4"/>
  <c r="Z29" i="4"/>
  <c r="V75" i="4"/>
  <c r="E102" i="4"/>
  <c r="O78" i="4"/>
  <c r="I38" i="4"/>
  <c r="AE105" i="4"/>
  <c r="W66" i="4"/>
  <c r="K51" i="4"/>
  <c r="M41" i="4"/>
  <c r="R3" i="4"/>
  <c r="V77" i="4"/>
  <c r="O64" i="4"/>
  <c r="Y12" i="4"/>
  <c r="G81" i="4"/>
  <c r="R34" i="4"/>
  <c r="V68" i="4"/>
  <c r="I79" i="4"/>
  <c r="W11" i="4"/>
  <c r="Q104" i="4"/>
  <c r="L61" i="4"/>
  <c r="Z50" i="4"/>
  <c r="J91" i="4"/>
  <c r="W60" i="4"/>
  <c r="H69" i="4"/>
  <c r="AC6" i="4"/>
  <c r="AB89" i="4"/>
  <c r="I62" i="4"/>
  <c r="F48" i="4"/>
  <c r="AD34" i="4"/>
  <c r="AA101" i="4"/>
  <c r="J74" i="4"/>
  <c r="AB47" i="4"/>
  <c r="J63" i="4"/>
  <c r="P21" i="4"/>
  <c r="D5" i="4"/>
  <c r="R101" i="4"/>
  <c r="P6" i="4"/>
  <c r="R79" i="4"/>
  <c r="M67" i="4"/>
  <c r="K36" i="4"/>
  <c r="G105" i="4"/>
  <c r="J15" i="4"/>
  <c r="Y47" i="4"/>
  <c r="AF3" i="4"/>
  <c r="H23" i="4"/>
  <c r="Q42" i="4"/>
  <c r="K24" i="4"/>
  <c r="D49" i="4"/>
  <c r="R8" i="4"/>
  <c r="U65" i="4"/>
  <c r="P23" i="4"/>
  <c r="AF45" i="4"/>
  <c r="N21" i="4"/>
  <c r="Z6" i="4"/>
  <c r="AC49" i="4"/>
  <c r="P20" i="4"/>
  <c r="J19" i="4"/>
  <c r="F40" i="4"/>
  <c r="D68" i="4"/>
  <c r="U42" i="4"/>
  <c r="E18" i="4"/>
  <c r="S91" i="4"/>
  <c r="G48" i="4"/>
  <c r="N75" i="4"/>
  <c r="H24" i="4"/>
  <c r="AE102" i="4"/>
  <c r="J102" i="4"/>
  <c r="X77" i="4"/>
  <c r="I32" i="4"/>
  <c r="D98" i="4"/>
  <c r="Y51" i="4"/>
  <c r="AE63" i="4"/>
  <c r="AD45" i="4"/>
  <c r="Y91" i="4"/>
  <c r="P66" i="4"/>
  <c r="AF73" i="4"/>
  <c r="U64" i="4"/>
  <c r="F96" i="4"/>
  <c r="AA35" i="4"/>
  <c r="V106" i="4"/>
  <c r="Z105" i="4"/>
  <c r="F14" i="4"/>
  <c r="N47" i="4"/>
  <c r="K12" i="4"/>
  <c r="F100" i="4"/>
  <c r="H67" i="4"/>
  <c r="AD35" i="4"/>
  <c r="P17" i="4"/>
  <c r="V18" i="4"/>
  <c r="N59" i="4"/>
  <c r="N96" i="4"/>
  <c r="X26" i="4"/>
  <c r="O74" i="4"/>
  <c r="S55" i="4"/>
  <c r="U35" i="4"/>
  <c r="S12" i="4"/>
  <c r="T79" i="4"/>
  <c r="AC15" i="4"/>
  <c r="M17" i="4"/>
  <c r="M26" i="4"/>
  <c r="L89" i="4"/>
  <c r="AF91" i="4"/>
  <c r="X15" i="4"/>
  <c r="O34" i="4"/>
  <c r="D13" i="4"/>
  <c r="AD51" i="4"/>
  <c r="R18" i="4"/>
  <c r="AF31" i="4"/>
  <c r="S88" i="4"/>
  <c r="AD16" i="4"/>
  <c r="U90" i="4"/>
  <c r="AB17" i="4"/>
  <c r="D104" i="4"/>
  <c r="Z108" i="4"/>
  <c r="K81" i="4"/>
  <c r="AA75" i="4"/>
  <c r="I50" i="4"/>
  <c r="R59" i="4"/>
  <c r="F87" i="4"/>
  <c r="J13" i="4"/>
  <c r="AB86" i="4"/>
  <c r="AC73" i="4"/>
  <c r="W89" i="4"/>
  <c r="AC42" i="4"/>
  <c r="O10" i="4"/>
  <c r="O16" i="4"/>
  <c r="X90" i="4"/>
  <c r="Z3" i="4"/>
  <c r="X71" i="4"/>
  <c r="AD41" i="4"/>
  <c r="AB66" i="4"/>
  <c r="K45" i="4"/>
  <c r="AF51" i="4"/>
  <c r="O108" i="4"/>
  <c r="G57" i="4"/>
  <c r="H21" i="4"/>
  <c r="Z37" i="4"/>
  <c r="G26" i="4"/>
  <c r="Y68" i="4"/>
  <c r="Y21" i="4"/>
  <c r="I68" i="4"/>
  <c r="E36" i="4"/>
  <c r="Y16" i="4"/>
  <c r="M54" i="4"/>
  <c r="Y26" i="4"/>
  <c r="D105" i="4"/>
  <c r="J26" i="4"/>
  <c r="N45" i="4"/>
  <c r="S74" i="4"/>
  <c r="G56" i="4"/>
  <c r="K26" i="4"/>
  <c r="O90" i="4"/>
  <c r="L96" i="4"/>
  <c r="F61" i="4"/>
  <c r="S84" i="4"/>
  <c r="G77" i="4"/>
  <c r="G107" i="4"/>
  <c r="T3" i="4"/>
  <c r="Z73" i="4"/>
  <c r="M75" i="4"/>
  <c r="AD53" i="4"/>
  <c r="J17" i="4"/>
  <c r="W14" i="4"/>
  <c r="AD79" i="4"/>
  <c r="K106" i="4"/>
  <c r="G8" i="4"/>
  <c r="AB43" i="4"/>
  <c r="R11" i="4"/>
  <c r="J37" i="4"/>
  <c r="P65" i="4"/>
  <c r="AE47" i="4"/>
  <c r="Q72" i="4"/>
  <c r="W30" i="4"/>
  <c r="O62" i="4"/>
  <c r="S13" i="4"/>
  <c r="V78" i="4"/>
  <c r="X99" i="4"/>
  <c r="Q24" i="4"/>
  <c r="L46" i="4"/>
  <c r="I48" i="4"/>
  <c r="R65" i="4"/>
  <c r="AC54" i="4"/>
  <c r="E13" i="4"/>
  <c r="J31" i="4"/>
  <c r="K20" i="4"/>
  <c r="E105" i="4"/>
  <c r="AC30" i="4"/>
  <c r="J6" i="4"/>
  <c r="AB11" i="4"/>
  <c r="I61" i="4"/>
  <c r="N35" i="4"/>
  <c r="T14" i="4"/>
  <c r="W9" i="4"/>
  <c r="H76" i="4"/>
  <c r="W28" i="4"/>
  <c r="AA57" i="4"/>
  <c r="Z84" i="4"/>
  <c r="E79" i="4"/>
  <c r="W34" i="4"/>
  <c r="AC81" i="4"/>
  <c r="F54" i="4"/>
  <c r="X42" i="4"/>
  <c r="J107" i="4"/>
  <c r="S103" i="4"/>
  <c r="H52" i="4"/>
  <c r="X40" i="4"/>
  <c r="U17" i="4"/>
  <c r="G38" i="4"/>
  <c r="Q40" i="4"/>
  <c r="O38" i="4"/>
  <c r="AB24" i="4"/>
  <c r="G61" i="4"/>
  <c r="T64" i="4"/>
  <c r="J41" i="4"/>
  <c r="E30" i="4"/>
  <c r="O92" i="4"/>
  <c r="U29" i="4"/>
  <c r="K43" i="4"/>
  <c r="S44" i="4"/>
  <c r="Q36" i="4"/>
  <c r="N68" i="4"/>
  <c r="Y20" i="4"/>
  <c r="Y24" i="4"/>
  <c r="AA97" i="4"/>
  <c r="AF53" i="4"/>
  <c r="U8" i="4"/>
  <c r="AA59" i="4"/>
  <c r="F98" i="4"/>
  <c r="R53" i="4"/>
  <c r="G104" i="4"/>
  <c r="E88" i="4"/>
  <c r="Q109" i="4"/>
  <c r="D44" i="4"/>
  <c r="K50" i="4"/>
  <c r="N63" i="4"/>
  <c r="S68" i="4"/>
  <c r="S17" i="4"/>
  <c r="F49" i="4"/>
  <c r="J7" i="4"/>
  <c r="K59" i="4"/>
  <c r="Y6" i="4"/>
  <c r="T28" i="4"/>
  <c r="E17" i="4"/>
  <c r="R71" i="4"/>
  <c r="AC61" i="4"/>
  <c r="J35" i="4"/>
  <c r="AA66" i="4"/>
  <c r="F93" i="4"/>
  <c r="K95" i="4"/>
  <c r="K30" i="4"/>
  <c r="AC21" i="4"/>
  <c r="R50" i="4"/>
  <c r="J78" i="4"/>
  <c r="K86" i="4"/>
  <c r="N108" i="4"/>
  <c r="M61" i="4"/>
  <c r="I45" i="4"/>
  <c r="D51" i="4"/>
  <c r="X102" i="4"/>
  <c r="H39" i="4"/>
  <c r="AA76" i="4"/>
  <c r="AA83" i="4"/>
  <c r="AA8" i="4"/>
  <c r="R90" i="4"/>
  <c r="Y39" i="4"/>
  <c r="AC13" i="4"/>
  <c r="O109" i="4"/>
  <c r="AC66" i="4"/>
  <c r="D36" i="4"/>
  <c r="K23" i="4"/>
  <c r="AD76" i="4"/>
  <c r="O37" i="4"/>
  <c r="U3" i="4"/>
  <c r="I42" i="4"/>
  <c r="AE87" i="4"/>
  <c r="R21" i="4"/>
  <c r="S22" i="4"/>
  <c r="L93" i="4"/>
  <c r="L101" i="4"/>
  <c r="K44" i="4"/>
  <c r="O57" i="4"/>
  <c r="R75" i="4"/>
  <c r="AC101" i="4"/>
  <c r="L71" i="4"/>
  <c r="I51" i="4"/>
  <c r="AD48" i="4"/>
  <c r="V20" i="4"/>
  <c r="H109" i="4"/>
  <c r="AE86" i="4"/>
  <c r="K100" i="4"/>
  <c r="W18" i="4"/>
  <c r="AC37" i="4"/>
  <c r="Y76" i="4"/>
  <c r="G97" i="4"/>
  <c r="T86" i="4"/>
  <c r="AF93" i="4"/>
  <c r="E9" i="4"/>
  <c r="AF76" i="4"/>
  <c r="V98" i="4"/>
  <c r="N19" i="4"/>
  <c r="AC72" i="4"/>
  <c r="M16" i="4"/>
  <c r="V43" i="4"/>
  <c r="X48" i="4"/>
  <c r="U61" i="4"/>
  <c r="U88" i="4"/>
  <c r="S102" i="4"/>
  <c r="W80" i="4"/>
  <c r="U22" i="4"/>
  <c r="J99" i="4"/>
  <c r="F35" i="4"/>
  <c r="AF79" i="4"/>
  <c r="AD17" i="4"/>
  <c r="AD72" i="4"/>
  <c r="P51" i="4"/>
  <c r="Y97" i="4"/>
  <c r="F91" i="4"/>
  <c r="Q58" i="4"/>
  <c r="AD7" i="4"/>
  <c r="F57" i="4"/>
  <c r="T49" i="4"/>
  <c r="AB94" i="4"/>
  <c r="AC98" i="4"/>
  <c r="P12" i="4"/>
  <c r="Q33" i="4"/>
  <c r="Z38" i="4"/>
  <c r="AB31" i="4"/>
  <c r="U26" i="4"/>
  <c r="M38" i="4"/>
  <c r="K66" i="4"/>
  <c r="G99" i="4"/>
  <c r="X27" i="4"/>
  <c r="P89" i="4"/>
  <c r="S26" i="4"/>
  <c r="AC90" i="4"/>
  <c r="H42" i="4"/>
  <c r="AE40" i="4"/>
  <c r="L42" i="4"/>
  <c r="AE89" i="4"/>
  <c r="T54" i="4"/>
  <c r="M93" i="4"/>
  <c r="T77" i="4"/>
  <c r="E15" i="4"/>
  <c r="AE65" i="4"/>
  <c r="L32" i="4"/>
  <c r="U60" i="4"/>
  <c r="U68" i="4"/>
  <c r="L52" i="4"/>
  <c r="W35" i="4"/>
  <c r="AC44" i="4"/>
  <c r="J8" i="4"/>
  <c r="X55" i="4"/>
  <c r="L102" i="4"/>
  <c r="O67" i="4"/>
  <c r="Y50" i="4"/>
  <c r="D79" i="4"/>
  <c r="X52" i="4"/>
  <c r="AC99" i="4"/>
  <c r="U86" i="4"/>
  <c r="I102" i="4"/>
  <c r="I15" i="4"/>
  <c r="I95" i="4"/>
  <c r="V93" i="4"/>
  <c r="X70" i="4"/>
  <c r="M103" i="4"/>
  <c r="Y85" i="4"/>
  <c r="Z28" i="4"/>
  <c r="AC36" i="4"/>
  <c r="F73" i="4"/>
  <c r="AA62" i="4"/>
  <c r="AC91" i="4"/>
  <c r="N51" i="4"/>
  <c r="N8" i="4"/>
  <c r="W81" i="4"/>
  <c r="O84" i="4"/>
  <c r="X7" i="4"/>
  <c r="U62" i="4"/>
  <c r="T9" i="4"/>
  <c r="T35" i="4"/>
  <c r="Q29" i="4"/>
  <c r="T100" i="4"/>
  <c r="O105" i="4"/>
  <c r="E8" i="4"/>
  <c r="P37" i="4"/>
  <c r="D37" i="4"/>
  <c r="M27" i="4"/>
  <c r="T107" i="4"/>
  <c r="AD24" i="4"/>
  <c r="AF15" i="4"/>
  <c r="AA10" i="4"/>
  <c r="K35" i="4"/>
  <c r="N12" i="4"/>
  <c r="AA15" i="4"/>
  <c r="W44" i="4"/>
  <c r="E90" i="4"/>
  <c r="H30" i="4"/>
  <c r="V59" i="4"/>
  <c r="G91" i="4"/>
  <c r="AB81" i="4"/>
  <c r="Q66" i="4"/>
  <c r="H78" i="4"/>
  <c r="W4" i="4"/>
  <c r="G49" i="4"/>
  <c r="K74" i="4"/>
  <c r="O46" i="4"/>
  <c r="P61" i="4"/>
  <c r="F92" i="4"/>
  <c r="P14" i="4"/>
  <c r="H74" i="4"/>
  <c r="X76" i="4"/>
  <c r="AD103" i="4"/>
  <c r="O50" i="4"/>
  <c r="F32" i="4"/>
  <c r="N71" i="4"/>
  <c r="AA36" i="4"/>
  <c r="AE23" i="4"/>
  <c r="G82" i="4"/>
  <c r="G6" i="4"/>
  <c r="O76" i="4"/>
  <c r="U56" i="4"/>
  <c r="H9" i="4"/>
  <c r="L55" i="4"/>
  <c r="J46" i="4"/>
  <c r="F56" i="4"/>
  <c r="K101" i="4"/>
  <c r="T31" i="4"/>
  <c r="Q85" i="4"/>
  <c r="W97" i="4"/>
  <c r="I101" i="4"/>
  <c r="X8" i="4"/>
  <c r="L86" i="4"/>
  <c r="AA12" i="4"/>
  <c r="L13" i="4"/>
  <c r="N44" i="4"/>
  <c r="AB38" i="4"/>
  <c r="M28" i="4"/>
  <c r="M94" i="4"/>
  <c r="T71" i="4"/>
  <c r="W41" i="4"/>
  <c r="L68" i="4"/>
  <c r="AF48" i="4"/>
  <c r="E62" i="4"/>
  <c r="N42" i="4"/>
  <c r="L88" i="4"/>
  <c r="R14" i="4"/>
  <c r="Q12" i="4"/>
  <c r="P91" i="4"/>
  <c r="J21" i="4"/>
  <c r="AB18" i="4"/>
  <c r="I9" i="4"/>
  <c r="AF84" i="4"/>
  <c r="N48" i="4"/>
  <c r="U7" i="4"/>
  <c r="M104" i="4"/>
  <c r="AA91" i="4"/>
  <c r="T5" i="4"/>
  <c r="AE32" i="4"/>
  <c r="N100" i="4"/>
  <c r="Q55" i="4"/>
  <c r="D58" i="4"/>
  <c r="L53" i="4"/>
  <c r="Y43" i="4"/>
  <c r="D12" i="4"/>
  <c r="F74" i="4"/>
  <c r="N103" i="4"/>
  <c r="X68" i="4"/>
  <c r="H54" i="4"/>
  <c r="AF67" i="4"/>
  <c r="H48" i="4"/>
  <c r="Z77" i="4"/>
  <c r="N29" i="4"/>
  <c r="D90" i="4"/>
  <c r="X13" i="4"/>
  <c r="S92" i="4"/>
  <c r="U99" i="4"/>
  <c r="S5" i="4"/>
  <c r="R106" i="4"/>
  <c r="AB97" i="4"/>
  <c r="T22" i="4"/>
  <c r="H57" i="4"/>
  <c r="P70" i="4"/>
  <c r="S77" i="4"/>
  <c r="O40" i="4"/>
  <c r="AC46" i="4"/>
  <c r="E104" i="4"/>
  <c r="AA94" i="4"/>
  <c r="G29" i="4"/>
  <c r="N6" i="4"/>
  <c r="AA7" i="4"/>
  <c r="W48" i="4"/>
  <c r="T94" i="4"/>
  <c r="H5" i="4"/>
  <c r="AB39" i="4"/>
  <c r="K102" i="4"/>
  <c r="X75" i="4"/>
  <c r="L48" i="4"/>
  <c r="AC63" i="4"/>
  <c r="X57" i="4"/>
  <c r="U27" i="4"/>
  <c r="AE101" i="4"/>
  <c r="I72" i="4"/>
  <c r="M5" i="4"/>
  <c r="S51" i="4"/>
  <c r="W65" i="4"/>
  <c r="N76" i="4"/>
  <c r="T11" i="4"/>
  <c r="S58" i="4"/>
  <c r="H40" i="4"/>
  <c r="O75" i="4"/>
  <c r="M58" i="4"/>
  <c r="H36" i="4"/>
  <c r="M83" i="4"/>
  <c r="AD3" i="4"/>
  <c r="L75" i="4"/>
  <c r="R27" i="4"/>
  <c r="L73" i="4"/>
  <c r="AC40" i="4"/>
  <c r="O48" i="4"/>
  <c r="AD96" i="4"/>
  <c r="AD52" i="4"/>
  <c r="D93" i="4"/>
  <c r="J54" i="4"/>
  <c r="V80" i="4"/>
  <c r="H32" i="4"/>
  <c r="T44" i="4"/>
  <c r="J2" i="4"/>
  <c r="AE21" i="4"/>
  <c r="AA56" i="4"/>
  <c r="AF26" i="4"/>
  <c r="N38" i="4"/>
  <c r="V40" i="4"/>
  <c r="G60" i="4"/>
  <c r="O104" i="4"/>
  <c r="F46" i="4"/>
  <c r="P16" i="4"/>
  <c r="P31" i="4"/>
  <c r="AE26" i="4"/>
  <c r="W106" i="4"/>
  <c r="S82" i="4"/>
  <c r="P52" i="4"/>
  <c r="S37" i="4"/>
  <c r="G59" i="4"/>
  <c r="R97" i="4"/>
  <c r="O3" i="4"/>
  <c r="K65" i="4"/>
  <c r="L107" i="4"/>
  <c r="L94" i="4"/>
  <c r="G83" i="4"/>
  <c r="AF21" i="4"/>
  <c r="K78" i="4"/>
  <c r="Z54" i="4"/>
  <c r="W78" i="4"/>
  <c r="D8" i="4"/>
  <c r="M57" i="4"/>
  <c r="AB106" i="4"/>
  <c r="AE62" i="4"/>
  <c r="D64" i="4"/>
  <c r="H70" i="4"/>
  <c r="AE64" i="4"/>
  <c r="AD89" i="4"/>
  <c r="T91" i="4"/>
  <c r="AC24" i="4"/>
  <c r="AE75" i="4"/>
  <c r="K46" i="4"/>
  <c r="V95" i="4"/>
  <c r="O107" i="4"/>
  <c r="V83" i="4"/>
  <c r="AD13" i="4"/>
  <c r="V17" i="4"/>
  <c r="U106" i="4"/>
  <c r="E39" i="4"/>
  <c r="AA67" i="4"/>
  <c r="Z101" i="4"/>
  <c r="X72" i="4"/>
  <c r="F15" i="4"/>
  <c r="F99" i="4"/>
  <c r="H14" i="4"/>
  <c r="AB9" i="4"/>
  <c r="O103" i="4"/>
  <c r="J97" i="4"/>
  <c r="R2" i="4"/>
  <c r="I23" i="4"/>
  <c r="Z70" i="4"/>
  <c r="F52" i="4"/>
  <c r="P101" i="4"/>
  <c r="U30" i="4"/>
  <c r="U45" i="4"/>
  <c r="J109" i="4"/>
  <c r="U82" i="4"/>
  <c r="R29" i="4"/>
  <c r="N74" i="4"/>
  <c r="R33" i="4"/>
  <c r="I4" i="4"/>
  <c r="AF4" i="4"/>
  <c r="S28" i="4"/>
  <c r="N65" i="4"/>
  <c r="AF6" i="4"/>
  <c r="G52" i="4"/>
  <c r="AD108" i="4"/>
  <c r="E5" i="4"/>
  <c r="L104" i="4"/>
  <c r="S99" i="4"/>
  <c r="AE96" i="4"/>
  <c r="E70" i="4"/>
  <c r="O86" i="4"/>
  <c r="X91" i="4"/>
  <c r="R96" i="4"/>
  <c r="AB78" i="4"/>
  <c r="D99" i="4"/>
  <c r="I10" i="4"/>
  <c r="AD91" i="4"/>
  <c r="J85" i="4"/>
  <c r="N52" i="4"/>
  <c r="L36" i="4"/>
  <c r="N39" i="4"/>
  <c r="O85" i="4"/>
  <c r="AD88" i="4"/>
  <c r="X33" i="4"/>
  <c r="I39" i="4"/>
  <c r="I77" i="4"/>
  <c r="R44" i="4"/>
  <c r="AF89" i="4"/>
  <c r="AE29" i="4"/>
  <c r="R100" i="4"/>
  <c r="D83" i="4"/>
  <c r="M70" i="4"/>
  <c r="I8" i="4"/>
  <c r="V65" i="4"/>
  <c r="M20" i="4"/>
  <c r="AB25" i="4"/>
  <c r="K41" i="4"/>
  <c r="P40" i="4"/>
  <c r="AE24" i="4"/>
  <c r="AF36" i="4"/>
  <c r="W53" i="4"/>
  <c r="AE12" i="4"/>
  <c r="I47" i="4"/>
  <c r="AD70" i="4"/>
  <c r="Q80" i="4"/>
  <c r="Y2" i="4"/>
  <c r="S54" i="4"/>
  <c r="P97" i="4"/>
  <c r="AC83" i="4"/>
  <c r="L31" i="4"/>
  <c r="AE22" i="4"/>
  <c r="F78" i="4"/>
  <c r="G66" i="4"/>
  <c r="P4" i="4"/>
  <c r="N66" i="4"/>
  <c r="AC59" i="4"/>
  <c r="D18" i="4"/>
  <c r="AB95" i="4"/>
  <c r="AA54" i="4"/>
  <c r="E46" i="4"/>
  <c r="AC108" i="4"/>
  <c r="AD82" i="4"/>
  <c r="L38" i="4"/>
  <c r="X3" i="4"/>
  <c r="M91" i="4"/>
  <c r="P60" i="4"/>
  <c r="G4" i="4"/>
  <c r="E77" i="4"/>
  <c r="E85" i="4"/>
  <c r="J76" i="4"/>
  <c r="H12" i="4"/>
  <c r="G22" i="4"/>
  <c r="AA77" i="4"/>
  <c r="W62" i="4"/>
  <c r="F65" i="4"/>
  <c r="T101" i="4"/>
  <c r="M30" i="4"/>
  <c r="S8" i="4"/>
  <c r="P78" i="4"/>
  <c r="L67" i="4"/>
  <c r="N26" i="4"/>
  <c r="E25" i="4"/>
  <c r="J80" i="4"/>
  <c r="AD5" i="4"/>
  <c r="AE59" i="4"/>
  <c r="R13" i="4"/>
  <c r="Z94" i="4"/>
  <c r="W31" i="4"/>
  <c r="K22" i="4"/>
  <c r="F5" i="4"/>
  <c r="K6" i="4"/>
  <c r="R54" i="4"/>
  <c r="H95" i="4"/>
  <c r="S64" i="4"/>
  <c r="U16" i="4"/>
  <c r="AD98" i="4"/>
  <c r="Y8" i="4"/>
  <c r="N53" i="4"/>
  <c r="X108" i="4"/>
  <c r="AA102" i="4"/>
  <c r="I108" i="4"/>
  <c r="AD62" i="4"/>
  <c r="AD57" i="4"/>
  <c r="N10" i="4"/>
  <c r="J75" i="4"/>
  <c r="AE30" i="4"/>
  <c r="E60" i="4"/>
  <c r="P2" i="4"/>
  <c r="AF39" i="4"/>
  <c r="M60" i="4"/>
  <c r="AA5" i="4"/>
  <c r="K97" i="4"/>
  <c r="D6" i="4"/>
  <c r="T46" i="4"/>
  <c r="AD23" i="4"/>
  <c r="T32" i="4"/>
  <c r="Y71" i="4"/>
  <c r="J89" i="4"/>
  <c r="H79" i="4"/>
  <c r="AB98" i="4"/>
  <c r="W98" i="4"/>
  <c r="J22" i="4"/>
  <c r="T93" i="4"/>
  <c r="V22" i="4"/>
  <c r="D57" i="4"/>
  <c r="I71" i="4"/>
  <c r="S29" i="4"/>
  <c r="K16" i="4"/>
  <c r="E6" i="4"/>
  <c r="Z17" i="4"/>
  <c r="N88" i="4"/>
  <c r="R56" i="4"/>
  <c r="Z66" i="4"/>
  <c r="N25" i="4"/>
  <c r="V103" i="4"/>
  <c r="AB27" i="4"/>
  <c r="U73" i="4"/>
  <c r="J64" i="4"/>
  <c r="Z45" i="4"/>
  <c r="V86" i="4"/>
  <c r="G67" i="4"/>
  <c r="V32" i="4"/>
  <c r="AB36" i="4"/>
  <c r="X2" i="4"/>
  <c r="U37" i="4"/>
  <c r="R108" i="4"/>
  <c r="V66" i="4"/>
  <c r="K40" i="4"/>
  <c r="AA3" i="4"/>
  <c r="R45" i="4"/>
  <c r="N7" i="4"/>
  <c r="AD99" i="4"/>
  <c r="AA84" i="4"/>
  <c r="W29" i="4"/>
  <c r="Q25" i="4"/>
  <c r="J30" i="4"/>
  <c r="Z71" i="4"/>
  <c r="L26" i="4"/>
  <c r="H38" i="4"/>
  <c r="AD9" i="4"/>
  <c r="O69" i="4"/>
  <c r="AF50" i="4"/>
  <c r="J5" i="4"/>
  <c r="X87" i="4"/>
  <c r="AF105" i="4"/>
  <c r="AB92" i="4"/>
  <c r="I30" i="4"/>
  <c r="K64" i="4"/>
  <c r="Q76" i="4"/>
  <c r="O71" i="4"/>
  <c r="U28" i="4"/>
  <c r="G87" i="4"/>
  <c r="V64" i="4"/>
  <c r="M105" i="4"/>
  <c r="AD4" i="4"/>
  <c r="F23" i="4"/>
  <c r="J49" i="4"/>
  <c r="V94" i="4"/>
  <c r="K42" i="4"/>
  <c r="O14" i="4"/>
  <c r="R41" i="4"/>
  <c r="AF66" i="4"/>
  <c r="K79" i="4"/>
  <c r="L44" i="4"/>
  <c r="Y56" i="4"/>
  <c r="Z96" i="4"/>
  <c r="T106" i="4"/>
  <c r="R52" i="4"/>
  <c r="I64" i="4"/>
  <c r="V50" i="4"/>
  <c r="U21" i="4"/>
  <c r="AB87" i="4"/>
  <c r="V92" i="4"/>
  <c r="AD60" i="4"/>
  <c r="D20" i="4"/>
  <c r="E45" i="4"/>
  <c r="T60" i="4"/>
  <c r="P79" i="4"/>
  <c r="E47" i="4"/>
  <c r="I5" i="4"/>
  <c r="F107" i="4"/>
  <c r="X79" i="4"/>
  <c r="D106" i="4"/>
  <c r="AB72" i="4"/>
  <c r="R80" i="4"/>
  <c r="AC48" i="4"/>
  <c r="W50" i="4"/>
  <c r="T19" i="4"/>
  <c r="W3" i="4"/>
  <c r="E4" i="4"/>
  <c r="AF5" i="4"/>
  <c r="G13" i="4"/>
  <c r="AB28" i="4"/>
  <c r="I33" i="4"/>
  <c r="AE107" i="4"/>
  <c r="X59" i="4"/>
  <c r="AA65" i="4"/>
  <c r="AC85" i="4"/>
  <c r="AF96" i="4"/>
  <c r="L4" i="4"/>
  <c r="M21" i="4"/>
  <c r="U76" i="4"/>
  <c r="R5" i="4"/>
  <c r="D31" i="4"/>
  <c r="AB56" i="4"/>
  <c r="O27" i="4"/>
  <c r="W8" i="4"/>
  <c r="X31" i="4"/>
  <c r="F82" i="4"/>
  <c r="X34" i="4"/>
  <c r="N24" i="4"/>
  <c r="D45" i="4"/>
  <c r="AF90" i="4"/>
  <c r="S66" i="4"/>
  <c r="AD75" i="4"/>
  <c r="E40" i="4"/>
  <c r="AE82" i="4"/>
  <c r="J93" i="4"/>
  <c r="I41" i="4"/>
  <c r="P19" i="4"/>
  <c r="Z46" i="4"/>
  <c r="R74" i="4"/>
  <c r="AF49" i="4"/>
  <c r="Q45" i="4"/>
  <c r="AA51" i="4"/>
  <c r="N84" i="4"/>
  <c r="E81" i="4"/>
  <c r="E71" i="4"/>
  <c r="H25" i="4"/>
  <c r="AA69" i="4"/>
  <c r="M107" i="4"/>
  <c r="D73" i="4"/>
  <c r="I92" i="4"/>
  <c r="N13" i="4"/>
  <c r="N72" i="4"/>
  <c r="U84" i="4"/>
  <c r="AE17" i="4"/>
  <c r="Q19" i="4"/>
  <c r="E103" i="4"/>
  <c r="N86" i="4"/>
  <c r="AE6" i="4"/>
  <c r="Z18" i="4"/>
  <c r="Z51" i="4"/>
  <c r="H16" i="4"/>
  <c r="H53" i="4"/>
  <c r="H88" i="4"/>
  <c r="Z53" i="4"/>
  <c r="AD54" i="4"/>
  <c r="W2" i="4"/>
  <c r="X10" i="4"/>
  <c r="S24" i="4"/>
  <c r="T75" i="4"/>
  <c r="O58" i="4"/>
  <c r="AF72" i="4"/>
  <c r="AB14" i="4"/>
  <c r="AC106" i="4"/>
  <c r="H101" i="4"/>
  <c r="E69" i="4"/>
  <c r="AE43" i="4"/>
  <c r="P15" i="4"/>
  <c r="J33" i="4"/>
  <c r="L105" i="4"/>
  <c r="Z21" i="4"/>
  <c r="T38" i="4"/>
  <c r="T47" i="4"/>
  <c r="AA50" i="4"/>
  <c r="G36" i="4"/>
  <c r="AB83" i="4"/>
  <c r="I35" i="4"/>
  <c r="Z61" i="4"/>
  <c r="O43" i="4"/>
  <c r="H85" i="4"/>
  <c r="L77" i="4"/>
  <c r="Y94" i="4"/>
  <c r="V8" i="4"/>
  <c r="W68" i="4"/>
  <c r="U40" i="4"/>
  <c r="AB34" i="4"/>
  <c r="R39" i="4"/>
  <c r="AA41" i="4"/>
  <c r="AF23" i="4"/>
  <c r="P103" i="4"/>
  <c r="L19" i="4"/>
  <c r="N30" i="4"/>
  <c r="AE53" i="4"/>
  <c r="P28" i="4"/>
  <c r="D53" i="4"/>
  <c r="H11" i="4"/>
  <c r="V67" i="4"/>
  <c r="AC76" i="4"/>
  <c r="V79" i="4"/>
  <c r="F102" i="4"/>
  <c r="D108" i="4"/>
  <c r="M52" i="4"/>
  <c r="W90" i="4"/>
  <c r="J95" i="4"/>
  <c r="E23" i="4"/>
  <c r="J43" i="4"/>
  <c r="AC96" i="4"/>
  <c r="H26" i="4"/>
  <c r="K54" i="4"/>
  <c r="D71" i="4"/>
  <c r="AA4" i="4"/>
  <c r="Z81" i="4"/>
  <c r="O13" i="4"/>
  <c r="I103" i="4"/>
  <c r="E106" i="4"/>
  <c r="AC27" i="4"/>
  <c r="M80" i="4"/>
  <c r="R86" i="4"/>
  <c r="P57" i="4"/>
  <c r="E101" i="4"/>
  <c r="G94" i="4"/>
  <c r="AA24" i="4"/>
  <c r="M18" i="4"/>
  <c r="K73" i="4"/>
  <c r="T99" i="4"/>
  <c r="AC86" i="4"/>
  <c r="W7" i="4"/>
  <c r="AC14" i="4"/>
  <c r="AD55" i="4"/>
  <c r="AB84" i="4"/>
  <c r="M6" i="4"/>
  <c r="Q8" i="4"/>
  <c r="U53" i="4"/>
  <c r="K5" i="4"/>
  <c r="AB79" i="4"/>
  <c r="AE52" i="4"/>
  <c r="U63" i="4"/>
  <c r="Q63" i="4"/>
  <c r="AF44" i="4"/>
  <c r="AE85" i="4"/>
  <c r="J84" i="4"/>
  <c r="J9" i="4"/>
  <c r="P27" i="4"/>
  <c r="J77" i="4"/>
  <c r="AA19" i="4"/>
  <c r="Q107" i="4"/>
  <c r="AE73" i="4"/>
  <c r="N16" i="4"/>
  <c r="M66" i="4"/>
  <c r="V85" i="4"/>
  <c r="L57" i="4"/>
  <c r="E20" i="4"/>
  <c r="Y36" i="4"/>
  <c r="E68" i="4"/>
  <c r="Q94" i="4"/>
  <c r="AC3" i="4"/>
  <c r="AE16" i="4"/>
  <c r="S32" i="4"/>
  <c r="Y102" i="4"/>
  <c r="N87" i="4"/>
  <c r="P18" i="4"/>
  <c r="AE60" i="4"/>
  <c r="J103" i="4"/>
  <c r="AD8" i="4"/>
  <c r="T88" i="4"/>
  <c r="F36" i="4"/>
  <c r="J16" i="4"/>
  <c r="U109" i="4"/>
  <c r="Q106" i="4"/>
  <c r="E24" i="4"/>
  <c r="O24" i="4"/>
  <c r="L58" i="4"/>
  <c r="U32" i="4"/>
  <c r="V90" i="4"/>
  <c r="I13" i="4"/>
  <c r="I73" i="4"/>
  <c r="G53" i="4"/>
  <c r="AA2" i="4"/>
  <c r="S75" i="4"/>
  <c r="W45" i="4"/>
  <c r="V31" i="4"/>
  <c r="T109" i="4"/>
  <c r="T12" i="4"/>
  <c r="V96" i="4"/>
  <c r="V60" i="4"/>
  <c r="V54" i="4"/>
  <c r="AA93" i="4"/>
  <c r="AC18" i="4"/>
  <c r="G62" i="4"/>
  <c r="U33" i="4"/>
  <c r="I21" i="4"/>
  <c r="T82" i="4"/>
  <c r="L82" i="4"/>
  <c r="AA103" i="4"/>
  <c r="R38" i="4"/>
  <c r="I69" i="4"/>
  <c r="AA11" i="4"/>
  <c r="S105" i="4"/>
  <c r="Y33" i="4"/>
  <c r="H43" i="4"/>
  <c r="AB69" i="4"/>
  <c r="J12" i="4"/>
  <c r="R98" i="4"/>
  <c r="R24" i="4"/>
  <c r="I52" i="4"/>
  <c r="S16" i="4"/>
  <c r="R62" i="4"/>
  <c r="J50" i="4"/>
  <c r="E35" i="4"/>
  <c r="Z12" i="4"/>
  <c r="R48" i="4"/>
  <c r="W15" i="4"/>
  <c r="J66" i="4"/>
  <c r="AB12" i="4"/>
  <c r="E49" i="4"/>
  <c r="V108" i="4"/>
  <c r="AD32" i="4"/>
  <c r="AA25" i="4"/>
  <c r="T41" i="4"/>
  <c r="Y48" i="4"/>
  <c r="AE46" i="4"/>
  <c r="N67" i="4"/>
  <c r="W69" i="4"/>
  <c r="Z10" i="4"/>
  <c r="P83" i="4"/>
  <c r="R37" i="4"/>
  <c r="K52" i="4"/>
  <c r="G103" i="4"/>
  <c r="AD80" i="4"/>
  <c r="G39" i="4"/>
  <c r="T98" i="4"/>
  <c r="E59" i="4"/>
  <c r="Y18" i="4"/>
  <c r="N20" i="4"/>
  <c r="G45" i="4"/>
  <c r="E42" i="4"/>
  <c r="W101" i="4"/>
  <c r="Q28" i="4"/>
  <c r="P10" i="4"/>
  <c r="AD73" i="4"/>
  <c r="H22" i="4"/>
  <c r="P68" i="4"/>
  <c r="L47" i="4"/>
  <c r="N89" i="4"/>
  <c r="P30" i="4"/>
  <c r="K29" i="4"/>
  <c r="M82" i="4"/>
  <c r="N36" i="4"/>
  <c r="R94" i="4"/>
  <c r="H3" i="4"/>
  <c r="F108" i="4"/>
  <c r="D2" i="4"/>
  <c r="J51" i="4"/>
  <c r="AA71" i="4"/>
  <c r="AC45" i="4"/>
  <c r="P53" i="4"/>
  <c r="D81" i="4"/>
  <c r="Y10" i="4"/>
  <c r="AD29" i="4"/>
  <c r="K48" i="4"/>
  <c r="AC65" i="4"/>
  <c r="L60" i="4"/>
  <c r="Q23" i="4"/>
  <c r="AE20" i="4"/>
  <c r="AA108" i="4"/>
  <c r="S83" i="4"/>
  <c r="U71" i="4"/>
  <c r="I94" i="4"/>
  <c r="L99" i="4"/>
  <c r="AD25" i="4"/>
  <c r="H96" i="4"/>
  <c r="D72" i="4"/>
  <c r="U9" i="4"/>
  <c r="G108" i="4"/>
  <c r="M15" i="4"/>
  <c r="K90" i="4"/>
  <c r="D47" i="4"/>
  <c r="V81" i="4"/>
  <c r="U6" i="4"/>
  <c r="W24" i="4"/>
  <c r="K31" i="4"/>
  <c r="O25" i="4"/>
  <c r="Q20" i="4"/>
  <c r="AC67" i="4"/>
  <c r="AC2" i="4"/>
  <c r="F16" i="4"/>
  <c r="N98" i="4"/>
  <c r="V7" i="4"/>
  <c r="AD67" i="4"/>
  <c r="I78" i="4"/>
  <c r="L100" i="4"/>
  <c r="AA32" i="4"/>
  <c r="M95" i="4"/>
  <c r="AC38" i="4"/>
  <c r="V99" i="4"/>
  <c r="G50" i="4"/>
  <c r="AB102" i="4"/>
  <c r="M13" i="4"/>
  <c r="R95" i="4"/>
  <c r="P49" i="4"/>
  <c r="AE74" i="4"/>
  <c r="AD63" i="4"/>
  <c r="AB33" i="4"/>
  <c r="M78" i="4"/>
  <c r="N22" i="4"/>
  <c r="D4" i="4"/>
  <c r="B2" i="4"/>
  <c r="K11" i="4"/>
  <c r="C2" i="2" a="1"/>
  <c r="R2" i="2" a="1"/>
  <c r="D2" i="2" a="1"/>
  <c r="S2" i="2" a="1"/>
  <c r="K2" i="2" a="1"/>
  <c r="G2" i="2" a="1"/>
  <c r="L2" i="2" a="1"/>
  <c r="H2" i="2" a="1"/>
  <c r="M2" i="2" a="1"/>
  <c r="T2" i="2" a="1"/>
  <c r="E2" i="2" a="1"/>
  <c r="U2" i="2" a="1"/>
  <c r="P2" i="2" a="1"/>
  <c r="K2" i="7" a="1"/>
  <c r="Q2" i="2" a="1"/>
  <c r="I2" i="2" a="1"/>
  <c r="O2" i="2" a="1"/>
  <c r="J2" i="2" a="1"/>
  <c r="F2" i="2" a="1"/>
  <c r="N2" i="2" a="1"/>
  <c r="V2" i="2" a="1"/>
  <c r="T2" i="7" a="1"/>
  <c r="V2" i="2" l="1"/>
  <c r="N2" i="2"/>
  <c r="F2" i="2"/>
  <c r="J2" i="2"/>
  <c r="O2" i="2"/>
  <c r="I2" i="2"/>
  <c r="Q2" i="2"/>
  <c r="P2" i="2"/>
  <c r="U2" i="2"/>
  <c r="E2" i="2"/>
  <c r="T2" i="2"/>
  <c r="M2" i="2"/>
  <c r="H2" i="2"/>
  <c r="L2" i="2"/>
  <c r="G2" i="2"/>
  <c r="K2" i="2"/>
  <c r="S2" i="2"/>
  <c r="D2" i="2"/>
  <c r="R2" i="2"/>
  <c r="C2" i="2"/>
  <c r="K2" i="7"/>
  <c r="T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<sst xmlns="http://schemas.openxmlformats.org/spreadsheetml/2006/main" count="22" uniqueCount="21">
  <si>
    <t>Noms des fichiers primaires dans la cache</t>
  </si>
  <si>
    <t>Attributs du thème 1</t>
  </si>
  <si>
    <t>Thèmes</t>
  </si>
  <si>
    <t>Toutes les courbes</t>
  </si>
  <si>
    <t>Noms des actions</t>
  </si>
  <si>
    <t>Nom des outputs</t>
  </si>
  <si>
    <t>Valeur output</t>
  </si>
  <si>
    <t>Location du fichier primaire</t>
  </si>
  <si>
    <t>Nom du scénario</t>
  </si>
  <si>
    <t>Chargement</t>
  </si>
  <si>
    <t>yield</t>
  </si>
  <si>
    <t>COS</t>
  </si>
  <si>
    <t>youvert</t>
  </si>
  <si>
    <t>FC</t>
  </si>
  <si>
    <t>Aggregats</t>
  </si>
  <si>
    <t>Période</t>
  </si>
  <si>
    <t>formule</t>
  </si>
  <si>
    <t>Regafin</t>
  </si>
  <si>
    <t>regapar</t>
  </si>
  <si>
    <t>03_sc1a_bfecopt</t>
  </si>
  <si>
    <t>D:/FM/PC_7001892_U03772_SSP02.pri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</si>
</sst>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</xdr:row>
      <xdr:rowOff>0</xdr:rowOff>
    </xdr:from>
    <xdr:to>
      <xdr:col>27</xdr:col>
      <xdr:colOff>254000</xdr:colOff>
      <xdr:row>35</xdr:row>
      <xdr:rowOff>63500</xdr:rowOff>
    </xdr:to>
    <xdr:pic>
      <xdr:nvPicPr>
        <xdr:cNvPr id="55" name="Image 54">
          <a:extLst>
            <a:ext uri="{FF2B5EF4-FFF2-40B4-BE49-F238E27FC236}">
              <a16:creationId xmlns:a16="http://schemas.microsoft.com/office/drawing/2014/main" id="{7D225BCA-74B7-42BC-BE49-80AEC2E460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0" y="381000"/>
          <a:ext cx="6350000" cy="6350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27</xdr:col>
      <xdr:colOff>254000</xdr:colOff>
      <xdr:row>35</xdr:row>
      <xdr:rowOff>63500</xdr:rowOff>
    </xdr:to>
    <xdr:pic>
      <xdr:nvPicPr>
        <xdr:cNvPr id="57" name="Image 56">
          <a:extLst>
            <a:ext uri="{FF2B5EF4-FFF2-40B4-BE49-F238E27FC236}">
              <a16:creationId xmlns:a16="http://schemas.microsoft.com/office/drawing/2014/main" id="{DA872BBD-D38E-43CE-850F-5703C7F859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0" y="381000"/>
          <a:ext cx="6350000" cy="635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18</xdr:col>
      <xdr:colOff>254000</xdr:colOff>
      <xdr:row>35</xdr:row>
      <xdr:rowOff>63500</xdr:rowOff>
    </xdr:to>
    <xdr:pic>
      <xdr:nvPicPr>
        <xdr:cNvPr id="59" name="Image 58">
          <a:extLst>
            <a:ext uri="{FF2B5EF4-FFF2-40B4-BE49-F238E27FC236}">
              <a16:creationId xmlns:a16="http://schemas.microsoft.com/office/drawing/2014/main" id="{9185B998-02A5-41FB-91EC-9CB0DA1090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381000"/>
          <a:ext cx="6350000" cy="635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18</xdr:col>
      <xdr:colOff>254000</xdr:colOff>
      <xdr:row>35</xdr:row>
      <xdr:rowOff>63500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EC46628-31D6-457C-A66D-D4C2CD8F94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381000"/>
          <a:ext cx="6350000" cy="6350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27</xdr:col>
      <xdr:colOff>254000</xdr:colOff>
      <xdr:row>35</xdr:row>
      <xdr:rowOff>63500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FC59414-99E6-4A8B-9E2B-7FA6F80A5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0" y="381000"/>
          <a:ext cx="6350000" cy="635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18</xdr:col>
      <xdr:colOff>254000</xdr:colOff>
      <xdr:row>35</xdr:row>
      <xdr:rowOff>63500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65271B21-0AD9-4B36-93DA-E45011F98F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381000"/>
          <a:ext cx="6350000" cy="6350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27</xdr:col>
      <xdr:colOff>254000</xdr:colOff>
      <xdr:row>35</xdr:row>
      <xdr:rowOff>63500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62F8D36A-82E0-4708-A6F9-D1CB9651F0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00" y="381000"/>
          <a:ext cx="6350000" cy="635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9</xdr:col>
      <xdr:colOff>254000</xdr:colOff>
      <xdr:row>35</xdr:row>
      <xdr:rowOff>63500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AB5A95E-A0A2-44FC-87D5-AD74C780A1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6350000" cy="635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2221-26D3-4D8A-B4A4-7CD2281F9B71}">
  <dimension ref="A1:B3"/>
  <sheetViews>
    <sheetView workbookViewId="0">
      <selection activeCell="B4" sqref="B4"/>
    </sheetView>
  </sheetViews>
  <sheetFormatPr baseColWidth="10" defaultRowHeight="15" x14ac:dyDescent="0.25"/>
  <cols>
    <col min="1" max="1" width="36" customWidth="1"/>
  </cols>
  <sheetData>
    <row r="1" spans="1:2" x14ac:dyDescent="0.25">
      <c r="A1" t="s">
        <v>7</v>
      </c>
      <c r="B1" s="2" t="s">
        <v>20</v>
      </c>
    </row>
    <row r="2" spans="1:2" x14ac:dyDescent="0.25">
      <c r="A2" t="s">
        <v>8</v>
      </c>
      <c r="B2" s="2" t="s">
        <v>19</v>
      </c>
    </row>
    <row r="3" spans="1:2" x14ac:dyDescent="0.25">
      <c r="A3" t="s">
        <v>9</v>
      </c>
      <c r="B3" t="str" cm="1">
        <f t="array" ref="B3">_xll.AJOUTER(B1,B2)</f>
        <v>D:/FM/PC_7001892_U03772_SSP02.pri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AD1D-0906-4682-9013-50C17DACE527}">
  <sheetPr codeName="Feuil1"/>
  <dimension ref="A1:B2"/>
  <sheetViews>
    <sheetView workbookViewId="0">
      <selection activeCell="C18" sqref="C18"/>
    </sheetView>
  </sheetViews>
  <sheetFormatPr baseColWidth="10" defaultRowHeight="15" x14ac:dyDescent="0.25"/>
  <cols>
    <col min="1" max="1" width="38.28515625" customWidth="1"/>
    <col min="2" max="2" width="26.7109375" customWidth="1"/>
  </cols>
  <sheetData>
    <row r="1" spans="1:2" x14ac:dyDescent="0.25">
      <c r="A1" t="s">
        <v>0</v>
      </c>
      <c r="B1" t="s">
        <v>8</v>
      </c>
    </row>
    <row r="2" spans="1:2" x14ac:dyDescent="0.25">
      <c r="A2" t="str" cm="1">
        <f t="array" ref="A2">_xll.NOMPRIMAIRES()</f>
        <v>PC_7001892_U03772_SSP02</v>
      </c>
      <c r="B2" t="str" cm="1">
        <f t="array" ref="B2">_xll.NOMSCENARIOS(A2)</f>
        <v>03_SC1A_BFECOPT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D142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27.85546875" customWidth="1"/>
    <col min="2" max="2" width="33.7109375" customWidth="1"/>
    <col min="3" max="3" width="17" customWidth="1"/>
  </cols>
  <sheetData>
    <row r="1" spans="1:4" x14ac:dyDescent="0.25">
      <c r="A1" t="s">
        <v>2</v>
      </c>
      <c r="B1" t="s">
        <v>1</v>
      </c>
      <c r="C1" t="s">
        <v>14</v>
      </c>
    </row>
    <row r="2" spans="1:4" x14ac:dyDescent="0.25">
      <c r="A2" t="str" cm="1">
        <f t="array" ref="A2:A21">_xll.NOMTHEMES(SCENARIOS!A2,SCENARIOS!B2)</f>
        <v>GROUPE DE STRATES</v>
      </c>
      <c r="B2" t="str" cm="1">
        <f t="array" ref="B2:B39">_xll.NOMATTRIBUTS(1,"?",SCENARIOS!A2,SCENARIOS!B2)</f>
        <v>GSA001</v>
      </c>
      <c r="C2" t="str" cm="1">
        <f t="array" ref="C2:C142">_xll.NOMAGGREGATES(1,SCENARIOS!A2,SCENARIOS!B2)</f>
        <v>GSGRSTAT_BJRH</v>
      </c>
      <c r="D2" t="str" cm="1">
        <f t="array" ref="D2:D8">_xll.NOMATTRIBUTS(8,"?",SCENARIOS!A2,SCENARIOS!B2)</f>
        <v>EMEC</v>
      </c>
    </row>
    <row r="3" spans="1:4" x14ac:dyDescent="0.25">
      <c r="A3" t="str">
        <v>COMPARTIMENT</v>
      </c>
      <c r="B3" t="str">
        <v>GSA007</v>
      </c>
      <c r="C3" t="str">
        <v>GSGRSTAT_BJRMS</v>
      </c>
      <c r="D3" t="str">
        <v>EXEX</v>
      </c>
    </row>
    <row r="4" spans="1:4" x14ac:dyDescent="0.25">
      <c r="A4" t="str">
        <v>INDICATEUR DE RéVOLUTION</v>
      </c>
      <c r="B4" t="str">
        <v>GSA011</v>
      </c>
      <c r="C4" t="str">
        <v>GSGRSTAT_BJR0</v>
      </c>
      <c r="D4" t="str">
        <v>EXHU</v>
      </c>
    </row>
    <row r="5" spans="1:4" x14ac:dyDescent="0.25">
      <c r="A5" t="str">
        <v>SéRIE D'AMéNAGEMENT</v>
      </c>
      <c r="B5" t="str">
        <v>GS5107</v>
      </c>
      <c r="C5" t="str">
        <v>GSGRSTAT_BJR1</v>
      </c>
      <c r="D5" t="str">
        <v>EXIN</v>
      </c>
    </row>
    <row r="6" spans="1:4" x14ac:dyDescent="0.25">
      <c r="A6" t="str">
        <v>FAMILLE DE COURBES</v>
      </c>
      <c r="B6" t="str">
        <v>GS5123</v>
      </c>
      <c r="C6" t="str">
        <v>GSGRSTAT_CHRM</v>
      </c>
      <c r="D6" t="str">
        <v>EXTI</v>
      </c>
    </row>
    <row r="7" spans="1:4" x14ac:dyDescent="0.25">
      <c r="A7" t="str">
        <v>INDICATEUR DERNIER TRAITEMENT SYLVICOLE</v>
      </c>
      <c r="B7" t="str">
        <v>GS5124</v>
      </c>
      <c r="C7" t="str">
        <v>GSGRSTAT_CHR0</v>
      </c>
      <c r="D7" t="str">
        <v>INC</v>
      </c>
    </row>
    <row r="8" spans="1:4" x14ac:dyDescent="0.25">
      <c r="A8" t="str">
        <v>INDICATEUR RéDUCTION DE SUPERFICIE</v>
      </c>
      <c r="B8" t="str">
        <v>GS5130</v>
      </c>
      <c r="C8" t="str">
        <v>GSGRSTAT_EPRMR</v>
      </c>
      <c r="D8" t="str">
        <v>NA</v>
      </c>
    </row>
    <row r="9" spans="1:4" x14ac:dyDescent="0.25">
      <c r="A9" t="str">
        <v>INCLUS/EXCLUS</v>
      </c>
      <c r="B9" t="str">
        <v>GS5205</v>
      </c>
      <c r="C9" t="str">
        <v>GSGRSTAT_EPR0</v>
      </c>
    </row>
    <row r="10" spans="1:4" x14ac:dyDescent="0.25">
      <c r="A10" t="str">
        <v>ZONE D'INFLUENCE</v>
      </c>
      <c r="B10" t="str">
        <v>GS5219</v>
      </c>
      <c r="C10" t="str">
        <v>GSGRSTAT_ERSM</v>
      </c>
    </row>
    <row r="11" spans="1:4" x14ac:dyDescent="0.25">
      <c r="A11" t="str">
        <v>AMéNAGEMENT FAUNIQUE 1</v>
      </c>
      <c r="B11" t="str">
        <v>GS5223</v>
      </c>
      <c r="C11" t="str">
        <v>GSGRSTAT_ERSS</v>
      </c>
    </row>
    <row r="12" spans="1:4" x14ac:dyDescent="0.25">
      <c r="A12" t="str">
        <v>AMéNAGEMENT FAUNIQUE 2</v>
      </c>
      <c r="B12" t="str">
        <v>GS5224</v>
      </c>
      <c r="C12" t="str">
        <v>GSGRSTAT_ERSSO</v>
      </c>
    </row>
    <row r="13" spans="1:4" x14ac:dyDescent="0.25">
      <c r="A13" t="str">
        <v>AUTRE CONTRAINTE SPéCIFIQUE à L'UAF</v>
      </c>
      <c r="B13" t="str">
        <v>GS5228</v>
      </c>
      <c r="C13" t="str">
        <v>GSGRSTAT_ERS0</v>
      </c>
    </row>
    <row r="14" spans="1:4" x14ac:dyDescent="0.25">
      <c r="A14" t="str">
        <v>BASSIN VERSANT</v>
      </c>
      <c r="B14" t="str">
        <v>GS5229</v>
      </c>
      <c r="C14" t="str">
        <v>GSGRSTAT_PINM</v>
      </c>
    </row>
    <row r="15" spans="1:4" x14ac:dyDescent="0.25">
      <c r="A15" t="str">
        <v>COMPARTIMENT D'ORGANISATION SPATIALE</v>
      </c>
      <c r="B15" t="str">
        <v>GS5238</v>
      </c>
      <c r="C15" t="str">
        <v>GSGRSTAT_PINS</v>
      </c>
    </row>
    <row r="16" spans="1:4" x14ac:dyDescent="0.25">
      <c r="A16" t="str">
        <v>CONTRAINTE OPéRATIONNELLE</v>
      </c>
      <c r="B16" t="str">
        <v>GS5239</v>
      </c>
      <c r="C16" t="str">
        <v>GSGRSTAT_PIN0</v>
      </c>
    </row>
    <row r="17" spans="1:3" x14ac:dyDescent="0.25">
      <c r="A17" t="str">
        <v>ENCADREMENT VISUEL</v>
      </c>
      <c r="B17" t="str">
        <v>GS5250</v>
      </c>
      <c r="C17" t="str">
        <v>GSGRSTAT_PIN1</v>
      </c>
    </row>
    <row r="18" spans="1:3" x14ac:dyDescent="0.25">
      <c r="A18" t="str">
        <v>HARMONISATION</v>
      </c>
      <c r="B18" t="str">
        <v>GS5270</v>
      </c>
      <c r="C18" t="str">
        <v>GSGRSTAT_RESR</v>
      </c>
    </row>
    <row r="19" spans="1:3" x14ac:dyDescent="0.25">
      <c r="A19" t="str">
        <v>TERRITOIRE FAUNIQUE STRUCTURé</v>
      </c>
      <c r="B19" t="str">
        <v>GS5351</v>
      </c>
      <c r="C19" t="str">
        <v>GSGRSTAT_RESRH</v>
      </c>
    </row>
    <row r="20" spans="1:3" x14ac:dyDescent="0.25">
      <c r="A20" t="str">
        <v>CERTIFICATION</v>
      </c>
      <c r="B20" t="str">
        <v>GS5355</v>
      </c>
      <c r="C20" t="str">
        <v>GSGRSTAT_RESRL</v>
      </c>
    </row>
    <row r="21" spans="1:3" x14ac:dyDescent="0.25">
      <c r="A21" t="str">
        <v>ZONAGE FORESTIER</v>
      </c>
      <c r="B21" t="str">
        <v>GS5447</v>
      </c>
      <c r="C21" t="str">
        <v>GSGRSTAT_RESR0</v>
      </c>
    </row>
    <row r="22" spans="1:3" x14ac:dyDescent="0.25">
      <c r="B22" t="str">
        <v>GS5449</v>
      </c>
      <c r="C22" t="str">
        <v>GSGRSTAT_RESR4</v>
      </c>
    </row>
    <row r="23" spans="1:3" x14ac:dyDescent="0.25">
      <c r="B23" t="str">
        <v>GS5475</v>
      </c>
      <c r="C23" t="str">
        <v>GSGRSTAT_RFIF</v>
      </c>
    </row>
    <row r="24" spans="1:3" x14ac:dyDescent="0.25">
      <c r="B24" t="str">
        <v>GS5476</v>
      </c>
      <c r="C24" t="str">
        <v>GSGRSTAT_RFIFB</v>
      </c>
    </row>
    <row r="25" spans="1:3" x14ac:dyDescent="0.25">
      <c r="B25" t="str">
        <v>GS5478</v>
      </c>
      <c r="C25" t="str">
        <v>GSGRSTAT_RFIF0</v>
      </c>
    </row>
    <row r="26" spans="1:3" x14ac:dyDescent="0.25">
      <c r="B26" t="str">
        <v>GS5544</v>
      </c>
      <c r="C26" t="str">
        <v>GSGRSTAT_RFIM</v>
      </c>
    </row>
    <row r="27" spans="1:3" x14ac:dyDescent="0.25">
      <c r="B27" t="str">
        <v>GS5545</v>
      </c>
      <c r="C27" t="str">
        <v>GSGRSTAT_RFIM0</v>
      </c>
    </row>
    <row r="28" spans="1:3" x14ac:dyDescent="0.25">
      <c r="B28" t="str">
        <v>GS5548</v>
      </c>
      <c r="C28" t="str">
        <v>GSGRSTAT_THOM</v>
      </c>
    </row>
    <row r="29" spans="1:3" x14ac:dyDescent="0.25">
      <c r="B29" t="str">
        <v>GS5570</v>
      </c>
      <c r="C29" t="str">
        <v>GSGRSTAT_THOM0</v>
      </c>
    </row>
    <row r="30" spans="1:3" x14ac:dyDescent="0.25">
      <c r="B30" t="str">
        <v>GS5571</v>
      </c>
      <c r="C30" t="str">
        <v>GSGRSTAT_THORH</v>
      </c>
    </row>
    <row r="31" spans="1:3" x14ac:dyDescent="0.25">
      <c r="B31" t="str">
        <v>GS5581</v>
      </c>
      <c r="C31" t="str">
        <v>GSFAMSTAT_BJR</v>
      </c>
    </row>
    <row r="32" spans="1:3" x14ac:dyDescent="0.25">
      <c r="B32" t="str">
        <v>GS5582</v>
      </c>
      <c r="C32" t="str">
        <v>GSFAMSTAT_CHR</v>
      </c>
    </row>
    <row r="33" spans="2:3" x14ac:dyDescent="0.25">
      <c r="B33" t="str">
        <v>GS5583</v>
      </c>
      <c r="C33" t="str">
        <v>GSFAMSTAT_EPR</v>
      </c>
    </row>
    <row r="34" spans="2:3" x14ac:dyDescent="0.25">
      <c r="B34" t="str">
        <v>GS5589</v>
      </c>
      <c r="C34" t="str">
        <v>GSFAMSTAT_ERS</v>
      </c>
    </row>
    <row r="35" spans="2:3" x14ac:dyDescent="0.25">
      <c r="B35" t="str">
        <v>GS5593</v>
      </c>
      <c r="C35" t="str">
        <v>GSFAMSTAT_PIN</v>
      </c>
    </row>
    <row r="36" spans="2:3" x14ac:dyDescent="0.25">
      <c r="B36" t="str">
        <v>GS5601</v>
      </c>
      <c r="C36" t="str">
        <v>GSFAMSTAT_RES</v>
      </c>
    </row>
    <row r="37" spans="2:3" x14ac:dyDescent="0.25">
      <c r="B37" t="str">
        <v>GS5605</v>
      </c>
      <c r="C37" t="str">
        <v>GSFAMSTAT_RFI</v>
      </c>
    </row>
    <row r="38" spans="2:3" x14ac:dyDescent="0.25">
      <c r="B38" t="str">
        <v>GS5606</v>
      </c>
      <c r="C38" t="str">
        <v>GSFAMSTAT_THO</v>
      </c>
    </row>
    <row r="39" spans="2:3" x14ac:dyDescent="0.25">
      <c r="B39" t="str">
        <v>NA</v>
      </c>
      <c r="C39" t="str">
        <v>GSTYF_BOP_BP</v>
      </c>
    </row>
    <row r="40" spans="2:3" x14ac:dyDescent="0.25">
      <c r="C40" t="str">
        <v>GSTYF_BOP_BPFI</v>
      </c>
    </row>
    <row r="41" spans="2:3" x14ac:dyDescent="0.25">
      <c r="C41" t="str">
        <v>GSTYF_BOP_BPFT</v>
      </c>
    </row>
    <row r="42" spans="2:3" x14ac:dyDescent="0.25">
      <c r="C42" t="str">
        <v>GSTYF_BOP_BPFX</v>
      </c>
    </row>
    <row r="43" spans="2:3" x14ac:dyDescent="0.25">
      <c r="C43" t="str">
        <v>GSTYF_BOPR_BPRX</v>
      </c>
    </row>
    <row r="44" spans="2:3" x14ac:dyDescent="0.25">
      <c r="C44" t="str">
        <v>GSTYF_EPX_EB</v>
      </c>
    </row>
    <row r="45" spans="2:3" x14ac:dyDescent="0.25">
      <c r="C45" t="str">
        <v>GSTYF_EPX_ENML</v>
      </c>
    </row>
    <row r="46" spans="2:3" x14ac:dyDescent="0.25">
      <c r="C46" t="str">
        <v>GSTYF_EPX_ENPG</v>
      </c>
    </row>
    <row r="47" spans="2:3" x14ac:dyDescent="0.25">
      <c r="C47" t="str">
        <v>GSTYF_EPX_EP</v>
      </c>
    </row>
    <row r="48" spans="2:3" x14ac:dyDescent="0.25">
      <c r="C48" t="str">
        <v>GSTYF_EPX_EPEN</v>
      </c>
    </row>
    <row r="49" spans="3:3" x14ac:dyDescent="0.25">
      <c r="C49" t="str">
        <v>GSTYF_EPX_EPPG</v>
      </c>
    </row>
    <row r="50" spans="3:3" x14ac:dyDescent="0.25">
      <c r="C50" t="str">
        <v>GSTYF_EPX_EPRX</v>
      </c>
    </row>
    <row r="51" spans="3:3" x14ac:dyDescent="0.25">
      <c r="C51" t="str">
        <v>GSTYF_EPX_EPSB</v>
      </c>
    </row>
    <row r="52" spans="3:3" x14ac:dyDescent="0.25">
      <c r="C52" t="str">
        <v>GSTYF_EPX_EPX</v>
      </c>
    </row>
    <row r="53" spans="3:3" x14ac:dyDescent="0.25">
      <c r="C53" t="str">
        <v>GSTYF_EPX_EPXRX</v>
      </c>
    </row>
    <row r="54" spans="3:3" x14ac:dyDescent="0.25">
      <c r="C54" t="str">
        <v>GSTYF_EPX_EPXSB</v>
      </c>
    </row>
    <row r="55" spans="3:3" x14ac:dyDescent="0.25">
      <c r="C55" t="str">
        <v>GSTYF_EPX_EPXTO</v>
      </c>
    </row>
    <row r="56" spans="3:3" x14ac:dyDescent="0.25">
      <c r="C56" t="str">
        <v>GSTYF_EPX_EU</v>
      </c>
    </row>
    <row r="57" spans="3:3" x14ac:dyDescent="0.25">
      <c r="C57" t="str">
        <v>GSTYF_EPX_ML</v>
      </c>
    </row>
    <row r="58" spans="3:3" x14ac:dyDescent="0.25">
      <c r="C58" t="str">
        <v>GSTYF_ERO_EOFI</v>
      </c>
    </row>
    <row r="59" spans="3:3" x14ac:dyDescent="0.25">
      <c r="C59" t="str">
        <v>GSTYF_ERO_EOFT</v>
      </c>
    </row>
    <row r="60" spans="3:3" x14ac:dyDescent="0.25">
      <c r="C60" t="str">
        <v>GSTYF_ERO_EOFX</v>
      </c>
    </row>
    <row r="61" spans="3:3" x14ac:dyDescent="0.25">
      <c r="C61" t="str">
        <v>GSTYF_ERO_EORX</v>
      </c>
    </row>
    <row r="62" spans="3:3" x14ac:dyDescent="0.25">
      <c r="C62" t="str">
        <v>GSTYF_FT_BJ</v>
      </c>
    </row>
    <row r="63" spans="3:3" x14ac:dyDescent="0.25">
      <c r="C63" t="str">
        <v>GSTYF_FT_BJFI</v>
      </c>
    </row>
    <row r="64" spans="3:3" x14ac:dyDescent="0.25">
      <c r="C64" t="str">
        <v>GSTYF_FT_BJFT</v>
      </c>
    </row>
    <row r="65" spans="3:3" x14ac:dyDescent="0.25">
      <c r="C65" t="str">
        <v>GSTYF_FT_BJFX</v>
      </c>
    </row>
    <row r="66" spans="3:3" x14ac:dyDescent="0.25">
      <c r="C66" t="str">
        <v>GSTYF_FT_CH</v>
      </c>
    </row>
    <row r="67" spans="3:3" x14ac:dyDescent="0.25">
      <c r="C67" t="str">
        <v>GSTYF_FT_ES</v>
      </c>
    </row>
    <row r="68" spans="3:3" x14ac:dyDescent="0.25">
      <c r="C68" t="str">
        <v>GSTYF_FT_ESBJ</v>
      </c>
    </row>
    <row r="69" spans="3:3" x14ac:dyDescent="0.25">
      <c r="C69" t="str">
        <v>GSTYF_FT_ESFI</v>
      </c>
    </row>
    <row r="70" spans="3:3" x14ac:dyDescent="0.25">
      <c r="C70" t="str">
        <v>GSTYF_FT_ESFN</v>
      </c>
    </row>
    <row r="71" spans="3:3" x14ac:dyDescent="0.25">
      <c r="C71" t="str">
        <v>GSTYF_FT_ESFX</v>
      </c>
    </row>
    <row r="72" spans="3:3" x14ac:dyDescent="0.25">
      <c r="C72" t="str">
        <v>GSTYF_FT_ESHG</v>
      </c>
    </row>
    <row r="73" spans="3:3" x14ac:dyDescent="0.25">
      <c r="C73" t="str">
        <v>GSTYF_FTR_BJRX</v>
      </c>
    </row>
    <row r="74" spans="3:3" x14ac:dyDescent="0.25">
      <c r="C74" t="str">
        <v>GSTYF_FTR_CHRX</v>
      </c>
    </row>
    <row r="75" spans="3:3" x14ac:dyDescent="0.25">
      <c r="C75" t="str">
        <v>GSTYF_FTR_ESRX</v>
      </c>
    </row>
    <row r="76" spans="3:3" x14ac:dyDescent="0.25">
      <c r="C76" t="str">
        <v>GSTYF_FTR_SBBJ</v>
      </c>
    </row>
    <row r="77" spans="3:3" x14ac:dyDescent="0.25">
      <c r="C77" t="str">
        <v>GSTYF_FTR_SBFT</v>
      </c>
    </row>
    <row r="78" spans="3:3" x14ac:dyDescent="0.25">
      <c r="C78" t="str">
        <v>GSTYF_NA_FX</v>
      </c>
    </row>
    <row r="79" spans="3:3" x14ac:dyDescent="0.25">
      <c r="C79" t="str">
        <v>GSTYF_NA_FXRX</v>
      </c>
    </row>
    <row r="80" spans="3:3" x14ac:dyDescent="0.25">
      <c r="C80" t="str">
        <v>GSTYF_NA_RX</v>
      </c>
    </row>
    <row r="81" spans="3:3" x14ac:dyDescent="0.25">
      <c r="C81" t="str">
        <v>GSTYF_NA_RXFX</v>
      </c>
    </row>
    <row r="82" spans="3:3" x14ac:dyDescent="0.25">
      <c r="C82" t="str">
        <v>GSTYF_PEU_PE</v>
      </c>
    </row>
    <row r="83" spans="3:3" x14ac:dyDescent="0.25">
      <c r="C83" t="str">
        <v>GSTYF_PEU_PEFI</v>
      </c>
    </row>
    <row r="84" spans="3:3" x14ac:dyDescent="0.25">
      <c r="C84" t="str">
        <v>GSTYF_PEU_PEFX</v>
      </c>
    </row>
    <row r="85" spans="3:3" x14ac:dyDescent="0.25">
      <c r="C85" t="str">
        <v>GSTYF_PEUR_PERX</v>
      </c>
    </row>
    <row r="86" spans="3:3" x14ac:dyDescent="0.25">
      <c r="C86" t="str">
        <v>GSTYF_PIG_PG</v>
      </c>
    </row>
    <row r="87" spans="3:3" x14ac:dyDescent="0.25">
      <c r="C87" t="str">
        <v>GSTYF_PIG_PGEN</v>
      </c>
    </row>
    <row r="88" spans="3:3" x14ac:dyDescent="0.25">
      <c r="C88" t="str">
        <v>GSTYF_PIG_PGRX</v>
      </c>
    </row>
    <row r="89" spans="3:3" x14ac:dyDescent="0.25">
      <c r="C89" t="str">
        <v>GSTYF_PIN_PB</v>
      </c>
    </row>
    <row r="90" spans="3:3" x14ac:dyDescent="0.25">
      <c r="C90" t="str">
        <v>GSTYF_PIN_PBFI</v>
      </c>
    </row>
    <row r="91" spans="3:3" x14ac:dyDescent="0.25">
      <c r="C91" t="str">
        <v>GSTYF_PIN_PBFT</v>
      </c>
    </row>
    <row r="92" spans="3:3" x14ac:dyDescent="0.25">
      <c r="C92" t="str">
        <v>GSTYF_PIN_PBFX</v>
      </c>
    </row>
    <row r="93" spans="3:3" x14ac:dyDescent="0.25">
      <c r="C93" t="str">
        <v>GSTYF_PIN_PBRX</v>
      </c>
    </row>
    <row r="94" spans="3:3" x14ac:dyDescent="0.25">
      <c r="C94" t="str">
        <v>GSTYF_PRU_PU</v>
      </c>
    </row>
    <row r="95" spans="3:3" x14ac:dyDescent="0.25">
      <c r="C95" t="str">
        <v>GSTYF_PRU_PUFX</v>
      </c>
    </row>
    <row r="96" spans="3:3" x14ac:dyDescent="0.25">
      <c r="C96" t="str">
        <v>GSTYF_RF_EPFX</v>
      </c>
    </row>
    <row r="97" spans="3:3" x14ac:dyDescent="0.25">
      <c r="C97" t="str">
        <v>GSTYF_RF_EPXBP</v>
      </c>
    </row>
    <row r="98" spans="3:3" x14ac:dyDescent="0.25">
      <c r="C98" t="str">
        <v>GSTYF_RF_EPXFX</v>
      </c>
    </row>
    <row r="99" spans="3:3" x14ac:dyDescent="0.25">
      <c r="C99" t="str">
        <v>GSTYF_RF_EPXPE</v>
      </c>
    </row>
    <row r="100" spans="3:3" x14ac:dyDescent="0.25">
      <c r="C100" t="str">
        <v>GSTYF_RF_PGFX</v>
      </c>
    </row>
    <row r="101" spans="3:3" x14ac:dyDescent="0.25">
      <c r="C101" t="str">
        <v>GSTYF_RF_SBBP</v>
      </c>
    </row>
    <row r="102" spans="3:3" x14ac:dyDescent="0.25">
      <c r="C102" t="str">
        <v>GSTYF_RF_SBFX</v>
      </c>
    </row>
    <row r="103" spans="3:3" x14ac:dyDescent="0.25">
      <c r="C103" t="str">
        <v>GSTYF_RF_SBPE</v>
      </c>
    </row>
    <row r="104" spans="3:3" x14ac:dyDescent="0.25">
      <c r="C104" t="str">
        <v>GSTYF_SAB_SB</v>
      </c>
    </row>
    <row r="105" spans="3:3" x14ac:dyDescent="0.25">
      <c r="C105" t="str">
        <v>GSTYF_SAB_SBEPX</v>
      </c>
    </row>
    <row r="106" spans="3:3" x14ac:dyDescent="0.25">
      <c r="C106" t="str">
        <v>GSTYF_SAB_SBRX</v>
      </c>
    </row>
    <row r="107" spans="3:3" x14ac:dyDescent="0.25">
      <c r="C107" t="str">
        <v>GSTYF_SAB_SBTO</v>
      </c>
    </row>
    <row r="108" spans="3:3" x14ac:dyDescent="0.25">
      <c r="C108" t="str">
        <v>GSTYF_THO_TO</v>
      </c>
    </row>
    <row r="109" spans="3:3" x14ac:dyDescent="0.25">
      <c r="C109" t="str">
        <v>GSTYF_THO_TOFX</v>
      </c>
    </row>
    <row r="110" spans="3:3" x14ac:dyDescent="0.25">
      <c r="C110" t="str">
        <v>GSTYF_THO_TORX</v>
      </c>
    </row>
    <row r="111" spans="3:3" x14ac:dyDescent="0.25">
      <c r="C111" t="str">
        <v>GSTYF_BOP</v>
      </c>
    </row>
    <row r="112" spans="3:3" x14ac:dyDescent="0.25">
      <c r="C112" t="str">
        <v>GSTYF_BOPR</v>
      </c>
    </row>
    <row r="113" spans="3:3" x14ac:dyDescent="0.25">
      <c r="C113" t="str">
        <v>GSTYF_EPX</v>
      </c>
    </row>
    <row r="114" spans="3:3" x14ac:dyDescent="0.25">
      <c r="C114" t="str">
        <v>GSTYF_ERO</v>
      </c>
    </row>
    <row r="115" spans="3:3" x14ac:dyDescent="0.25">
      <c r="C115" t="str">
        <v>GSTYF_FT</v>
      </c>
    </row>
    <row r="116" spans="3:3" x14ac:dyDescent="0.25">
      <c r="C116" t="str">
        <v>GSTYF_FTR</v>
      </c>
    </row>
    <row r="117" spans="3:3" x14ac:dyDescent="0.25">
      <c r="C117" t="str">
        <v>GSTYF_NA</v>
      </c>
    </row>
    <row r="118" spans="3:3" x14ac:dyDescent="0.25">
      <c r="C118" t="str">
        <v>GSTYF_PEU</v>
      </c>
    </row>
    <row r="119" spans="3:3" x14ac:dyDescent="0.25">
      <c r="C119" t="str">
        <v>GSTYF_PEUR</v>
      </c>
    </row>
    <row r="120" spans="3:3" x14ac:dyDescent="0.25">
      <c r="C120" t="str">
        <v>GSTYF_PIG</v>
      </c>
    </row>
    <row r="121" spans="3:3" x14ac:dyDescent="0.25">
      <c r="C121" t="str">
        <v>GSTYF_PIN</v>
      </c>
    </row>
    <row r="122" spans="3:3" x14ac:dyDescent="0.25">
      <c r="C122" t="str">
        <v>GSTYF_PRU</v>
      </c>
    </row>
    <row r="123" spans="3:3" x14ac:dyDescent="0.25">
      <c r="C123" t="str">
        <v>GSTYF_RF</v>
      </c>
    </row>
    <row r="124" spans="3:3" x14ac:dyDescent="0.25">
      <c r="C124" t="str">
        <v>GSTYF_SAB</v>
      </c>
    </row>
    <row r="125" spans="3:3" x14ac:dyDescent="0.25">
      <c r="C125" t="str">
        <v>GSTYF_THO</v>
      </c>
    </row>
    <row r="126" spans="3:3" x14ac:dyDescent="0.25">
      <c r="C126" t="str">
        <v>GSENJEU1_MP0</v>
      </c>
    </row>
    <row r="127" spans="3:3" x14ac:dyDescent="0.25">
      <c r="C127" t="str">
        <v>GSENJEU1_NA</v>
      </c>
    </row>
    <row r="128" spans="3:3" x14ac:dyDescent="0.25">
      <c r="C128" t="str">
        <v>GSENJEU1_PL</v>
      </c>
    </row>
    <row r="129" spans="3:3" x14ac:dyDescent="0.25">
      <c r="C129" t="str">
        <v>GSENJEU2_NA</v>
      </c>
    </row>
    <row r="130" spans="3:3" x14ac:dyDescent="0.25">
      <c r="C130" t="str">
        <v>GSHAUTEUR_CO_TER_PL</v>
      </c>
    </row>
    <row r="131" spans="3:3" x14ac:dyDescent="0.25">
      <c r="C131" t="str">
        <v>GSHAUTEUR_M7M</v>
      </c>
    </row>
    <row r="132" spans="3:3" x14ac:dyDescent="0.25">
      <c r="C132" t="str">
        <v>GSHAUTEUR_7MP</v>
      </c>
    </row>
    <row r="133" spans="3:3" x14ac:dyDescent="0.25">
      <c r="C133" t="str">
        <v>GSSDOM_2E</v>
      </c>
    </row>
    <row r="134" spans="3:3" x14ac:dyDescent="0.25">
      <c r="C134" t="str">
        <v>GSSDOM_2O</v>
      </c>
    </row>
    <row r="135" spans="3:3" x14ac:dyDescent="0.25">
      <c r="C135" t="str">
        <v>GSSDOM_3E</v>
      </c>
    </row>
    <row r="136" spans="3:3" x14ac:dyDescent="0.25">
      <c r="C136" t="str">
        <v>GSSDOM_3O</v>
      </c>
    </row>
    <row r="137" spans="3:3" x14ac:dyDescent="0.25">
      <c r="C137" t="str">
        <v>GSSDOM_4E</v>
      </c>
    </row>
    <row r="138" spans="3:3" x14ac:dyDescent="0.25">
      <c r="C138" t="str">
        <v>GSSDOM_4O</v>
      </c>
    </row>
    <row r="139" spans="3:3" x14ac:dyDescent="0.25">
      <c r="C139" t="str">
        <v>GSSDOM_5E</v>
      </c>
    </row>
    <row r="140" spans="3:3" x14ac:dyDescent="0.25">
      <c r="C140" t="str">
        <v>GSSDOM_5O</v>
      </c>
    </row>
    <row r="141" spans="3:3" x14ac:dyDescent="0.25">
      <c r="C141" t="str">
        <v>GSSDOM_6E</v>
      </c>
    </row>
    <row r="142" spans="3:3" x14ac:dyDescent="0.25">
      <c r="C142" t="str">
        <v>GSSDOM_6O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B119-5F62-4954-A6D0-2D82ABAF254F}">
  <sheetPr codeName="Feuil3"/>
  <dimension ref="A1:V289"/>
  <sheetViews>
    <sheetView topLeftCell="A10" workbookViewId="0">
      <selection activeCell="E35" sqref="E35"/>
    </sheetView>
  </sheetViews>
  <sheetFormatPr baseColWidth="10" defaultRowHeight="15" x14ac:dyDescent="0.25"/>
  <cols>
    <col min="1" max="1" width="23" customWidth="1"/>
    <col min="2" max="2" width="26.42578125" customWidth="1"/>
  </cols>
  <sheetData>
    <row r="1" spans="1:22" x14ac:dyDescent="0.25">
      <c r="A1" t="s">
        <v>3</v>
      </c>
      <c r="B1" t="s">
        <v>13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x14ac:dyDescent="0.25">
      <c r="A2" t="str" cm="1">
        <f t="array" ref="A2:A289">_xll.NOMCOURBES(SCENARIOS!A2,SCENARIOS!B2)</f>
        <v>YVBO_S</v>
      </c>
      <c r="B2" t="str" cm="1">
        <f t="array" ref="B2:B169">_xll.NOMATTRIBUTS(5,"?",SCENARIOS!A2,SCENARIOS!B2)</f>
        <v>FCA006</v>
      </c>
      <c r="C2" cm="1">
        <f t="array" ref="C2">_xll.VALEURCOURBE($A$27,_xlfn.CONCAT("THEME5=",$B2),SCENARIOS!$A$2,SCENARIOS!$B$2,1,YIELDS!C$1)</f>
        <v>0</v>
      </c>
      <c r="D2" cm="1">
        <f t="array" ref="D2">_xll.VALEURCOURBE($A$27,_xlfn.CONCAT("THEME5=",$B2),SCENARIOS!$A$2,SCENARIOS!$B$2,1,YIELDS!D$1)</f>
        <v>0</v>
      </c>
      <c r="E2" cm="1">
        <f t="array" ref="E2">_xll.VALEURCOURBE($A$27,_xlfn.CONCAT("THEME5=",$B2),SCENARIOS!$A$2,SCENARIOS!$B$2,1,YIELDS!E$1)</f>
        <v>1.97</v>
      </c>
      <c r="F2" cm="1">
        <f t="array" ref="F2">_xll.VALEURCOURBE($A$27,_xlfn.CONCAT("THEME5=",$B2),SCENARIOS!$A$2,SCENARIOS!$B$2,1,YIELDS!F$1)</f>
        <v>3.96</v>
      </c>
      <c r="G2" cm="1">
        <f t="array" ref="G2">_xll.VALEURCOURBE($A$27,_xlfn.CONCAT("THEME5=",$B2),SCENARIOS!$A$2,SCENARIOS!$B$2,1,YIELDS!G$1)</f>
        <v>5.92</v>
      </c>
      <c r="H2" cm="1">
        <f t="array" ref="H2">_xll.VALEURCOURBE($A$27,_xlfn.CONCAT("THEME5=",$B2),SCENARIOS!$A$2,SCENARIOS!$B$2,1,YIELDS!H$1)</f>
        <v>7.9</v>
      </c>
      <c r="I2" cm="1">
        <f t="array" ref="I2">_xll.VALEURCOURBE($A$27,_xlfn.CONCAT("THEME5=",$B2),SCENARIOS!$A$2,SCENARIOS!$B$2,1,YIELDS!I$1)</f>
        <v>9.89</v>
      </c>
      <c r="J2" cm="1">
        <f t="array" ref="J2">_xll.VALEURCOURBE($A$27,_xlfn.CONCAT("THEME5=",$B2),SCENARIOS!$A$2,SCENARIOS!$B$2,1,YIELDS!J$1)</f>
        <v>11.87</v>
      </c>
      <c r="K2" cm="1">
        <f t="array" ref="K2">_xll.VALEURCOURBE($A$27,_xlfn.CONCAT("THEME5=",$B2),SCENARIOS!$A$2,SCENARIOS!$B$2,1,YIELDS!K$1)</f>
        <v>13.85</v>
      </c>
      <c r="L2" cm="1">
        <f t="array" ref="L2">_xll.VALEURCOURBE($A$27,_xlfn.CONCAT("THEME5=",$B2),SCENARIOS!$A$2,SCENARIOS!$B$2,1,YIELDS!L$1)</f>
        <v>15.82</v>
      </c>
      <c r="M2" cm="1">
        <f t="array" ref="M2">_xll.VALEURCOURBE($A$27,_xlfn.CONCAT("THEME5=",$B2),SCENARIOS!$A$2,SCENARIOS!$B$2,1,YIELDS!M$1)</f>
        <v>17.600000000000001</v>
      </c>
      <c r="N2" cm="1">
        <f t="array" ref="N2">_xll.VALEURCOURBE($A$27,_xlfn.CONCAT("THEME5=",$B2),SCENARIOS!$A$2,SCENARIOS!$B$2,1,YIELDS!N$1)</f>
        <v>19.399999999999999</v>
      </c>
      <c r="O2" cm="1">
        <f t="array" ref="O2">_xll.VALEURCOURBE($A$27,_xlfn.CONCAT("THEME5=",$B2),SCENARIOS!$A$2,SCENARIOS!$B$2,1,YIELDS!O$1)</f>
        <v>21.55</v>
      </c>
      <c r="P2" cm="1">
        <f t="array" ref="P2">_xll.VALEURCOURBE($A$27,_xlfn.CONCAT("THEME5=",$B2),SCENARIOS!$A$2,SCENARIOS!$B$2,1,YIELDS!P$1)</f>
        <v>23.7</v>
      </c>
      <c r="Q2" cm="1">
        <f t="array" ref="Q2">_xll.VALEURCOURBE($A$27,_xlfn.CONCAT("THEME5=",$B2),SCENARIOS!$A$2,SCENARIOS!$B$2,1,YIELDS!Q$1)</f>
        <v>25.71</v>
      </c>
      <c r="R2" cm="1">
        <f t="array" ref="R2">_xll.VALEURCOURBE($A$27,_xlfn.CONCAT("THEME5=",$B2),SCENARIOS!$A$2,SCENARIOS!$B$2,1,YIELDS!R$1)</f>
        <v>27.7</v>
      </c>
      <c r="S2" cm="1">
        <f t="array" ref="S2">_xll.VALEURCOURBE($A$27,_xlfn.CONCAT("THEME5=",$B2),SCENARIOS!$A$2,SCENARIOS!$B$2,1,YIELDS!S$1)</f>
        <v>29.51</v>
      </c>
      <c r="T2" cm="1">
        <f t="array" ref="T2">_xll.VALEURCOURBE($A$27,_xlfn.CONCAT("THEME5=",$B2),SCENARIOS!$A$2,SCENARIOS!$B$2,1,YIELDS!T$1)</f>
        <v>31.3</v>
      </c>
      <c r="U2" cm="1">
        <f t="array" ref="U2">_xll.VALEURCOURBE($A$27,_xlfn.CONCAT("THEME5=",$B2),SCENARIOS!$A$2,SCENARIOS!$B$2,1,YIELDS!U$1)</f>
        <v>32.92</v>
      </c>
      <c r="V2" cm="1">
        <f t="array" ref="V2">_xll.VALEURCOURBE($A$27,_xlfn.CONCAT("THEME5=",$B2),SCENARIOS!$A$2,SCENARIOS!$B$2,1,YIELDS!V$1)</f>
        <v>34.54</v>
      </c>
    </row>
    <row r="3" spans="1:22" x14ac:dyDescent="0.25">
      <c r="A3" t="str">
        <v>YAGE</v>
      </c>
      <c r="B3" t="str">
        <v>FCA038</v>
      </c>
      <c r="C3" cm="1">
        <f t="array" ref="C3">_xll.VALEURCOURBE($A$27,_xlfn.CONCAT("THEME5=",$B3),SCENARIOS!$A$2,SCENARIOS!$B$2,1,YIELDS!C$1)</f>
        <v>0</v>
      </c>
      <c r="D3" cm="1">
        <f t="array" ref="D3">_xll.VALEURCOURBE($A$27,_xlfn.CONCAT("THEME5=",$B3),SCENARIOS!$A$2,SCENARIOS!$B$2,1,YIELDS!D$1)</f>
        <v>0</v>
      </c>
      <c r="E3" cm="1">
        <f t="array" ref="E3">_xll.VALEURCOURBE($A$27,_xlfn.CONCAT("THEME5=",$B3),SCENARIOS!$A$2,SCENARIOS!$B$2,1,YIELDS!E$1)</f>
        <v>0</v>
      </c>
      <c r="F3" cm="1">
        <f t="array" ref="F3">_xll.VALEURCOURBE($A$27,_xlfn.CONCAT("THEME5=",$B3),SCENARIOS!$A$2,SCENARIOS!$B$2,1,YIELDS!F$1)</f>
        <v>0</v>
      </c>
      <c r="G3" cm="1">
        <f t="array" ref="G3">_xll.VALEURCOURBE($A$27,_xlfn.CONCAT("THEME5=",$B3),SCENARIOS!$A$2,SCENARIOS!$B$2,1,YIELDS!G$1)</f>
        <v>0</v>
      </c>
      <c r="H3" cm="1">
        <f t="array" ref="H3">_xll.VALEURCOURBE($A$27,_xlfn.CONCAT("THEME5=",$B3),SCENARIOS!$A$2,SCENARIOS!$B$2,1,YIELDS!H$1)</f>
        <v>0</v>
      </c>
      <c r="I3" cm="1">
        <f t="array" ref="I3">_xll.VALEURCOURBE($A$27,_xlfn.CONCAT("THEME5=",$B3),SCENARIOS!$A$2,SCENARIOS!$B$2,1,YIELDS!I$1)</f>
        <v>0</v>
      </c>
      <c r="J3" cm="1">
        <f t="array" ref="J3">_xll.VALEURCOURBE($A$27,_xlfn.CONCAT("THEME5=",$B3),SCENARIOS!$A$2,SCENARIOS!$B$2,1,YIELDS!J$1)</f>
        <v>0</v>
      </c>
      <c r="K3" cm="1">
        <f t="array" ref="K3">_xll.VALEURCOURBE($A$27,_xlfn.CONCAT("THEME5=",$B3),SCENARIOS!$A$2,SCENARIOS!$B$2,1,YIELDS!K$1)</f>
        <v>2.67</v>
      </c>
      <c r="L3" cm="1">
        <f t="array" ref="L3">_xll.VALEURCOURBE($A$27,_xlfn.CONCAT("THEME5=",$B3),SCENARIOS!$A$2,SCENARIOS!$B$2,1,YIELDS!L$1)</f>
        <v>8.9499999999999993</v>
      </c>
      <c r="M3" cm="1">
        <f t="array" ref="M3">_xll.VALEURCOURBE($A$27,_xlfn.CONCAT("THEME5=",$B3),SCENARIOS!$A$2,SCENARIOS!$B$2,1,YIELDS!M$1)</f>
        <v>14.76</v>
      </c>
      <c r="N3" cm="1">
        <f t="array" ref="N3">_xll.VALEURCOURBE($A$27,_xlfn.CONCAT("THEME5=",$B3),SCENARIOS!$A$2,SCENARIOS!$B$2,1,YIELDS!N$1)</f>
        <v>20.079999999999998</v>
      </c>
      <c r="O3" cm="1">
        <f t="array" ref="O3">_xll.VALEURCOURBE($A$27,_xlfn.CONCAT("THEME5=",$B3),SCENARIOS!$A$2,SCENARIOS!$B$2,1,YIELDS!O$1)</f>
        <v>24.92</v>
      </c>
      <c r="P3" cm="1">
        <f t="array" ref="P3">_xll.VALEURCOURBE($A$27,_xlfn.CONCAT("THEME5=",$B3),SCENARIOS!$A$2,SCENARIOS!$B$2,1,YIELDS!P$1)</f>
        <v>29.25</v>
      </c>
      <c r="Q3" cm="1">
        <f t="array" ref="Q3">_xll.VALEURCOURBE($A$27,_xlfn.CONCAT("THEME5=",$B3),SCENARIOS!$A$2,SCENARIOS!$B$2,1,YIELDS!Q$1)</f>
        <v>33.11</v>
      </c>
      <c r="R3" cm="1">
        <f t="array" ref="R3">_xll.VALEURCOURBE($A$27,_xlfn.CONCAT("THEME5=",$B3),SCENARIOS!$A$2,SCENARIOS!$B$2,1,YIELDS!R$1)</f>
        <v>36.520000000000003</v>
      </c>
      <c r="S3" cm="1">
        <f t="array" ref="S3">_xll.VALEURCOURBE($A$27,_xlfn.CONCAT("THEME5=",$B3),SCENARIOS!$A$2,SCENARIOS!$B$2,1,YIELDS!S$1)</f>
        <v>39.49</v>
      </c>
      <c r="T3" cm="1">
        <f t="array" ref="T3">_xll.VALEURCOURBE($A$27,_xlfn.CONCAT("THEME5=",$B3),SCENARIOS!$A$2,SCENARIOS!$B$2,1,YIELDS!T$1)</f>
        <v>42.06</v>
      </c>
      <c r="U3" cm="1">
        <f t="array" ref="U3">_xll.VALEURCOURBE($A$27,_xlfn.CONCAT("THEME5=",$B3),SCENARIOS!$A$2,SCENARIOS!$B$2,1,YIELDS!U$1)</f>
        <v>44.28</v>
      </c>
      <c r="V3" cm="1">
        <f t="array" ref="V3">_xll.VALEURCOURBE($A$27,_xlfn.CONCAT("THEME5=",$B3),SCENARIOS!$A$2,SCENARIOS!$B$2,1,YIELDS!V$1)</f>
        <v>46.15</v>
      </c>
    </row>
    <row r="4" spans="1:22" x14ac:dyDescent="0.25">
      <c r="A4" t="str">
        <v>YCAC</v>
      </c>
      <c r="B4" t="str">
        <v>FC_CHE</v>
      </c>
      <c r="C4" cm="1">
        <f t="array" ref="C4">_xll.VALEURCOURBE($A$27,_xlfn.CONCAT("THEME5=",$B4),SCENARIOS!$A$2,SCENARIOS!$B$2,1,YIELDS!C$1)</f>
        <v>0</v>
      </c>
      <c r="D4" cm="1">
        <f t="array" ref="D4">_xll.VALEURCOURBE($A$27,_xlfn.CONCAT("THEME5=",$B4),SCENARIOS!$A$2,SCENARIOS!$B$2,1,YIELDS!D$1)</f>
        <v>0</v>
      </c>
      <c r="E4" cm="1">
        <f t="array" ref="E4">_xll.VALEURCOURBE($A$27,_xlfn.CONCAT("THEME5=",$B4),SCENARIOS!$A$2,SCENARIOS!$B$2,1,YIELDS!E$1)</f>
        <v>0</v>
      </c>
      <c r="F4" cm="1">
        <f t="array" ref="F4">_xll.VALEURCOURBE($A$27,_xlfn.CONCAT("THEME5=",$B4),SCENARIOS!$A$2,SCENARIOS!$B$2,1,YIELDS!F$1)</f>
        <v>0</v>
      </c>
      <c r="G4" cm="1">
        <f t="array" ref="G4">_xll.VALEURCOURBE($A$27,_xlfn.CONCAT("THEME5=",$B4),SCENARIOS!$A$2,SCENARIOS!$B$2,1,YIELDS!G$1)</f>
        <v>0</v>
      </c>
      <c r="H4" cm="1">
        <f t="array" ref="H4">_xll.VALEURCOURBE($A$27,_xlfn.CONCAT("THEME5=",$B4),SCENARIOS!$A$2,SCENARIOS!$B$2,1,YIELDS!H$1)</f>
        <v>0</v>
      </c>
      <c r="I4" cm="1">
        <f t="array" ref="I4">_xll.VALEURCOURBE($A$27,_xlfn.CONCAT("THEME5=",$B4),SCENARIOS!$A$2,SCENARIOS!$B$2,1,YIELDS!I$1)</f>
        <v>0</v>
      </c>
      <c r="J4" cm="1">
        <f t="array" ref="J4">_xll.VALEURCOURBE($A$27,_xlfn.CONCAT("THEME5=",$B4),SCENARIOS!$A$2,SCENARIOS!$B$2,1,YIELDS!J$1)</f>
        <v>0</v>
      </c>
      <c r="K4" cm="1">
        <f t="array" ref="K4">_xll.VALEURCOURBE($A$27,_xlfn.CONCAT("THEME5=",$B4),SCENARIOS!$A$2,SCENARIOS!$B$2,1,YIELDS!K$1)</f>
        <v>0</v>
      </c>
      <c r="L4" cm="1">
        <f t="array" ref="L4">_xll.VALEURCOURBE($A$27,_xlfn.CONCAT("THEME5=",$B4),SCENARIOS!$A$2,SCENARIOS!$B$2,1,YIELDS!L$1)</f>
        <v>0</v>
      </c>
      <c r="M4" cm="1">
        <f t="array" ref="M4">_xll.VALEURCOURBE($A$27,_xlfn.CONCAT("THEME5=",$B4),SCENARIOS!$A$2,SCENARIOS!$B$2,1,YIELDS!M$1)</f>
        <v>0</v>
      </c>
      <c r="N4" cm="1">
        <f t="array" ref="N4">_xll.VALEURCOURBE($A$27,_xlfn.CONCAT("THEME5=",$B4),SCENARIOS!$A$2,SCENARIOS!$B$2,1,YIELDS!N$1)</f>
        <v>0</v>
      </c>
      <c r="O4" cm="1">
        <f t="array" ref="O4">_xll.VALEURCOURBE($A$27,_xlfn.CONCAT("THEME5=",$B4),SCENARIOS!$A$2,SCENARIOS!$B$2,1,YIELDS!O$1)</f>
        <v>0</v>
      </c>
      <c r="P4" cm="1">
        <f t="array" ref="P4">_xll.VALEURCOURBE($A$27,_xlfn.CONCAT("THEME5=",$B4),SCENARIOS!$A$2,SCENARIOS!$B$2,1,YIELDS!P$1)</f>
        <v>0</v>
      </c>
      <c r="Q4" cm="1">
        <f t="array" ref="Q4">_xll.VALEURCOURBE($A$27,_xlfn.CONCAT("THEME5=",$B4),SCENARIOS!$A$2,SCENARIOS!$B$2,1,YIELDS!Q$1)</f>
        <v>0</v>
      </c>
      <c r="R4" cm="1">
        <f t="array" ref="R4">_xll.VALEURCOURBE($A$27,_xlfn.CONCAT("THEME5=",$B4),SCENARIOS!$A$2,SCENARIOS!$B$2,1,YIELDS!R$1)</f>
        <v>0</v>
      </c>
      <c r="S4" cm="1">
        <f t="array" ref="S4">_xll.VALEURCOURBE($A$27,_xlfn.CONCAT("THEME5=",$B4),SCENARIOS!$A$2,SCENARIOS!$B$2,1,YIELDS!S$1)</f>
        <v>0</v>
      </c>
      <c r="T4" cm="1">
        <f t="array" ref="T4">_xll.VALEURCOURBE($A$27,_xlfn.CONCAT("THEME5=",$B4),SCENARIOS!$A$2,SCENARIOS!$B$2,1,YIELDS!T$1)</f>
        <v>0</v>
      </c>
      <c r="U4" cm="1">
        <f t="array" ref="U4">_xll.VALEURCOURBE($A$27,_xlfn.CONCAT("THEME5=",$B4),SCENARIOS!$A$2,SCENARIOS!$B$2,1,YIELDS!U$1)</f>
        <v>0</v>
      </c>
      <c r="V4" cm="1">
        <f t="array" ref="V4">_xll.VALEURCOURBE($A$27,_xlfn.CONCAT("THEME5=",$B4),SCENARIOS!$A$2,SCENARIOS!$B$2,1,YIELDS!V$1)</f>
        <v>0</v>
      </c>
    </row>
    <row r="5" spans="1:22" x14ac:dyDescent="0.25">
      <c r="A5" t="str">
        <v>YAGEBRIS</v>
      </c>
      <c r="B5" t="str">
        <v>FC3332</v>
      </c>
      <c r="C5" cm="1">
        <f t="array" ref="C5">_xll.VALEURCOURBE($A$27,_xlfn.CONCAT("THEME5=",$B5),SCENARIOS!$A$2,SCENARIOS!$B$2,1,YIELDS!C$1)</f>
        <v>0</v>
      </c>
      <c r="D5" cm="1">
        <f t="array" ref="D5">_xll.VALEURCOURBE($A$27,_xlfn.CONCAT("THEME5=",$B5),SCENARIOS!$A$2,SCENARIOS!$B$2,1,YIELDS!D$1)</f>
        <v>0</v>
      </c>
      <c r="E5" cm="1">
        <f t="array" ref="E5">_xll.VALEURCOURBE($A$27,_xlfn.CONCAT("THEME5=",$B5),SCENARIOS!$A$2,SCENARIOS!$B$2,1,YIELDS!E$1)</f>
        <v>1.97</v>
      </c>
      <c r="F5" cm="1">
        <f t="array" ref="F5">_xll.VALEURCOURBE($A$27,_xlfn.CONCAT("THEME5=",$B5),SCENARIOS!$A$2,SCENARIOS!$B$2,1,YIELDS!F$1)</f>
        <v>3.96</v>
      </c>
      <c r="G5" cm="1">
        <f t="array" ref="G5">_xll.VALEURCOURBE($A$27,_xlfn.CONCAT("THEME5=",$B5),SCENARIOS!$A$2,SCENARIOS!$B$2,1,YIELDS!G$1)</f>
        <v>5.92</v>
      </c>
      <c r="H5" cm="1">
        <f t="array" ref="H5">_xll.VALEURCOURBE($A$27,_xlfn.CONCAT("THEME5=",$B5),SCENARIOS!$A$2,SCENARIOS!$B$2,1,YIELDS!H$1)</f>
        <v>7.9</v>
      </c>
      <c r="I5" cm="1">
        <f t="array" ref="I5">_xll.VALEURCOURBE($A$27,_xlfn.CONCAT("THEME5=",$B5),SCENARIOS!$A$2,SCENARIOS!$B$2,1,YIELDS!I$1)</f>
        <v>9.89</v>
      </c>
      <c r="J5" cm="1">
        <f t="array" ref="J5">_xll.VALEURCOURBE($A$27,_xlfn.CONCAT("THEME5=",$B5),SCENARIOS!$A$2,SCENARIOS!$B$2,1,YIELDS!J$1)</f>
        <v>11.87</v>
      </c>
      <c r="K5" cm="1">
        <f t="array" ref="K5">_xll.VALEURCOURBE($A$27,_xlfn.CONCAT("THEME5=",$B5),SCENARIOS!$A$2,SCENARIOS!$B$2,1,YIELDS!K$1)</f>
        <v>13.85</v>
      </c>
      <c r="L5" cm="1">
        <f t="array" ref="L5">_xll.VALEURCOURBE($A$27,_xlfn.CONCAT("THEME5=",$B5),SCENARIOS!$A$2,SCENARIOS!$B$2,1,YIELDS!L$1)</f>
        <v>15.82</v>
      </c>
      <c r="M5" cm="1">
        <f t="array" ref="M5">_xll.VALEURCOURBE($A$27,_xlfn.CONCAT("THEME5=",$B5),SCENARIOS!$A$2,SCENARIOS!$B$2,1,YIELDS!M$1)</f>
        <v>17.600000000000001</v>
      </c>
      <c r="N5" cm="1">
        <f t="array" ref="N5">_xll.VALEURCOURBE($A$27,_xlfn.CONCAT("THEME5=",$B5),SCENARIOS!$A$2,SCENARIOS!$B$2,1,YIELDS!N$1)</f>
        <v>19.399999999999999</v>
      </c>
      <c r="O5" cm="1">
        <f t="array" ref="O5">_xll.VALEURCOURBE($A$27,_xlfn.CONCAT("THEME5=",$B5),SCENARIOS!$A$2,SCENARIOS!$B$2,1,YIELDS!O$1)</f>
        <v>21.55</v>
      </c>
      <c r="P5" cm="1">
        <f t="array" ref="P5">_xll.VALEURCOURBE($A$27,_xlfn.CONCAT("THEME5=",$B5),SCENARIOS!$A$2,SCENARIOS!$B$2,1,YIELDS!P$1)</f>
        <v>23.7</v>
      </c>
      <c r="Q5" cm="1">
        <f t="array" ref="Q5">_xll.VALEURCOURBE($A$27,_xlfn.CONCAT("THEME5=",$B5),SCENARIOS!$A$2,SCENARIOS!$B$2,1,YIELDS!Q$1)</f>
        <v>25.71</v>
      </c>
      <c r="R5" cm="1">
        <f t="array" ref="R5">_xll.VALEURCOURBE($A$27,_xlfn.CONCAT("THEME5=",$B5),SCENARIOS!$A$2,SCENARIOS!$B$2,1,YIELDS!R$1)</f>
        <v>27.7</v>
      </c>
      <c r="S5" cm="1">
        <f t="array" ref="S5">_xll.VALEURCOURBE($A$27,_xlfn.CONCAT("THEME5=",$B5),SCENARIOS!$A$2,SCENARIOS!$B$2,1,YIELDS!S$1)</f>
        <v>29.51</v>
      </c>
      <c r="T5" cm="1">
        <f t="array" ref="T5">_xll.VALEURCOURBE($A$27,_xlfn.CONCAT("THEME5=",$B5),SCENARIOS!$A$2,SCENARIOS!$B$2,1,YIELDS!T$1)</f>
        <v>31.3</v>
      </c>
      <c r="U5" cm="1">
        <f t="array" ref="U5">_xll.VALEURCOURBE($A$27,_xlfn.CONCAT("THEME5=",$B5),SCENARIOS!$A$2,SCENARIOS!$B$2,1,YIELDS!U$1)</f>
        <v>32.92</v>
      </c>
      <c r="V5" cm="1">
        <f t="array" ref="V5">_xll.VALEURCOURBE($A$27,_xlfn.CONCAT("THEME5=",$B5),SCENARIOS!$A$2,SCENARIOS!$B$2,1,YIELDS!V$1)</f>
        <v>34.54</v>
      </c>
    </row>
    <row r="6" spans="1:22" x14ac:dyDescent="0.25">
      <c r="A6" t="str">
        <v>YAGEMAT</v>
      </c>
      <c r="B6" t="str">
        <v>FC3333</v>
      </c>
      <c r="C6" cm="1">
        <f t="array" ref="C6">_xll.VALEURCOURBE($A$27,_xlfn.CONCAT("THEME5=",$B6),SCENARIOS!$A$2,SCENARIOS!$B$2,1,YIELDS!C$1)</f>
        <v>0</v>
      </c>
      <c r="D6" cm="1">
        <f t="array" ref="D6">_xll.VALEURCOURBE($A$27,_xlfn.CONCAT("THEME5=",$B6),SCENARIOS!$A$2,SCENARIOS!$B$2,1,YIELDS!D$1)</f>
        <v>0</v>
      </c>
      <c r="E6" cm="1">
        <f t="array" ref="E6">_xll.VALEURCOURBE($A$27,_xlfn.CONCAT("THEME5=",$B6),SCENARIOS!$A$2,SCENARIOS!$B$2,1,YIELDS!E$1)</f>
        <v>0</v>
      </c>
      <c r="F6" cm="1">
        <f t="array" ref="F6">_xll.VALEURCOURBE($A$27,_xlfn.CONCAT("THEME5=",$B6),SCENARIOS!$A$2,SCENARIOS!$B$2,1,YIELDS!F$1)</f>
        <v>0</v>
      </c>
      <c r="G6" cm="1">
        <f t="array" ref="G6">_xll.VALEURCOURBE($A$27,_xlfn.CONCAT("THEME5=",$B6),SCENARIOS!$A$2,SCENARIOS!$B$2,1,YIELDS!G$1)</f>
        <v>0</v>
      </c>
      <c r="H6" cm="1">
        <f t="array" ref="H6">_xll.VALEURCOURBE($A$27,_xlfn.CONCAT("THEME5=",$B6),SCENARIOS!$A$2,SCENARIOS!$B$2,1,YIELDS!H$1)</f>
        <v>0</v>
      </c>
      <c r="I6" cm="1">
        <f t="array" ref="I6">_xll.VALEURCOURBE($A$27,_xlfn.CONCAT("THEME5=",$B6),SCENARIOS!$A$2,SCENARIOS!$B$2,1,YIELDS!I$1)</f>
        <v>0</v>
      </c>
      <c r="J6" cm="1">
        <f t="array" ref="J6">_xll.VALEURCOURBE($A$27,_xlfn.CONCAT("THEME5=",$B6),SCENARIOS!$A$2,SCENARIOS!$B$2,1,YIELDS!J$1)</f>
        <v>0</v>
      </c>
      <c r="K6" cm="1">
        <f t="array" ref="K6">_xll.VALEURCOURBE($A$27,_xlfn.CONCAT("THEME5=",$B6),SCENARIOS!$A$2,SCENARIOS!$B$2,1,YIELDS!K$1)</f>
        <v>0</v>
      </c>
      <c r="L6" cm="1">
        <f t="array" ref="L6">_xll.VALEURCOURBE($A$27,_xlfn.CONCAT("THEME5=",$B6),SCENARIOS!$A$2,SCENARIOS!$B$2,1,YIELDS!L$1)</f>
        <v>0</v>
      </c>
      <c r="M6" cm="1">
        <f t="array" ref="M6">_xll.VALEURCOURBE($A$27,_xlfn.CONCAT("THEME5=",$B6),SCENARIOS!$A$2,SCENARIOS!$B$2,1,YIELDS!M$1)</f>
        <v>0</v>
      </c>
      <c r="N6" cm="1">
        <f t="array" ref="N6">_xll.VALEURCOURBE($A$27,_xlfn.CONCAT("THEME5=",$B6),SCENARIOS!$A$2,SCENARIOS!$B$2,1,YIELDS!N$1)</f>
        <v>1.62</v>
      </c>
      <c r="O6" cm="1">
        <f t="array" ref="O6">_xll.VALEURCOURBE($A$27,_xlfn.CONCAT("THEME5=",$B6),SCENARIOS!$A$2,SCENARIOS!$B$2,1,YIELDS!O$1)</f>
        <v>5.94</v>
      </c>
      <c r="P6" cm="1">
        <f t="array" ref="P6">_xll.VALEURCOURBE($A$27,_xlfn.CONCAT("THEME5=",$B6),SCENARIOS!$A$2,SCENARIOS!$B$2,1,YIELDS!P$1)</f>
        <v>10.24</v>
      </c>
      <c r="Q6" cm="1">
        <f t="array" ref="Q6">_xll.VALEURCOURBE($A$27,_xlfn.CONCAT("THEME5=",$B6),SCENARIOS!$A$2,SCENARIOS!$B$2,1,YIELDS!Q$1)</f>
        <v>14.49</v>
      </c>
      <c r="R6" cm="1">
        <f t="array" ref="R6">_xll.VALEURCOURBE($A$27,_xlfn.CONCAT("THEME5=",$B6),SCENARIOS!$A$2,SCENARIOS!$B$2,1,YIELDS!R$1)</f>
        <v>18.62</v>
      </c>
      <c r="S6" cm="1">
        <f t="array" ref="S6">_xll.VALEURCOURBE($A$27,_xlfn.CONCAT("THEME5=",$B6),SCENARIOS!$A$2,SCENARIOS!$B$2,1,YIELDS!S$1)</f>
        <v>22.61</v>
      </c>
      <c r="T6" cm="1">
        <f t="array" ref="T6">_xll.VALEURCOURBE($A$27,_xlfn.CONCAT("THEME5=",$B6),SCENARIOS!$A$2,SCENARIOS!$B$2,1,YIELDS!T$1)</f>
        <v>26.41</v>
      </c>
      <c r="U6" cm="1">
        <f t="array" ref="U6">_xll.VALEURCOURBE($A$27,_xlfn.CONCAT("THEME5=",$B6),SCENARIOS!$A$2,SCENARIOS!$B$2,1,YIELDS!U$1)</f>
        <v>30.01</v>
      </c>
      <c r="V6" cm="1">
        <f t="array" ref="V6">_xll.VALEURCOURBE($A$27,_xlfn.CONCAT("THEME5=",$B6),SCENARIOS!$A$2,SCENARIOS!$B$2,1,YIELDS!V$1)</f>
        <v>33.369999999999997</v>
      </c>
    </row>
    <row r="7" spans="1:22" x14ac:dyDescent="0.25">
      <c r="A7" t="str">
        <v>YV_E_BOJ</v>
      </c>
      <c r="B7" t="str">
        <v>FC3334</v>
      </c>
      <c r="C7" cm="1">
        <f t="array" ref="C7">_xll.VALEURCOURBE($A$27,_xlfn.CONCAT("THEME5=",$B7),SCENARIOS!$A$2,SCENARIOS!$B$2,1,YIELDS!C$1)</f>
        <v>0</v>
      </c>
      <c r="D7" cm="1">
        <f t="array" ref="D7">_xll.VALEURCOURBE($A$27,_xlfn.CONCAT("THEME5=",$B7),SCENARIOS!$A$2,SCENARIOS!$B$2,1,YIELDS!D$1)</f>
        <v>0</v>
      </c>
      <c r="E7" cm="1">
        <f t="array" ref="E7">_xll.VALEURCOURBE($A$27,_xlfn.CONCAT("THEME5=",$B7),SCENARIOS!$A$2,SCENARIOS!$B$2,1,YIELDS!E$1)</f>
        <v>1.06</v>
      </c>
      <c r="F7" cm="1">
        <f t="array" ref="F7">_xll.VALEURCOURBE($A$27,_xlfn.CONCAT("THEME5=",$B7),SCENARIOS!$A$2,SCENARIOS!$B$2,1,YIELDS!F$1)</f>
        <v>2.12</v>
      </c>
      <c r="G7" cm="1">
        <f t="array" ref="G7">_xll.VALEURCOURBE($A$27,_xlfn.CONCAT("THEME5=",$B7),SCENARIOS!$A$2,SCENARIOS!$B$2,1,YIELDS!G$1)</f>
        <v>3.18</v>
      </c>
      <c r="H7" cm="1">
        <f t="array" ref="H7">_xll.VALEURCOURBE($A$27,_xlfn.CONCAT("THEME5=",$B7),SCENARIOS!$A$2,SCENARIOS!$B$2,1,YIELDS!H$1)</f>
        <v>4.22</v>
      </c>
      <c r="I7" cm="1">
        <f t="array" ref="I7">_xll.VALEURCOURBE($A$27,_xlfn.CONCAT("THEME5=",$B7),SCENARIOS!$A$2,SCENARIOS!$B$2,1,YIELDS!I$1)</f>
        <v>5.29</v>
      </c>
      <c r="J7" cm="1">
        <f t="array" ref="J7">_xll.VALEURCOURBE($A$27,_xlfn.CONCAT("THEME5=",$B7),SCENARIOS!$A$2,SCENARIOS!$B$2,1,YIELDS!J$1)</f>
        <v>6.35</v>
      </c>
      <c r="K7" cm="1">
        <f t="array" ref="K7">_xll.VALEURCOURBE($A$27,_xlfn.CONCAT("THEME5=",$B7),SCENARIOS!$A$2,SCENARIOS!$B$2,1,YIELDS!K$1)</f>
        <v>7.42</v>
      </c>
      <c r="L7" cm="1">
        <f t="array" ref="L7">_xll.VALEURCOURBE($A$27,_xlfn.CONCAT("THEME5=",$B7),SCENARIOS!$A$2,SCENARIOS!$B$2,1,YIELDS!L$1)</f>
        <v>8.4700000000000006</v>
      </c>
      <c r="M7" cm="1">
        <f t="array" ref="M7">_xll.VALEURCOURBE($A$27,_xlfn.CONCAT("THEME5=",$B7),SCENARIOS!$A$2,SCENARIOS!$B$2,1,YIELDS!M$1)</f>
        <v>9.51</v>
      </c>
      <c r="N7" cm="1">
        <f t="array" ref="N7">_xll.VALEURCOURBE($A$27,_xlfn.CONCAT("THEME5=",$B7),SCENARIOS!$A$2,SCENARIOS!$B$2,1,YIELDS!N$1)</f>
        <v>10.53</v>
      </c>
      <c r="O7" cm="1">
        <f t="array" ref="O7">_xll.VALEURCOURBE($A$27,_xlfn.CONCAT("THEME5=",$B7),SCENARIOS!$A$2,SCENARIOS!$B$2,1,YIELDS!O$1)</f>
        <v>11.87</v>
      </c>
      <c r="P7" cm="1">
        <f t="array" ref="P7">_xll.VALEURCOURBE($A$27,_xlfn.CONCAT("THEME5=",$B7),SCENARIOS!$A$2,SCENARIOS!$B$2,1,YIELDS!P$1)</f>
        <v>13.23</v>
      </c>
      <c r="Q7" cm="1">
        <f t="array" ref="Q7">_xll.VALEURCOURBE($A$27,_xlfn.CONCAT("THEME5=",$B7),SCENARIOS!$A$2,SCENARIOS!$B$2,1,YIELDS!Q$1)</f>
        <v>14.57</v>
      </c>
      <c r="R7" cm="1">
        <f t="array" ref="R7">_xll.VALEURCOURBE($A$27,_xlfn.CONCAT("THEME5=",$B7),SCENARIOS!$A$2,SCENARIOS!$B$2,1,YIELDS!R$1)</f>
        <v>15.92</v>
      </c>
      <c r="S7" cm="1">
        <f t="array" ref="S7">_xll.VALEURCOURBE($A$27,_xlfn.CONCAT("THEME5=",$B7),SCENARIOS!$A$2,SCENARIOS!$B$2,1,YIELDS!S$1)</f>
        <v>17.25</v>
      </c>
      <c r="T7" cm="1">
        <f t="array" ref="T7">_xll.VALEURCOURBE($A$27,_xlfn.CONCAT("THEME5=",$B7),SCENARIOS!$A$2,SCENARIOS!$B$2,1,YIELDS!T$1)</f>
        <v>18.57</v>
      </c>
      <c r="U7" cm="1">
        <f t="array" ref="U7">_xll.VALEURCOURBE($A$27,_xlfn.CONCAT("THEME5=",$B7),SCENARIOS!$A$2,SCENARIOS!$B$2,1,YIELDS!U$1)</f>
        <v>19.87</v>
      </c>
      <c r="V7" cm="1">
        <f t="array" ref="V7">_xll.VALEURCOURBE($A$27,_xlfn.CONCAT("THEME5=",$B7),SCENARIOS!$A$2,SCENARIOS!$B$2,1,YIELDS!V$1)</f>
        <v>21.17</v>
      </c>
    </row>
    <row r="8" spans="1:22" x14ac:dyDescent="0.25">
      <c r="A8" t="str">
        <v>YV_G_EAUF</v>
      </c>
      <c r="B8" t="str">
        <v>FC3335</v>
      </c>
      <c r="C8" cm="1">
        <f t="array" ref="C8">_xll.VALEURCOURBE($A$27,_xlfn.CONCAT("THEME5=",$B8),SCENARIOS!$A$2,SCENARIOS!$B$2,1,YIELDS!C$1)</f>
        <v>0</v>
      </c>
      <c r="D8" cm="1">
        <f t="array" ref="D8">_xll.VALEURCOURBE($A$27,_xlfn.CONCAT("THEME5=",$B8),SCENARIOS!$A$2,SCENARIOS!$B$2,1,YIELDS!D$1)</f>
        <v>0</v>
      </c>
      <c r="E8" cm="1">
        <f t="array" ref="E8">_xll.VALEURCOURBE($A$27,_xlfn.CONCAT("THEME5=",$B8),SCENARIOS!$A$2,SCENARIOS!$B$2,1,YIELDS!E$1)</f>
        <v>0</v>
      </c>
      <c r="F8" cm="1">
        <f t="array" ref="F8">_xll.VALEURCOURBE($A$27,_xlfn.CONCAT("THEME5=",$B8),SCENARIOS!$A$2,SCENARIOS!$B$2,1,YIELDS!F$1)</f>
        <v>0</v>
      </c>
      <c r="G8" cm="1">
        <f t="array" ref="G8">_xll.VALEURCOURBE($A$27,_xlfn.CONCAT("THEME5=",$B8),SCENARIOS!$A$2,SCENARIOS!$B$2,1,YIELDS!G$1)</f>
        <v>0</v>
      </c>
      <c r="H8" cm="1">
        <f t="array" ref="H8">_xll.VALEURCOURBE($A$27,_xlfn.CONCAT("THEME5=",$B8),SCENARIOS!$A$2,SCENARIOS!$B$2,1,YIELDS!H$1)</f>
        <v>0</v>
      </c>
      <c r="I8" cm="1">
        <f t="array" ref="I8">_xll.VALEURCOURBE($A$27,_xlfn.CONCAT("THEME5=",$B8),SCENARIOS!$A$2,SCENARIOS!$B$2,1,YIELDS!I$1)</f>
        <v>0</v>
      </c>
      <c r="J8" cm="1">
        <f t="array" ref="J8">_xll.VALEURCOURBE($A$27,_xlfn.CONCAT("THEME5=",$B8),SCENARIOS!$A$2,SCENARIOS!$B$2,1,YIELDS!J$1)</f>
        <v>0</v>
      </c>
      <c r="K8" cm="1">
        <f t="array" ref="K8">_xll.VALEURCOURBE($A$27,_xlfn.CONCAT("THEME5=",$B8),SCENARIOS!$A$2,SCENARIOS!$B$2,1,YIELDS!K$1)</f>
        <v>2.67</v>
      </c>
      <c r="L8" cm="1">
        <f t="array" ref="L8">_xll.VALEURCOURBE($A$27,_xlfn.CONCAT("THEME5=",$B8),SCENARIOS!$A$2,SCENARIOS!$B$2,1,YIELDS!L$1)</f>
        <v>8.9499999999999993</v>
      </c>
      <c r="M8" cm="1">
        <f t="array" ref="M8">_xll.VALEURCOURBE($A$27,_xlfn.CONCAT("THEME5=",$B8),SCENARIOS!$A$2,SCENARIOS!$B$2,1,YIELDS!M$1)</f>
        <v>14.76</v>
      </c>
      <c r="N8" cm="1">
        <f t="array" ref="N8">_xll.VALEURCOURBE($A$27,_xlfn.CONCAT("THEME5=",$B8),SCENARIOS!$A$2,SCENARIOS!$B$2,1,YIELDS!N$1)</f>
        <v>20.079999999999998</v>
      </c>
      <c r="O8" cm="1">
        <f t="array" ref="O8">_xll.VALEURCOURBE($A$27,_xlfn.CONCAT("THEME5=",$B8),SCENARIOS!$A$2,SCENARIOS!$B$2,1,YIELDS!O$1)</f>
        <v>24.92</v>
      </c>
      <c r="P8" cm="1">
        <f t="array" ref="P8">_xll.VALEURCOURBE($A$27,_xlfn.CONCAT("THEME5=",$B8),SCENARIOS!$A$2,SCENARIOS!$B$2,1,YIELDS!P$1)</f>
        <v>29.25</v>
      </c>
      <c r="Q8" cm="1">
        <f t="array" ref="Q8">_xll.VALEURCOURBE($A$27,_xlfn.CONCAT("THEME5=",$B8),SCENARIOS!$A$2,SCENARIOS!$B$2,1,YIELDS!Q$1)</f>
        <v>33.11</v>
      </c>
      <c r="R8" cm="1">
        <f t="array" ref="R8">_xll.VALEURCOURBE($A$27,_xlfn.CONCAT("THEME5=",$B8),SCENARIOS!$A$2,SCENARIOS!$B$2,1,YIELDS!R$1)</f>
        <v>36.520000000000003</v>
      </c>
      <c r="S8" cm="1">
        <f t="array" ref="S8">_xll.VALEURCOURBE($A$27,_xlfn.CONCAT("THEME5=",$B8),SCENARIOS!$A$2,SCENARIOS!$B$2,1,YIELDS!S$1)</f>
        <v>39.49</v>
      </c>
      <c r="T8" cm="1">
        <f t="array" ref="T8">_xll.VALEURCOURBE($A$27,_xlfn.CONCAT("THEME5=",$B8),SCENARIOS!$A$2,SCENARIOS!$B$2,1,YIELDS!T$1)</f>
        <v>42.06</v>
      </c>
      <c r="U8" cm="1">
        <f t="array" ref="U8">_xll.VALEURCOURBE($A$27,_xlfn.CONCAT("THEME5=",$B8),SCENARIOS!$A$2,SCENARIOS!$B$2,1,YIELDS!U$1)</f>
        <v>44.28</v>
      </c>
      <c r="V8" cm="1">
        <f t="array" ref="V8">_xll.VALEURCOURBE($A$27,_xlfn.CONCAT("THEME5=",$B8),SCENARIOS!$A$2,SCENARIOS!$B$2,1,YIELDS!V$1)</f>
        <v>46.15</v>
      </c>
    </row>
    <row r="9" spans="1:22" x14ac:dyDescent="0.25">
      <c r="A9" t="str">
        <v>YV_G_GAUR</v>
      </c>
      <c r="B9" t="str">
        <v>FC3336</v>
      </c>
      <c r="C9" cm="1">
        <f t="array" ref="C9">_xll.VALEURCOURBE($A$27,_xlfn.CONCAT("THEME5=",$B9),SCENARIOS!$A$2,SCENARIOS!$B$2,1,YIELDS!C$1)</f>
        <v>0</v>
      </c>
      <c r="D9" cm="1">
        <f t="array" ref="D9">_xll.VALEURCOURBE($A$27,_xlfn.CONCAT("THEME5=",$B9),SCENARIOS!$A$2,SCENARIOS!$B$2,1,YIELDS!D$1)</f>
        <v>0</v>
      </c>
      <c r="E9" cm="1">
        <f t="array" ref="E9">_xll.VALEURCOURBE($A$27,_xlfn.CONCAT("THEME5=",$B9),SCENARIOS!$A$2,SCENARIOS!$B$2,1,YIELDS!E$1)</f>
        <v>0</v>
      </c>
      <c r="F9" cm="1">
        <f t="array" ref="F9">_xll.VALEURCOURBE($A$27,_xlfn.CONCAT("THEME5=",$B9),SCENARIOS!$A$2,SCENARIOS!$B$2,1,YIELDS!F$1)</f>
        <v>0</v>
      </c>
      <c r="G9" cm="1">
        <f t="array" ref="G9">_xll.VALEURCOURBE($A$27,_xlfn.CONCAT("THEME5=",$B9),SCENARIOS!$A$2,SCENARIOS!$B$2,1,YIELDS!G$1)</f>
        <v>0</v>
      </c>
      <c r="H9" cm="1">
        <f t="array" ref="H9">_xll.VALEURCOURBE($A$27,_xlfn.CONCAT("THEME5=",$B9),SCENARIOS!$A$2,SCENARIOS!$B$2,1,YIELDS!H$1)</f>
        <v>0</v>
      </c>
      <c r="I9" cm="1">
        <f t="array" ref="I9">_xll.VALEURCOURBE($A$27,_xlfn.CONCAT("THEME5=",$B9),SCENARIOS!$A$2,SCENARIOS!$B$2,1,YIELDS!I$1)</f>
        <v>0</v>
      </c>
      <c r="J9" cm="1">
        <f t="array" ref="J9">_xll.VALEURCOURBE($A$27,_xlfn.CONCAT("THEME5=",$B9),SCENARIOS!$A$2,SCENARIOS!$B$2,1,YIELDS!J$1)</f>
        <v>0</v>
      </c>
      <c r="K9" cm="1">
        <f t="array" ref="K9">_xll.VALEURCOURBE($A$27,_xlfn.CONCAT("THEME5=",$B9),SCENARIOS!$A$2,SCENARIOS!$B$2,1,YIELDS!K$1)</f>
        <v>0</v>
      </c>
      <c r="L9" cm="1">
        <f t="array" ref="L9">_xll.VALEURCOURBE($A$27,_xlfn.CONCAT("THEME5=",$B9),SCENARIOS!$A$2,SCENARIOS!$B$2,1,YIELDS!L$1)</f>
        <v>0</v>
      </c>
      <c r="M9" cm="1">
        <f t="array" ref="M9">_xll.VALEURCOURBE($A$27,_xlfn.CONCAT("THEME5=",$B9),SCENARIOS!$A$2,SCENARIOS!$B$2,1,YIELDS!M$1)</f>
        <v>1.84</v>
      </c>
      <c r="N9" cm="1">
        <f t="array" ref="N9">_xll.VALEURCOURBE($A$27,_xlfn.CONCAT("THEME5=",$B9),SCENARIOS!$A$2,SCENARIOS!$B$2,1,YIELDS!N$1)</f>
        <v>10.06</v>
      </c>
      <c r="O9" cm="1">
        <f t="array" ref="O9">_xll.VALEURCOURBE($A$27,_xlfn.CONCAT("THEME5=",$B9),SCENARIOS!$A$2,SCENARIOS!$B$2,1,YIELDS!O$1)</f>
        <v>17.82</v>
      </c>
      <c r="P9" cm="1">
        <f t="array" ref="P9">_xll.VALEURCOURBE($A$27,_xlfn.CONCAT("THEME5=",$B9),SCENARIOS!$A$2,SCENARIOS!$B$2,1,YIELDS!P$1)</f>
        <v>25.03</v>
      </c>
      <c r="Q9" cm="1">
        <f t="array" ref="Q9">_xll.VALEURCOURBE($A$27,_xlfn.CONCAT("THEME5=",$B9),SCENARIOS!$A$2,SCENARIOS!$B$2,1,YIELDS!Q$1)</f>
        <v>31.65</v>
      </c>
      <c r="R9" cm="1">
        <f t="array" ref="R9">_xll.VALEURCOURBE($A$27,_xlfn.CONCAT("THEME5=",$B9),SCENARIOS!$A$2,SCENARIOS!$B$2,1,YIELDS!R$1)</f>
        <v>37.67</v>
      </c>
      <c r="S9" cm="1">
        <f t="array" ref="S9">_xll.VALEURCOURBE($A$27,_xlfn.CONCAT("THEME5=",$B9),SCENARIOS!$A$2,SCENARIOS!$B$2,1,YIELDS!S$1)</f>
        <v>43.12</v>
      </c>
      <c r="T9" cm="1">
        <f t="array" ref="T9">_xll.VALEURCOURBE($A$27,_xlfn.CONCAT("THEME5=",$B9),SCENARIOS!$A$2,SCENARIOS!$B$2,1,YIELDS!T$1)</f>
        <v>47.99</v>
      </c>
      <c r="U9" cm="1">
        <f t="array" ref="U9">_xll.VALEURCOURBE($A$27,_xlfn.CONCAT("THEME5=",$B9),SCENARIOS!$A$2,SCENARIOS!$B$2,1,YIELDS!U$1)</f>
        <v>52.33</v>
      </c>
      <c r="V9" cm="1">
        <f t="array" ref="V9">_xll.VALEURCOURBE($A$27,_xlfn.CONCAT("THEME5=",$B9),SCENARIOS!$A$2,SCENARIOS!$B$2,1,YIELDS!V$1)</f>
        <v>56.16</v>
      </c>
    </row>
    <row r="10" spans="1:22" x14ac:dyDescent="0.25">
      <c r="A10" t="str">
        <v>YV_G_GBP</v>
      </c>
      <c r="B10" t="str">
        <v>FC3337</v>
      </c>
      <c r="C10" cm="1">
        <f t="array" ref="C10">_xll.VALEURCOURBE($A$27,_xlfn.CONCAT("THEME5=",$B10),SCENARIOS!$A$2,SCENARIOS!$B$2,1,YIELDS!C$1)</f>
        <v>0</v>
      </c>
      <c r="D10" cm="1">
        <f t="array" ref="D10">_xll.VALEURCOURBE($A$27,_xlfn.CONCAT("THEME5=",$B10),SCENARIOS!$A$2,SCENARIOS!$B$2,1,YIELDS!D$1)</f>
        <v>0</v>
      </c>
      <c r="E10" cm="1">
        <f t="array" ref="E10">_xll.VALEURCOURBE($A$27,_xlfn.CONCAT("THEME5=",$B10),SCENARIOS!$A$2,SCENARIOS!$B$2,1,YIELDS!E$1)</f>
        <v>0</v>
      </c>
      <c r="F10" cm="1">
        <f t="array" ref="F10">_xll.VALEURCOURBE($A$27,_xlfn.CONCAT("THEME5=",$B10),SCENARIOS!$A$2,SCENARIOS!$B$2,1,YIELDS!F$1)</f>
        <v>0</v>
      </c>
      <c r="G10" cm="1">
        <f t="array" ref="G10">_xll.VALEURCOURBE($A$27,_xlfn.CONCAT("THEME5=",$B10),SCENARIOS!$A$2,SCENARIOS!$B$2,1,YIELDS!G$1)</f>
        <v>0</v>
      </c>
      <c r="H10" cm="1">
        <f t="array" ref="H10">_xll.VALEURCOURBE($A$27,_xlfn.CONCAT("THEME5=",$B10),SCENARIOS!$A$2,SCENARIOS!$B$2,1,YIELDS!H$1)</f>
        <v>0</v>
      </c>
      <c r="I10" cm="1">
        <f t="array" ref="I10">_xll.VALEURCOURBE($A$27,_xlfn.CONCAT("THEME5=",$B10),SCENARIOS!$A$2,SCENARIOS!$B$2,1,YIELDS!I$1)</f>
        <v>0</v>
      </c>
      <c r="J10" cm="1">
        <f t="array" ref="J10">_xll.VALEURCOURBE($A$27,_xlfn.CONCAT("THEME5=",$B10),SCENARIOS!$A$2,SCENARIOS!$B$2,1,YIELDS!J$1)</f>
        <v>0</v>
      </c>
      <c r="K10" cm="1">
        <f t="array" ref="K10">_xll.VALEURCOURBE($A$27,_xlfn.CONCAT("THEME5=",$B10),SCENARIOS!$A$2,SCENARIOS!$B$2,1,YIELDS!K$1)</f>
        <v>0.87</v>
      </c>
      <c r="L10" cm="1">
        <f t="array" ref="L10">_xll.VALEURCOURBE($A$27,_xlfn.CONCAT("THEME5=",$B10),SCENARIOS!$A$2,SCENARIOS!$B$2,1,YIELDS!L$1)</f>
        <v>3.94</v>
      </c>
      <c r="M10" cm="1">
        <f t="array" ref="M10">_xll.VALEURCOURBE($A$27,_xlfn.CONCAT("THEME5=",$B10),SCENARIOS!$A$2,SCENARIOS!$B$2,1,YIELDS!M$1)</f>
        <v>6.95</v>
      </c>
      <c r="N10" cm="1">
        <f t="array" ref="N10">_xll.VALEURCOURBE($A$27,_xlfn.CONCAT("THEME5=",$B10),SCENARIOS!$A$2,SCENARIOS!$B$2,1,YIELDS!N$1)</f>
        <v>9.66</v>
      </c>
      <c r="O10" cm="1">
        <f t="array" ref="O10">_xll.VALEURCOURBE($A$27,_xlfn.CONCAT("THEME5=",$B10),SCENARIOS!$A$2,SCENARIOS!$B$2,1,YIELDS!O$1)</f>
        <v>12.14</v>
      </c>
      <c r="P10" cm="1">
        <f t="array" ref="P10">_xll.VALEURCOURBE($A$27,_xlfn.CONCAT("THEME5=",$B10),SCENARIOS!$A$2,SCENARIOS!$B$2,1,YIELDS!P$1)</f>
        <v>14.4</v>
      </c>
      <c r="Q10" cm="1">
        <f t="array" ref="Q10">_xll.VALEURCOURBE($A$27,_xlfn.CONCAT("THEME5=",$B10),SCENARIOS!$A$2,SCENARIOS!$B$2,1,YIELDS!Q$1)</f>
        <v>16.399999999999999</v>
      </c>
      <c r="R10" cm="1">
        <f t="array" ref="R10">_xll.VALEURCOURBE($A$27,_xlfn.CONCAT("THEME5=",$B10),SCENARIOS!$A$2,SCENARIOS!$B$2,1,YIELDS!R$1)</f>
        <v>18.170000000000002</v>
      </c>
      <c r="S10" cm="1">
        <f t="array" ref="S10">_xll.VALEURCOURBE($A$27,_xlfn.CONCAT("THEME5=",$B10),SCENARIOS!$A$2,SCENARIOS!$B$2,1,YIELDS!S$1)</f>
        <v>19.68</v>
      </c>
      <c r="T10" cm="1">
        <f t="array" ref="T10">_xll.VALEURCOURBE($A$27,_xlfn.CONCAT("THEME5=",$B10),SCENARIOS!$A$2,SCENARIOS!$B$2,1,YIELDS!T$1)</f>
        <v>20.94</v>
      </c>
      <c r="U10" cm="1">
        <f t="array" ref="U10">_xll.VALEURCOURBE($A$27,_xlfn.CONCAT("THEME5=",$B10),SCENARIOS!$A$2,SCENARIOS!$B$2,1,YIELDS!U$1)</f>
        <v>22</v>
      </c>
      <c r="V10" cm="1">
        <f t="array" ref="V10">_xll.VALEURCOURBE($A$27,_xlfn.CONCAT("THEME5=",$B10),SCENARIOS!$A$2,SCENARIOS!$B$2,1,YIELDS!V$1)</f>
        <v>22.83</v>
      </c>
    </row>
    <row r="11" spans="1:22" x14ac:dyDescent="0.25">
      <c r="A11" t="str">
        <v>YV_G_GEPX</v>
      </c>
      <c r="B11" t="str">
        <v>FC3338</v>
      </c>
      <c r="C11" cm="1">
        <f t="array" ref="C11">_xll.VALEURCOURBE($A$27,_xlfn.CONCAT("THEME5=",$B11),SCENARIOS!$A$2,SCENARIOS!$B$2,1,YIELDS!C$1)</f>
        <v>0</v>
      </c>
      <c r="D11" cm="1">
        <f t="array" ref="D11">_xll.VALEURCOURBE($A$27,_xlfn.CONCAT("THEME5=",$B11),SCENARIOS!$A$2,SCENARIOS!$B$2,1,YIELDS!D$1)</f>
        <v>0</v>
      </c>
      <c r="E11" cm="1">
        <f t="array" ref="E11">_xll.VALEURCOURBE($A$27,_xlfn.CONCAT("THEME5=",$B11),SCENARIOS!$A$2,SCENARIOS!$B$2,1,YIELDS!E$1)</f>
        <v>0</v>
      </c>
      <c r="F11" cm="1">
        <f t="array" ref="F11">_xll.VALEURCOURBE($A$27,_xlfn.CONCAT("THEME5=",$B11),SCENARIOS!$A$2,SCENARIOS!$B$2,1,YIELDS!F$1)</f>
        <v>0</v>
      </c>
      <c r="G11" cm="1">
        <f t="array" ref="G11">_xll.VALEURCOURBE($A$27,_xlfn.CONCAT("THEME5=",$B11),SCENARIOS!$A$2,SCENARIOS!$B$2,1,YIELDS!G$1)</f>
        <v>0</v>
      </c>
      <c r="H11" cm="1">
        <f t="array" ref="H11">_xll.VALEURCOURBE($A$27,_xlfn.CONCAT("THEME5=",$B11),SCENARIOS!$A$2,SCENARIOS!$B$2,1,YIELDS!H$1)</f>
        <v>0</v>
      </c>
      <c r="I11" cm="1">
        <f t="array" ref="I11">_xll.VALEURCOURBE($A$27,_xlfn.CONCAT("THEME5=",$B11),SCENARIOS!$A$2,SCENARIOS!$B$2,1,YIELDS!I$1)</f>
        <v>0</v>
      </c>
      <c r="J11" cm="1">
        <f t="array" ref="J11">_xll.VALEURCOURBE($A$27,_xlfn.CONCAT("THEME5=",$B11),SCENARIOS!$A$2,SCENARIOS!$B$2,1,YIELDS!J$1)</f>
        <v>0</v>
      </c>
      <c r="K11" cm="1">
        <f t="array" ref="K11">_xll.VALEURCOURBE($A$27,_xlfn.CONCAT("THEME5=",$B11),SCENARIOS!$A$2,SCENARIOS!$B$2,1,YIELDS!K$1)</f>
        <v>2.8</v>
      </c>
      <c r="L11" cm="1">
        <f t="array" ref="L11">_xll.VALEURCOURBE($A$27,_xlfn.CONCAT("THEME5=",$B11),SCENARIOS!$A$2,SCENARIOS!$B$2,1,YIELDS!L$1)</f>
        <v>20.45</v>
      </c>
      <c r="M11" cm="1">
        <f t="array" ref="M11">_xll.VALEURCOURBE($A$27,_xlfn.CONCAT("THEME5=",$B11),SCENARIOS!$A$2,SCENARIOS!$B$2,1,YIELDS!M$1)</f>
        <v>37.049999999999997</v>
      </c>
      <c r="N11" cm="1">
        <f t="array" ref="N11">_xll.VALEURCOURBE($A$27,_xlfn.CONCAT("THEME5=",$B11),SCENARIOS!$A$2,SCENARIOS!$B$2,1,YIELDS!N$1)</f>
        <v>51.83</v>
      </c>
      <c r="O11" cm="1">
        <f t="array" ref="O11">_xll.VALEURCOURBE($A$27,_xlfn.CONCAT("THEME5=",$B11),SCENARIOS!$A$2,SCENARIOS!$B$2,1,YIELDS!O$1)</f>
        <v>64.959999999999994</v>
      </c>
      <c r="P11" cm="1">
        <f t="array" ref="P11">_xll.VALEURCOURBE($A$27,_xlfn.CONCAT("THEME5=",$B11),SCENARIOS!$A$2,SCENARIOS!$B$2,1,YIELDS!P$1)</f>
        <v>76.52</v>
      </c>
      <c r="Q11" cm="1">
        <f t="array" ref="Q11">_xll.VALEURCOURBE($A$27,_xlfn.CONCAT("THEME5=",$B11),SCENARIOS!$A$2,SCENARIOS!$B$2,1,YIELDS!Q$1)</f>
        <v>86.65</v>
      </c>
      <c r="R11" cm="1">
        <f t="array" ref="R11">_xll.VALEURCOURBE($A$27,_xlfn.CONCAT("THEME5=",$B11),SCENARIOS!$A$2,SCENARIOS!$B$2,1,YIELDS!R$1)</f>
        <v>95.4</v>
      </c>
      <c r="S11" cm="1">
        <f t="array" ref="S11">_xll.VALEURCOURBE($A$27,_xlfn.CONCAT("THEME5=",$B11),SCENARIOS!$A$2,SCENARIOS!$B$2,1,YIELDS!S$1)</f>
        <v>102.91</v>
      </c>
      <c r="T11" cm="1">
        <f t="array" ref="T11">_xll.VALEURCOURBE($A$27,_xlfn.CONCAT("THEME5=",$B11),SCENARIOS!$A$2,SCENARIOS!$B$2,1,YIELDS!T$1)</f>
        <v>109.2</v>
      </c>
      <c r="U11" cm="1">
        <f t="array" ref="U11">_xll.VALEURCOURBE($A$27,_xlfn.CONCAT("THEME5=",$B11),SCENARIOS!$A$2,SCENARIOS!$B$2,1,YIELDS!U$1)</f>
        <v>114.4</v>
      </c>
      <c r="V11" cm="1">
        <f t="array" ref="V11">_xll.VALEURCOURBE($A$27,_xlfn.CONCAT("THEME5=",$B11),SCENARIOS!$A$2,SCENARIOS!$B$2,1,YIELDS!V$1)</f>
        <v>118.59</v>
      </c>
    </row>
    <row r="12" spans="1:22" x14ac:dyDescent="0.25">
      <c r="A12" t="str">
        <v>YV_G_GERO</v>
      </c>
      <c r="B12" t="str">
        <v>FC3339</v>
      </c>
      <c r="C12" cm="1">
        <f t="array" ref="C12">_xll.VALEURCOURBE($A$27,_xlfn.CONCAT("THEME5=",$B12),SCENARIOS!$A$2,SCENARIOS!$B$2,1,YIELDS!C$1)</f>
        <v>0</v>
      </c>
      <c r="D12" cm="1">
        <f t="array" ref="D12">_xll.VALEURCOURBE($A$27,_xlfn.CONCAT("THEME5=",$B12),SCENARIOS!$A$2,SCENARIOS!$B$2,1,YIELDS!D$1)</f>
        <v>0</v>
      </c>
      <c r="E12" cm="1">
        <f t="array" ref="E12">_xll.VALEURCOURBE($A$27,_xlfn.CONCAT("THEME5=",$B12),SCENARIOS!$A$2,SCENARIOS!$B$2,1,YIELDS!E$1)</f>
        <v>0</v>
      </c>
      <c r="F12" cm="1">
        <f t="array" ref="F12">_xll.VALEURCOURBE($A$27,_xlfn.CONCAT("THEME5=",$B12),SCENARIOS!$A$2,SCENARIOS!$B$2,1,YIELDS!F$1)</f>
        <v>0</v>
      </c>
      <c r="G12" cm="1">
        <f t="array" ref="G12">_xll.VALEURCOURBE($A$27,_xlfn.CONCAT("THEME5=",$B12),SCENARIOS!$A$2,SCENARIOS!$B$2,1,YIELDS!G$1)</f>
        <v>0</v>
      </c>
      <c r="H12" cm="1">
        <f t="array" ref="H12">_xll.VALEURCOURBE($A$27,_xlfn.CONCAT("THEME5=",$B12),SCENARIOS!$A$2,SCENARIOS!$B$2,1,YIELDS!H$1)</f>
        <v>0</v>
      </c>
      <c r="I12" cm="1">
        <f t="array" ref="I12">_xll.VALEURCOURBE($A$27,_xlfn.CONCAT("THEME5=",$B12),SCENARIOS!$A$2,SCENARIOS!$B$2,1,YIELDS!I$1)</f>
        <v>0</v>
      </c>
      <c r="J12" cm="1">
        <f t="array" ref="J12">_xll.VALEURCOURBE($A$27,_xlfn.CONCAT("THEME5=",$B12),SCENARIOS!$A$2,SCENARIOS!$B$2,1,YIELDS!J$1)</f>
        <v>0</v>
      </c>
      <c r="K12" cm="1">
        <f t="array" ref="K12">_xll.VALEURCOURBE($A$27,_xlfn.CONCAT("THEME5=",$B12),SCENARIOS!$A$2,SCENARIOS!$B$2,1,YIELDS!K$1)</f>
        <v>0</v>
      </c>
      <c r="L12" cm="1">
        <f t="array" ref="L12">_xll.VALEURCOURBE($A$27,_xlfn.CONCAT("THEME5=",$B12),SCENARIOS!$A$2,SCENARIOS!$B$2,1,YIELDS!L$1)</f>
        <v>0</v>
      </c>
      <c r="M12" cm="1">
        <f t="array" ref="M12">_xll.VALEURCOURBE($A$27,_xlfn.CONCAT("THEME5=",$B12),SCENARIOS!$A$2,SCENARIOS!$B$2,1,YIELDS!M$1)</f>
        <v>0</v>
      </c>
      <c r="N12" cm="1">
        <f t="array" ref="N12">_xll.VALEURCOURBE($A$27,_xlfn.CONCAT("THEME5=",$B12),SCENARIOS!$A$2,SCENARIOS!$B$2,1,YIELDS!N$1)</f>
        <v>1.62</v>
      </c>
      <c r="O12" cm="1">
        <f t="array" ref="O12">_xll.VALEURCOURBE($A$27,_xlfn.CONCAT("THEME5=",$B12),SCENARIOS!$A$2,SCENARIOS!$B$2,1,YIELDS!O$1)</f>
        <v>5.94</v>
      </c>
      <c r="P12" cm="1">
        <f t="array" ref="P12">_xll.VALEURCOURBE($A$27,_xlfn.CONCAT("THEME5=",$B12),SCENARIOS!$A$2,SCENARIOS!$B$2,1,YIELDS!P$1)</f>
        <v>10.24</v>
      </c>
      <c r="Q12" cm="1">
        <f t="array" ref="Q12">_xll.VALEURCOURBE($A$27,_xlfn.CONCAT("THEME5=",$B12),SCENARIOS!$A$2,SCENARIOS!$B$2,1,YIELDS!Q$1)</f>
        <v>14.49</v>
      </c>
      <c r="R12" cm="1">
        <f t="array" ref="R12">_xll.VALEURCOURBE($A$27,_xlfn.CONCAT("THEME5=",$B12),SCENARIOS!$A$2,SCENARIOS!$B$2,1,YIELDS!R$1)</f>
        <v>18.62</v>
      </c>
      <c r="S12" cm="1">
        <f t="array" ref="S12">_xll.VALEURCOURBE($A$27,_xlfn.CONCAT("THEME5=",$B12),SCENARIOS!$A$2,SCENARIOS!$B$2,1,YIELDS!S$1)</f>
        <v>22.61</v>
      </c>
      <c r="T12" cm="1">
        <f t="array" ref="T12">_xll.VALEURCOURBE($A$27,_xlfn.CONCAT("THEME5=",$B12),SCENARIOS!$A$2,SCENARIOS!$B$2,1,YIELDS!T$1)</f>
        <v>26.41</v>
      </c>
      <c r="U12" cm="1">
        <f t="array" ref="U12">_xll.VALEURCOURBE($A$27,_xlfn.CONCAT("THEME5=",$B12),SCENARIOS!$A$2,SCENARIOS!$B$2,1,YIELDS!U$1)</f>
        <v>30.01</v>
      </c>
      <c r="V12" cm="1">
        <f t="array" ref="V12">_xll.VALEURCOURBE($A$27,_xlfn.CONCAT("THEME5=",$B12),SCENARIOS!$A$2,SCENARIOS!$B$2,1,YIELDS!V$1)</f>
        <v>33.369999999999997</v>
      </c>
    </row>
    <row r="13" spans="1:22" x14ac:dyDescent="0.25">
      <c r="A13" t="str">
        <v>YV_G_GF</v>
      </c>
      <c r="B13" t="str">
        <v>FC3340</v>
      </c>
      <c r="C13" cm="1">
        <f t="array" ref="C13">_xll.VALEURCOURBE($A$27,_xlfn.CONCAT("THEME5=",$B13),SCENARIOS!$A$2,SCENARIOS!$B$2,1,YIELDS!C$1)</f>
        <v>0</v>
      </c>
      <c r="D13" cm="1">
        <f t="array" ref="D13">_xll.VALEURCOURBE($A$27,_xlfn.CONCAT("THEME5=",$B13),SCENARIOS!$A$2,SCENARIOS!$B$2,1,YIELDS!D$1)</f>
        <v>0</v>
      </c>
      <c r="E13" cm="1">
        <f t="array" ref="E13">_xll.VALEURCOURBE($A$27,_xlfn.CONCAT("THEME5=",$B13),SCENARIOS!$A$2,SCENARIOS!$B$2,1,YIELDS!E$1)</f>
        <v>0</v>
      </c>
      <c r="F13" cm="1">
        <f t="array" ref="F13">_xll.VALEURCOURBE($A$27,_xlfn.CONCAT("THEME5=",$B13),SCENARIOS!$A$2,SCENARIOS!$B$2,1,YIELDS!F$1)</f>
        <v>0</v>
      </c>
      <c r="G13" cm="1">
        <f t="array" ref="G13">_xll.VALEURCOURBE($A$27,_xlfn.CONCAT("THEME5=",$B13),SCENARIOS!$A$2,SCENARIOS!$B$2,1,YIELDS!G$1)</f>
        <v>0</v>
      </c>
      <c r="H13" cm="1">
        <f t="array" ref="H13">_xll.VALEURCOURBE($A$27,_xlfn.CONCAT("THEME5=",$B13),SCENARIOS!$A$2,SCENARIOS!$B$2,1,YIELDS!H$1)</f>
        <v>0</v>
      </c>
      <c r="I13" cm="1">
        <f t="array" ref="I13">_xll.VALEURCOURBE($A$27,_xlfn.CONCAT("THEME5=",$B13),SCENARIOS!$A$2,SCENARIOS!$B$2,1,YIELDS!I$1)</f>
        <v>1.96</v>
      </c>
      <c r="J13" cm="1">
        <f t="array" ref="J13">_xll.VALEURCOURBE($A$27,_xlfn.CONCAT("THEME5=",$B13),SCENARIOS!$A$2,SCENARIOS!$B$2,1,YIELDS!J$1)</f>
        <v>4.7300000000000004</v>
      </c>
      <c r="K13" cm="1">
        <f t="array" ref="K13">_xll.VALEURCOURBE($A$27,_xlfn.CONCAT("THEME5=",$B13),SCENARIOS!$A$2,SCENARIOS!$B$2,1,YIELDS!K$1)</f>
        <v>7.5</v>
      </c>
      <c r="L13" cm="1">
        <f t="array" ref="L13">_xll.VALEURCOURBE($A$27,_xlfn.CONCAT("THEME5=",$B13),SCENARIOS!$A$2,SCENARIOS!$B$2,1,YIELDS!L$1)</f>
        <v>10.210000000000001</v>
      </c>
      <c r="M13" cm="1">
        <f t="array" ref="M13">_xll.VALEURCOURBE($A$27,_xlfn.CONCAT("THEME5=",$B13),SCENARIOS!$A$2,SCENARIOS!$B$2,1,YIELDS!M$1)</f>
        <v>12.8</v>
      </c>
      <c r="N13" cm="1">
        <f t="array" ref="N13">_xll.VALEURCOURBE($A$27,_xlfn.CONCAT("THEME5=",$B13),SCENARIOS!$A$2,SCENARIOS!$B$2,1,YIELDS!N$1)</f>
        <v>15.23</v>
      </c>
      <c r="O13" cm="1">
        <f t="array" ref="O13">_xll.VALEURCOURBE($A$27,_xlfn.CONCAT("THEME5=",$B13),SCENARIOS!$A$2,SCENARIOS!$B$2,1,YIELDS!O$1)</f>
        <v>17.47</v>
      </c>
      <c r="P13" cm="1">
        <f t="array" ref="P13">_xll.VALEURCOURBE($A$27,_xlfn.CONCAT("THEME5=",$B13),SCENARIOS!$A$2,SCENARIOS!$B$2,1,YIELDS!P$1)</f>
        <v>19.510000000000002</v>
      </c>
      <c r="Q13" cm="1">
        <f t="array" ref="Q13">_xll.VALEURCOURBE($A$27,_xlfn.CONCAT("THEME5=",$B13),SCENARIOS!$A$2,SCENARIOS!$B$2,1,YIELDS!Q$1)</f>
        <v>21.32</v>
      </c>
      <c r="R13" cm="1">
        <f t="array" ref="R13">_xll.VALEURCOURBE($A$27,_xlfn.CONCAT("THEME5=",$B13),SCENARIOS!$A$2,SCENARIOS!$B$2,1,YIELDS!R$1)</f>
        <v>22.91</v>
      </c>
      <c r="S13" cm="1">
        <f t="array" ref="S13">_xll.VALEURCOURBE($A$27,_xlfn.CONCAT("THEME5=",$B13),SCENARIOS!$A$2,SCENARIOS!$B$2,1,YIELDS!S$1)</f>
        <v>24.29</v>
      </c>
      <c r="T13" cm="1">
        <f t="array" ref="T13">_xll.VALEURCOURBE($A$27,_xlfn.CONCAT("THEME5=",$B13),SCENARIOS!$A$2,SCENARIOS!$B$2,1,YIELDS!T$1)</f>
        <v>25.45</v>
      </c>
      <c r="U13" cm="1">
        <f t="array" ref="U13">_xll.VALEURCOURBE($A$27,_xlfn.CONCAT("THEME5=",$B13),SCENARIOS!$A$2,SCENARIOS!$B$2,1,YIELDS!U$1)</f>
        <v>26.4</v>
      </c>
      <c r="V13" cm="1">
        <f t="array" ref="V13">_xll.VALEURCOURBE($A$27,_xlfn.CONCAT("THEME5=",$B13),SCENARIOS!$A$2,SCENARIOS!$B$2,1,YIELDS!V$1)</f>
        <v>27.15</v>
      </c>
    </row>
    <row r="14" spans="1:22" x14ac:dyDescent="0.25">
      <c r="A14" t="str">
        <v>YV_G_GFI</v>
      </c>
      <c r="B14" t="str">
        <v>FC3341</v>
      </c>
      <c r="C14" cm="1">
        <f t="array" ref="C14">_xll.VALEURCOURBE($A$27,_xlfn.CONCAT("THEME5=",$B14),SCENARIOS!$A$2,SCENARIOS!$B$2,1,YIELDS!C$1)</f>
        <v>0</v>
      </c>
      <c r="D14" cm="1">
        <f t="array" ref="D14">_xll.VALEURCOURBE($A$27,_xlfn.CONCAT("THEME5=",$B14),SCENARIOS!$A$2,SCENARIOS!$B$2,1,YIELDS!D$1)</f>
        <v>0</v>
      </c>
      <c r="E14" cm="1">
        <f t="array" ref="E14">_xll.VALEURCOURBE($A$27,_xlfn.CONCAT("THEME5=",$B14),SCENARIOS!$A$2,SCENARIOS!$B$2,1,YIELDS!E$1)</f>
        <v>0</v>
      </c>
      <c r="F14" cm="1">
        <f t="array" ref="F14">_xll.VALEURCOURBE($A$27,_xlfn.CONCAT("THEME5=",$B14),SCENARIOS!$A$2,SCENARIOS!$B$2,1,YIELDS!F$1)</f>
        <v>0</v>
      </c>
      <c r="G14" cm="1">
        <f t="array" ref="G14">_xll.VALEURCOURBE($A$27,_xlfn.CONCAT("THEME5=",$B14),SCENARIOS!$A$2,SCENARIOS!$B$2,1,YIELDS!G$1)</f>
        <v>0</v>
      </c>
      <c r="H14" cm="1">
        <f t="array" ref="H14">_xll.VALEURCOURBE($A$27,_xlfn.CONCAT("THEME5=",$B14),SCENARIOS!$A$2,SCENARIOS!$B$2,1,YIELDS!H$1)</f>
        <v>0</v>
      </c>
      <c r="I14" cm="1">
        <f t="array" ref="I14">_xll.VALEURCOURBE($A$27,_xlfn.CONCAT("THEME5=",$B14),SCENARIOS!$A$2,SCENARIOS!$B$2,1,YIELDS!I$1)</f>
        <v>0</v>
      </c>
      <c r="J14" cm="1">
        <f t="array" ref="J14">_xll.VALEURCOURBE($A$27,_xlfn.CONCAT("THEME5=",$B14),SCENARIOS!$A$2,SCENARIOS!$B$2,1,YIELDS!J$1)</f>
        <v>0.4</v>
      </c>
      <c r="K14" cm="1">
        <f t="array" ref="K14">_xll.VALEURCOURBE($A$27,_xlfn.CONCAT("THEME5=",$B14),SCENARIOS!$A$2,SCENARIOS!$B$2,1,YIELDS!K$1)</f>
        <v>4.5999999999999996</v>
      </c>
      <c r="L14" cm="1">
        <f t="array" ref="L14">_xll.VALEURCOURBE($A$27,_xlfn.CONCAT("THEME5=",$B14),SCENARIOS!$A$2,SCENARIOS!$B$2,1,YIELDS!L$1)</f>
        <v>8.66</v>
      </c>
      <c r="M14" cm="1">
        <f t="array" ref="M14">_xll.VALEURCOURBE($A$27,_xlfn.CONCAT("THEME5=",$B14),SCENARIOS!$A$2,SCENARIOS!$B$2,1,YIELDS!M$1)</f>
        <v>12.52</v>
      </c>
      <c r="N14" cm="1">
        <f t="array" ref="N14">_xll.VALEURCOURBE($A$27,_xlfn.CONCAT("THEME5=",$B14),SCENARIOS!$A$2,SCENARIOS!$B$2,1,YIELDS!N$1)</f>
        <v>16.14</v>
      </c>
      <c r="O14" cm="1">
        <f t="array" ref="O14">_xll.VALEURCOURBE($A$27,_xlfn.CONCAT("THEME5=",$B14),SCENARIOS!$A$2,SCENARIOS!$B$2,1,YIELDS!O$1)</f>
        <v>19.5</v>
      </c>
      <c r="P14" cm="1">
        <f t="array" ref="P14">_xll.VALEURCOURBE($A$27,_xlfn.CONCAT("THEME5=",$B14),SCENARIOS!$A$2,SCENARIOS!$B$2,1,YIELDS!P$1)</f>
        <v>22.57</v>
      </c>
      <c r="Q14" cm="1">
        <f t="array" ref="Q14">_xll.VALEURCOURBE($A$27,_xlfn.CONCAT("THEME5=",$B14),SCENARIOS!$A$2,SCENARIOS!$B$2,1,YIELDS!Q$1)</f>
        <v>25.34</v>
      </c>
      <c r="R14" cm="1">
        <f t="array" ref="R14">_xll.VALEURCOURBE($A$27,_xlfn.CONCAT("THEME5=",$B14),SCENARIOS!$A$2,SCENARIOS!$B$2,1,YIELDS!R$1)</f>
        <v>27.81</v>
      </c>
      <c r="S14" cm="1">
        <f t="array" ref="S14">_xll.VALEURCOURBE($A$27,_xlfn.CONCAT("THEME5=",$B14),SCENARIOS!$A$2,SCENARIOS!$B$2,1,YIELDS!S$1)</f>
        <v>29.96</v>
      </c>
      <c r="T14" cm="1">
        <f t="array" ref="T14">_xll.VALEURCOURBE($A$27,_xlfn.CONCAT("THEME5=",$B14),SCENARIOS!$A$2,SCENARIOS!$B$2,1,YIELDS!T$1)</f>
        <v>31.83</v>
      </c>
      <c r="U14" cm="1">
        <f t="array" ref="U14">_xll.VALEURCOURBE($A$27,_xlfn.CONCAT("THEME5=",$B14),SCENARIOS!$A$2,SCENARIOS!$B$2,1,YIELDS!U$1)</f>
        <v>33.4</v>
      </c>
      <c r="V14" cm="1">
        <f t="array" ref="V14">_xll.VALEURCOURBE($A$27,_xlfn.CONCAT("THEME5=",$B14),SCENARIOS!$A$2,SCENARIOS!$B$2,1,YIELDS!V$1)</f>
        <v>34.71</v>
      </c>
    </row>
    <row r="15" spans="1:22" x14ac:dyDescent="0.25">
      <c r="A15" t="str">
        <v>YV_G_GFN</v>
      </c>
      <c r="B15" t="str">
        <v>FC3342</v>
      </c>
      <c r="C15" cm="1">
        <f t="array" ref="C15">_xll.VALEURCOURBE($A$27,_xlfn.CONCAT("THEME5=",$B15),SCENARIOS!$A$2,SCENARIOS!$B$2,1,YIELDS!C$1)</f>
        <v>0</v>
      </c>
      <c r="D15" cm="1">
        <f t="array" ref="D15">_xll.VALEURCOURBE($A$27,_xlfn.CONCAT("THEME5=",$B15),SCENARIOS!$A$2,SCENARIOS!$B$2,1,YIELDS!D$1)</f>
        <v>0</v>
      </c>
      <c r="E15" cm="1">
        <f t="array" ref="E15">_xll.VALEURCOURBE($A$27,_xlfn.CONCAT("THEME5=",$B15),SCENARIOS!$A$2,SCENARIOS!$B$2,1,YIELDS!E$1)</f>
        <v>0</v>
      </c>
      <c r="F15" cm="1">
        <f t="array" ref="F15">_xll.VALEURCOURBE($A$27,_xlfn.CONCAT("THEME5=",$B15),SCENARIOS!$A$2,SCENARIOS!$B$2,1,YIELDS!F$1)</f>
        <v>0</v>
      </c>
      <c r="G15" cm="1">
        <f t="array" ref="G15">_xll.VALEURCOURBE($A$27,_xlfn.CONCAT("THEME5=",$B15),SCENARIOS!$A$2,SCENARIOS!$B$2,1,YIELDS!G$1)</f>
        <v>0</v>
      </c>
      <c r="H15" cm="1">
        <f t="array" ref="H15">_xll.VALEURCOURBE($A$27,_xlfn.CONCAT("THEME5=",$B15),SCENARIOS!$A$2,SCENARIOS!$B$2,1,YIELDS!H$1)</f>
        <v>0</v>
      </c>
      <c r="I15" cm="1">
        <f t="array" ref="I15">_xll.VALEURCOURBE($A$27,_xlfn.CONCAT("THEME5=",$B15),SCENARIOS!$A$2,SCENARIOS!$B$2,1,YIELDS!I$1)</f>
        <v>0</v>
      </c>
      <c r="J15" cm="1">
        <f t="array" ref="J15">_xll.VALEURCOURBE($A$27,_xlfn.CONCAT("THEME5=",$B15),SCENARIOS!$A$2,SCENARIOS!$B$2,1,YIELDS!J$1)</f>
        <v>0</v>
      </c>
      <c r="K15" cm="1">
        <f t="array" ref="K15">_xll.VALEURCOURBE($A$27,_xlfn.CONCAT("THEME5=",$B15),SCENARIOS!$A$2,SCENARIOS!$B$2,1,YIELDS!K$1)</f>
        <v>2.67</v>
      </c>
      <c r="L15" cm="1">
        <f t="array" ref="L15">_xll.VALEURCOURBE($A$27,_xlfn.CONCAT("THEME5=",$B15),SCENARIOS!$A$2,SCENARIOS!$B$2,1,YIELDS!L$1)</f>
        <v>8.9499999999999993</v>
      </c>
      <c r="M15" cm="1">
        <f t="array" ref="M15">_xll.VALEURCOURBE($A$27,_xlfn.CONCAT("THEME5=",$B15),SCENARIOS!$A$2,SCENARIOS!$B$2,1,YIELDS!M$1)</f>
        <v>14.76</v>
      </c>
      <c r="N15" cm="1">
        <f t="array" ref="N15">_xll.VALEURCOURBE($A$27,_xlfn.CONCAT("THEME5=",$B15),SCENARIOS!$A$2,SCENARIOS!$B$2,1,YIELDS!N$1)</f>
        <v>20.079999999999998</v>
      </c>
      <c r="O15" cm="1">
        <f t="array" ref="O15">_xll.VALEURCOURBE($A$27,_xlfn.CONCAT("THEME5=",$B15),SCENARIOS!$A$2,SCENARIOS!$B$2,1,YIELDS!O$1)</f>
        <v>24.92</v>
      </c>
      <c r="P15" cm="1">
        <f t="array" ref="P15">_xll.VALEURCOURBE($A$27,_xlfn.CONCAT("THEME5=",$B15),SCENARIOS!$A$2,SCENARIOS!$B$2,1,YIELDS!P$1)</f>
        <v>29.25</v>
      </c>
      <c r="Q15" cm="1">
        <f t="array" ref="Q15">_xll.VALEURCOURBE($A$27,_xlfn.CONCAT("THEME5=",$B15),SCENARIOS!$A$2,SCENARIOS!$B$2,1,YIELDS!Q$1)</f>
        <v>33.11</v>
      </c>
      <c r="R15" cm="1">
        <f t="array" ref="R15">_xll.VALEURCOURBE($A$27,_xlfn.CONCAT("THEME5=",$B15),SCENARIOS!$A$2,SCENARIOS!$B$2,1,YIELDS!R$1)</f>
        <v>36.520000000000003</v>
      </c>
      <c r="S15" cm="1">
        <f t="array" ref="S15">_xll.VALEURCOURBE($A$27,_xlfn.CONCAT("THEME5=",$B15),SCENARIOS!$A$2,SCENARIOS!$B$2,1,YIELDS!S$1)</f>
        <v>39.49</v>
      </c>
      <c r="T15" cm="1">
        <f t="array" ref="T15">_xll.VALEURCOURBE($A$27,_xlfn.CONCAT("THEME5=",$B15),SCENARIOS!$A$2,SCENARIOS!$B$2,1,YIELDS!T$1)</f>
        <v>42.06</v>
      </c>
      <c r="U15" cm="1">
        <f t="array" ref="U15">_xll.VALEURCOURBE($A$27,_xlfn.CONCAT("THEME5=",$B15),SCENARIOS!$A$2,SCENARIOS!$B$2,1,YIELDS!U$1)</f>
        <v>44.28</v>
      </c>
      <c r="V15" cm="1">
        <f t="array" ref="V15">_xll.VALEURCOURBE($A$27,_xlfn.CONCAT("THEME5=",$B15),SCENARIOS!$A$2,SCENARIOS!$B$2,1,YIELDS!V$1)</f>
        <v>46.15</v>
      </c>
    </row>
    <row r="16" spans="1:22" x14ac:dyDescent="0.25">
      <c r="A16" t="str">
        <v>YV_G_GFT</v>
      </c>
      <c r="B16" t="str">
        <v>FC3343</v>
      </c>
      <c r="C16" cm="1">
        <f t="array" ref="C16">_xll.VALEURCOURBE($A$27,_xlfn.CONCAT("THEME5=",$B16),SCENARIOS!$A$2,SCENARIOS!$B$2,1,YIELDS!C$1)</f>
        <v>0</v>
      </c>
      <c r="D16" cm="1">
        <f t="array" ref="D16">_xll.VALEURCOURBE($A$27,_xlfn.CONCAT("THEME5=",$B16),SCENARIOS!$A$2,SCENARIOS!$B$2,1,YIELDS!D$1)</f>
        <v>0</v>
      </c>
      <c r="E16" cm="1">
        <f t="array" ref="E16">_xll.VALEURCOURBE($A$27,_xlfn.CONCAT("THEME5=",$B16),SCENARIOS!$A$2,SCENARIOS!$B$2,1,YIELDS!E$1)</f>
        <v>0</v>
      </c>
      <c r="F16" cm="1">
        <f t="array" ref="F16">_xll.VALEURCOURBE($A$27,_xlfn.CONCAT("THEME5=",$B16),SCENARIOS!$A$2,SCENARIOS!$B$2,1,YIELDS!F$1)</f>
        <v>0</v>
      </c>
      <c r="G16" cm="1">
        <f t="array" ref="G16">_xll.VALEURCOURBE($A$27,_xlfn.CONCAT("THEME5=",$B16),SCENARIOS!$A$2,SCENARIOS!$B$2,1,YIELDS!G$1)</f>
        <v>0</v>
      </c>
      <c r="H16" cm="1">
        <f t="array" ref="H16">_xll.VALEURCOURBE($A$27,_xlfn.CONCAT("THEME5=",$B16),SCENARIOS!$A$2,SCENARIOS!$B$2,1,YIELDS!H$1)</f>
        <v>0</v>
      </c>
      <c r="I16" cm="1">
        <f t="array" ref="I16">_xll.VALEURCOURBE($A$27,_xlfn.CONCAT("THEME5=",$B16),SCENARIOS!$A$2,SCENARIOS!$B$2,1,YIELDS!I$1)</f>
        <v>0</v>
      </c>
      <c r="J16" cm="1">
        <f t="array" ref="J16">_xll.VALEURCOURBE($A$27,_xlfn.CONCAT("THEME5=",$B16),SCENARIOS!$A$2,SCENARIOS!$B$2,1,YIELDS!J$1)</f>
        <v>0</v>
      </c>
      <c r="K16" cm="1">
        <f t="array" ref="K16">_xll.VALEURCOURBE($A$27,_xlfn.CONCAT("THEME5=",$B16),SCENARIOS!$A$2,SCENARIOS!$B$2,1,YIELDS!K$1)</f>
        <v>0</v>
      </c>
      <c r="L16" cm="1">
        <f t="array" ref="L16">_xll.VALEURCOURBE($A$27,_xlfn.CONCAT("THEME5=",$B16),SCENARIOS!$A$2,SCENARIOS!$B$2,1,YIELDS!L$1)</f>
        <v>0</v>
      </c>
      <c r="M16" cm="1">
        <f t="array" ref="M16">_xll.VALEURCOURBE($A$27,_xlfn.CONCAT("THEME5=",$B16),SCENARIOS!$A$2,SCENARIOS!$B$2,1,YIELDS!M$1)</f>
        <v>1.84</v>
      </c>
      <c r="N16" cm="1">
        <f t="array" ref="N16">_xll.VALEURCOURBE($A$27,_xlfn.CONCAT("THEME5=",$B16),SCENARIOS!$A$2,SCENARIOS!$B$2,1,YIELDS!N$1)</f>
        <v>10.06</v>
      </c>
      <c r="O16" cm="1">
        <f t="array" ref="O16">_xll.VALEURCOURBE($A$27,_xlfn.CONCAT("THEME5=",$B16),SCENARIOS!$A$2,SCENARIOS!$B$2,1,YIELDS!O$1)</f>
        <v>17.82</v>
      </c>
      <c r="P16" cm="1">
        <f t="array" ref="P16">_xll.VALEURCOURBE($A$27,_xlfn.CONCAT("THEME5=",$B16),SCENARIOS!$A$2,SCENARIOS!$B$2,1,YIELDS!P$1)</f>
        <v>25.03</v>
      </c>
      <c r="Q16" cm="1">
        <f t="array" ref="Q16">_xll.VALEURCOURBE($A$27,_xlfn.CONCAT("THEME5=",$B16),SCENARIOS!$A$2,SCENARIOS!$B$2,1,YIELDS!Q$1)</f>
        <v>31.65</v>
      </c>
      <c r="R16" cm="1">
        <f t="array" ref="R16">_xll.VALEURCOURBE($A$27,_xlfn.CONCAT("THEME5=",$B16),SCENARIOS!$A$2,SCENARIOS!$B$2,1,YIELDS!R$1)</f>
        <v>37.67</v>
      </c>
      <c r="S16" cm="1">
        <f t="array" ref="S16">_xll.VALEURCOURBE($A$27,_xlfn.CONCAT("THEME5=",$B16),SCENARIOS!$A$2,SCENARIOS!$B$2,1,YIELDS!S$1)</f>
        <v>43.12</v>
      </c>
      <c r="T16" cm="1">
        <f t="array" ref="T16">_xll.VALEURCOURBE($A$27,_xlfn.CONCAT("THEME5=",$B16),SCENARIOS!$A$2,SCENARIOS!$B$2,1,YIELDS!T$1)</f>
        <v>47.99</v>
      </c>
      <c r="U16" cm="1">
        <f t="array" ref="U16">_xll.VALEURCOURBE($A$27,_xlfn.CONCAT("THEME5=",$B16),SCENARIOS!$A$2,SCENARIOS!$B$2,1,YIELDS!U$1)</f>
        <v>52.33</v>
      </c>
      <c r="V16" cm="1">
        <f t="array" ref="V16">_xll.VALEURCOURBE($A$27,_xlfn.CONCAT("THEME5=",$B16),SCENARIOS!$A$2,SCENARIOS!$B$2,1,YIELDS!V$1)</f>
        <v>56.16</v>
      </c>
    </row>
    <row r="17" spans="1:22" x14ac:dyDescent="0.25">
      <c r="A17" t="str">
        <v>YV_G_GLONGE</v>
      </c>
      <c r="B17" t="str">
        <v>FC3344</v>
      </c>
      <c r="C17" cm="1">
        <f t="array" ref="C17">_xll.VALEURCOURBE($A$27,_xlfn.CONCAT("THEME5=",$B17),SCENARIOS!$A$2,SCENARIOS!$B$2,1,YIELDS!C$1)</f>
        <v>0</v>
      </c>
      <c r="D17" cm="1">
        <f t="array" ref="D17">_xll.VALEURCOURBE($A$27,_xlfn.CONCAT("THEME5=",$B17),SCENARIOS!$A$2,SCENARIOS!$B$2,1,YIELDS!D$1)</f>
        <v>0</v>
      </c>
      <c r="E17" cm="1">
        <f t="array" ref="E17">_xll.VALEURCOURBE($A$27,_xlfn.CONCAT("THEME5=",$B17),SCENARIOS!$A$2,SCENARIOS!$B$2,1,YIELDS!E$1)</f>
        <v>0</v>
      </c>
      <c r="F17" cm="1">
        <f t="array" ref="F17">_xll.VALEURCOURBE($A$27,_xlfn.CONCAT("THEME5=",$B17),SCENARIOS!$A$2,SCENARIOS!$B$2,1,YIELDS!F$1)</f>
        <v>0</v>
      </c>
      <c r="G17" cm="1">
        <f t="array" ref="G17">_xll.VALEURCOURBE($A$27,_xlfn.CONCAT("THEME5=",$B17),SCENARIOS!$A$2,SCENARIOS!$B$2,1,YIELDS!G$1)</f>
        <v>4.7300000000000004</v>
      </c>
      <c r="H17" cm="1">
        <f t="array" ref="H17">_xll.VALEURCOURBE($A$27,_xlfn.CONCAT("THEME5=",$B17),SCENARIOS!$A$2,SCENARIOS!$B$2,1,YIELDS!H$1)</f>
        <v>9.4499999999999993</v>
      </c>
      <c r="I17" cm="1">
        <f t="array" ref="I17">_xll.VALEURCOURBE($A$27,_xlfn.CONCAT("THEME5=",$B17),SCENARIOS!$A$2,SCENARIOS!$B$2,1,YIELDS!I$1)</f>
        <v>14.18</v>
      </c>
      <c r="J17" cm="1">
        <f t="array" ref="J17">_xll.VALEURCOURBE($A$27,_xlfn.CONCAT("THEME5=",$B17),SCENARIOS!$A$2,SCENARIOS!$B$2,1,YIELDS!J$1)</f>
        <v>18.91</v>
      </c>
      <c r="K17" cm="1">
        <f t="array" ref="K17">_xll.VALEURCOURBE($A$27,_xlfn.CONCAT("THEME5=",$B17),SCENARIOS!$A$2,SCENARIOS!$B$2,1,YIELDS!K$1)</f>
        <v>23.63</v>
      </c>
      <c r="L17" cm="1">
        <f t="array" ref="L17">_xll.VALEURCOURBE($A$27,_xlfn.CONCAT("THEME5=",$B17),SCENARIOS!$A$2,SCENARIOS!$B$2,1,YIELDS!L$1)</f>
        <v>28.38</v>
      </c>
      <c r="M17" cm="1">
        <f t="array" ref="M17">_xll.VALEURCOURBE($A$27,_xlfn.CONCAT("THEME5=",$B17),SCENARIOS!$A$2,SCENARIOS!$B$2,1,YIELDS!M$1)</f>
        <v>36.75</v>
      </c>
      <c r="N17" cm="1">
        <f t="array" ref="N17">_xll.VALEURCOURBE($A$27,_xlfn.CONCAT("THEME5=",$B17),SCENARIOS!$A$2,SCENARIOS!$B$2,1,YIELDS!N$1)</f>
        <v>44.43</v>
      </c>
      <c r="O17" cm="1">
        <f t="array" ref="O17">_xll.VALEURCOURBE($A$27,_xlfn.CONCAT("THEME5=",$B17),SCENARIOS!$A$2,SCENARIOS!$B$2,1,YIELDS!O$1)</f>
        <v>51.33</v>
      </c>
      <c r="P17" cm="1">
        <f t="array" ref="P17">_xll.VALEURCOURBE($A$27,_xlfn.CONCAT("THEME5=",$B17),SCENARIOS!$A$2,SCENARIOS!$B$2,1,YIELDS!P$1)</f>
        <v>57.45</v>
      </c>
      <c r="Q17" cm="1">
        <f t="array" ref="Q17">_xll.VALEURCOURBE($A$27,_xlfn.CONCAT("THEME5=",$B17),SCENARIOS!$A$2,SCENARIOS!$B$2,1,YIELDS!Q$1)</f>
        <v>62.77</v>
      </c>
      <c r="R17" cm="1">
        <f t="array" ref="R17">_xll.VALEURCOURBE($A$27,_xlfn.CONCAT("THEME5=",$B17),SCENARIOS!$A$2,SCENARIOS!$B$2,1,YIELDS!R$1)</f>
        <v>67.31</v>
      </c>
      <c r="S17" cm="1">
        <f t="array" ref="S17">_xll.VALEURCOURBE($A$27,_xlfn.CONCAT("THEME5=",$B17),SCENARIOS!$A$2,SCENARIOS!$B$2,1,YIELDS!S$1)</f>
        <v>71.069999999999993</v>
      </c>
      <c r="T17" cm="1">
        <f t="array" ref="T17">_xll.VALEURCOURBE($A$27,_xlfn.CONCAT("THEME5=",$B17),SCENARIOS!$A$2,SCENARIOS!$B$2,1,YIELDS!T$1)</f>
        <v>74.12</v>
      </c>
      <c r="U17" cm="1">
        <f t="array" ref="U17">_xll.VALEURCOURBE($A$27,_xlfn.CONCAT("THEME5=",$B17),SCENARIOS!$A$2,SCENARIOS!$B$2,1,YIELDS!U$1)</f>
        <v>76.459999999999994</v>
      </c>
      <c r="V17" cm="1">
        <f t="array" ref="V17">_xll.VALEURCOURBE($A$27,_xlfn.CONCAT("THEME5=",$B17),SCENARIOS!$A$2,SCENARIOS!$B$2,1,YIELDS!V$1)</f>
        <v>78.16</v>
      </c>
    </row>
    <row r="18" spans="1:22" x14ac:dyDescent="0.25">
      <c r="A18" t="str">
        <v>YV_G_GML</v>
      </c>
      <c r="B18" t="str">
        <v>FC3345</v>
      </c>
      <c r="C18" cm="1">
        <f t="array" ref="C18">_xll.VALEURCOURBE($A$27,_xlfn.CONCAT("THEME5=",$B18),SCENARIOS!$A$2,SCENARIOS!$B$2,1,YIELDS!C$1)</f>
        <v>0</v>
      </c>
      <c r="D18" cm="1">
        <f t="array" ref="D18">_xll.VALEURCOURBE($A$27,_xlfn.CONCAT("THEME5=",$B18),SCENARIOS!$A$2,SCENARIOS!$B$2,1,YIELDS!D$1)</f>
        <v>0</v>
      </c>
      <c r="E18" cm="1">
        <f t="array" ref="E18">_xll.VALEURCOURBE($A$27,_xlfn.CONCAT("THEME5=",$B18),SCENARIOS!$A$2,SCENARIOS!$B$2,1,YIELDS!E$1)</f>
        <v>0</v>
      </c>
      <c r="F18" cm="1">
        <f t="array" ref="F18">_xll.VALEURCOURBE($A$27,_xlfn.CONCAT("THEME5=",$B18),SCENARIOS!$A$2,SCENARIOS!$B$2,1,YIELDS!F$1)</f>
        <v>0</v>
      </c>
      <c r="G18" cm="1">
        <f t="array" ref="G18">_xll.VALEURCOURBE($A$27,_xlfn.CONCAT("THEME5=",$B18),SCENARIOS!$A$2,SCENARIOS!$B$2,1,YIELDS!G$1)</f>
        <v>0</v>
      </c>
      <c r="H18" cm="1">
        <f t="array" ref="H18">_xll.VALEURCOURBE($A$27,_xlfn.CONCAT("THEME5=",$B18),SCENARIOS!$A$2,SCENARIOS!$B$2,1,YIELDS!H$1)</f>
        <v>0</v>
      </c>
      <c r="I18" cm="1">
        <f t="array" ref="I18">_xll.VALEURCOURBE($A$27,_xlfn.CONCAT("THEME5=",$B18),SCENARIOS!$A$2,SCENARIOS!$B$2,1,YIELDS!I$1)</f>
        <v>0</v>
      </c>
      <c r="J18" cm="1">
        <f t="array" ref="J18">_xll.VALEURCOURBE($A$27,_xlfn.CONCAT("THEME5=",$B18),SCENARIOS!$A$2,SCENARIOS!$B$2,1,YIELDS!J$1)</f>
        <v>0</v>
      </c>
      <c r="K18" cm="1">
        <f t="array" ref="K18">_xll.VALEURCOURBE($A$27,_xlfn.CONCAT("THEME5=",$B18),SCENARIOS!$A$2,SCENARIOS!$B$2,1,YIELDS!K$1)</f>
        <v>0</v>
      </c>
      <c r="L18" cm="1">
        <f t="array" ref="L18">_xll.VALEURCOURBE($A$27,_xlfn.CONCAT("THEME5=",$B18),SCENARIOS!$A$2,SCENARIOS!$B$2,1,YIELDS!L$1)</f>
        <v>0</v>
      </c>
      <c r="M18" cm="1">
        <f t="array" ref="M18">_xll.VALEURCOURBE($A$27,_xlfn.CONCAT("THEME5=",$B18),SCENARIOS!$A$2,SCENARIOS!$B$2,1,YIELDS!M$1)</f>
        <v>0</v>
      </c>
      <c r="N18" cm="1">
        <f t="array" ref="N18">_xll.VALEURCOURBE($A$27,_xlfn.CONCAT("THEME5=",$B18),SCENARIOS!$A$2,SCENARIOS!$B$2,1,YIELDS!N$1)</f>
        <v>1.62</v>
      </c>
      <c r="O18" cm="1">
        <f t="array" ref="O18">_xll.VALEURCOURBE($A$27,_xlfn.CONCAT("THEME5=",$B18),SCENARIOS!$A$2,SCENARIOS!$B$2,1,YIELDS!O$1)</f>
        <v>5.94</v>
      </c>
      <c r="P18" cm="1">
        <f t="array" ref="P18">_xll.VALEURCOURBE($A$27,_xlfn.CONCAT("THEME5=",$B18),SCENARIOS!$A$2,SCENARIOS!$B$2,1,YIELDS!P$1)</f>
        <v>10.24</v>
      </c>
      <c r="Q18" cm="1">
        <f t="array" ref="Q18">_xll.VALEURCOURBE($A$27,_xlfn.CONCAT("THEME5=",$B18),SCENARIOS!$A$2,SCENARIOS!$B$2,1,YIELDS!Q$1)</f>
        <v>14.49</v>
      </c>
      <c r="R18" cm="1">
        <f t="array" ref="R18">_xll.VALEURCOURBE($A$27,_xlfn.CONCAT("THEME5=",$B18),SCENARIOS!$A$2,SCENARIOS!$B$2,1,YIELDS!R$1)</f>
        <v>18.62</v>
      </c>
      <c r="S18" cm="1">
        <f t="array" ref="S18">_xll.VALEURCOURBE($A$27,_xlfn.CONCAT("THEME5=",$B18),SCENARIOS!$A$2,SCENARIOS!$B$2,1,YIELDS!S$1)</f>
        <v>22.61</v>
      </c>
      <c r="T18" cm="1">
        <f t="array" ref="T18">_xll.VALEURCOURBE($A$27,_xlfn.CONCAT("THEME5=",$B18),SCENARIOS!$A$2,SCENARIOS!$B$2,1,YIELDS!T$1)</f>
        <v>26.41</v>
      </c>
      <c r="U18" cm="1">
        <f t="array" ref="U18">_xll.VALEURCOURBE($A$27,_xlfn.CONCAT("THEME5=",$B18),SCENARIOS!$A$2,SCENARIOS!$B$2,1,YIELDS!U$1)</f>
        <v>30.01</v>
      </c>
      <c r="V18" cm="1">
        <f t="array" ref="V18">_xll.VALEURCOURBE($A$27,_xlfn.CONCAT("THEME5=",$B18),SCENARIOS!$A$2,SCENARIOS!$B$2,1,YIELDS!V$1)</f>
        <v>33.369999999999997</v>
      </c>
    </row>
    <row r="19" spans="1:22" x14ac:dyDescent="0.25">
      <c r="A19" t="str">
        <v>YV_G_GPEU</v>
      </c>
      <c r="B19" t="str">
        <v>FC3346</v>
      </c>
      <c r="C19" cm="1">
        <f t="array" ref="C19">_xll.VALEURCOURBE($A$27,_xlfn.CONCAT("THEME5=",$B19),SCENARIOS!$A$2,SCENARIOS!$B$2,1,YIELDS!C$1)</f>
        <v>0</v>
      </c>
      <c r="D19" cm="1">
        <f t="array" ref="D19">_xll.VALEURCOURBE($A$27,_xlfn.CONCAT("THEME5=",$B19),SCENARIOS!$A$2,SCENARIOS!$B$2,1,YIELDS!D$1)</f>
        <v>0</v>
      </c>
      <c r="E19" cm="1">
        <f t="array" ref="E19">_xll.VALEURCOURBE($A$27,_xlfn.CONCAT("THEME5=",$B19),SCENARIOS!$A$2,SCENARIOS!$B$2,1,YIELDS!E$1)</f>
        <v>0</v>
      </c>
      <c r="F19" cm="1">
        <f t="array" ref="F19">_xll.VALEURCOURBE($A$27,_xlfn.CONCAT("THEME5=",$B19),SCENARIOS!$A$2,SCENARIOS!$B$2,1,YIELDS!F$1)</f>
        <v>0</v>
      </c>
      <c r="G19" cm="1">
        <f t="array" ref="G19">_xll.VALEURCOURBE($A$27,_xlfn.CONCAT("THEME5=",$B19),SCENARIOS!$A$2,SCENARIOS!$B$2,1,YIELDS!G$1)</f>
        <v>0</v>
      </c>
      <c r="H19" cm="1">
        <f t="array" ref="H19">_xll.VALEURCOURBE($A$27,_xlfn.CONCAT("THEME5=",$B19),SCENARIOS!$A$2,SCENARIOS!$B$2,1,YIELDS!H$1)</f>
        <v>0</v>
      </c>
      <c r="I19" cm="1">
        <f t="array" ref="I19">_xll.VALEURCOURBE($A$27,_xlfn.CONCAT("THEME5=",$B19),SCENARIOS!$A$2,SCENARIOS!$B$2,1,YIELDS!I$1)</f>
        <v>1.96</v>
      </c>
      <c r="J19" cm="1">
        <f t="array" ref="J19">_xll.VALEURCOURBE($A$27,_xlfn.CONCAT("THEME5=",$B19),SCENARIOS!$A$2,SCENARIOS!$B$2,1,YIELDS!J$1)</f>
        <v>4.7300000000000004</v>
      </c>
      <c r="K19" cm="1">
        <f t="array" ref="K19">_xll.VALEURCOURBE($A$27,_xlfn.CONCAT("THEME5=",$B19),SCENARIOS!$A$2,SCENARIOS!$B$2,1,YIELDS!K$1)</f>
        <v>7.5</v>
      </c>
      <c r="L19" cm="1">
        <f t="array" ref="L19">_xll.VALEURCOURBE($A$27,_xlfn.CONCAT("THEME5=",$B19),SCENARIOS!$A$2,SCENARIOS!$B$2,1,YIELDS!L$1)</f>
        <v>10.210000000000001</v>
      </c>
      <c r="M19" cm="1">
        <f t="array" ref="M19">_xll.VALEURCOURBE($A$27,_xlfn.CONCAT("THEME5=",$B19),SCENARIOS!$A$2,SCENARIOS!$B$2,1,YIELDS!M$1)</f>
        <v>12.8</v>
      </c>
      <c r="N19" cm="1">
        <f t="array" ref="N19">_xll.VALEURCOURBE($A$27,_xlfn.CONCAT("THEME5=",$B19),SCENARIOS!$A$2,SCENARIOS!$B$2,1,YIELDS!N$1)</f>
        <v>15.23</v>
      </c>
      <c r="O19" cm="1">
        <f t="array" ref="O19">_xll.VALEURCOURBE($A$27,_xlfn.CONCAT("THEME5=",$B19),SCENARIOS!$A$2,SCENARIOS!$B$2,1,YIELDS!O$1)</f>
        <v>17.47</v>
      </c>
      <c r="P19" cm="1">
        <f t="array" ref="P19">_xll.VALEURCOURBE($A$27,_xlfn.CONCAT("THEME5=",$B19),SCENARIOS!$A$2,SCENARIOS!$B$2,1,YIELDS!P$1)</f>
        <v>19.510000000000002</v>
      </c>
      <c r="Q19" cm="1">
        <f t="array" ref="Q19">_xll.VALEURCOURBE($A$27,_xlfn.CONCAT("THEME5=",$B19),SCENARIOS!$A$2,SCENARIOS!$B$2,1,YIELDS!Q$1)</f>
        <v>21.32</v>
      </c>
      <c r="R19" cm="1">
        <f t="array" ref="R19">_xll.VALEURCOURBE($A$27,_xlfn.CONCAT("THEME5=",$B19),SCENARIOS!$A$2,SCENARIOS!$B$2,1,YIELDS!R$1)</f>
        <v>22.91</v>
      </c>
      <c r="S19" cm="1">
        <f t="array" ref="S19">_xll.VALEURCOURBE($A$27,_xlfn.CONCAT("THEME5=",$B19),SCENARIOS!$A$2,SCENARIOS!$B$2,1,YIELDS!S$1)</f>
        <v>24.29</v>
      </c>
      <c r="T19" cm="1">
        <f t="array" ref="T19">_xll.VALEURCOURBE($A$27,_xlfn.CONCAT("THEME5=",$B19),SCENARIOS!$A$2,SCENARIOS!$B$2,1,YIELDS!T$1)</f>
        <v>25.45</v>
      </c>
      <c r="U19" cm="1">
        <f t="array" ref="U19">_xll.VALEURCOURBE($A$27,_xlfn.CONCAT("THEME5=",$B19),SCENARIOS!$A$2,SCENARIOS!$B$2,1,YIELDS!U$1)</f>
        <v>26.4</v>
      </c>
      <c r="V19" cm="1">
        <f t="array" ref="V19">_xll.VALEURCOURBE($A$27,_xlfn.CONCAT("THEME5=",$B19),SCENARIOS!$A$2,SCENARIOS!$B$2,1,YIELDS!V$1)</f>
        <v>27.15</v>
      </c>
    </row>
    <row r="20" spans="1:22" x14ac:dyDescent="0.25">
      <c r="A20" t="str">
        <v>YV_G_GPG</v>
      </c>
      <c r="B20" t="str">
        <v>FC3347</v>
      </c>
      <c r="C20" cm="1">
        <f t="array" ref="C20">_xll.VALEURCOURBE($A$27,_xlfn.CONCAT("THEME5=",$B20),SCENARIOS!$A$2,SCENARIOS!$B$2,1,YIELDS!C$1)</f>
        <v>0</v>
      </c>
      <c r="D20" cm="1">
        <f t="array" ref="D20">_xll.VALEURCOURBE($A$27,_xlfn.CONCAT("THEME5=",$B20),SCENARIOS!$A$2,SCENARIOS!$B$2,1,YIELDS!D$1)</f>
        <v>0</v>
      </c>
      <c r="E20" cm="1">
        <f t="array" ref="E20">_xll.VALEURCOURBE($A$27,_xlfn.CONCAT("THEME5=",$B20),SCENARIOS!$A$2,SCENARIOS!$B$2,1,YIELDS!E$1)</f>
        <v>0</v>
      </c>
      <c r="F20" cm="1">
        <f t="array" ref="F20">_xll.VALEURCOURBE($A$27,_xlfn.CONCAT("THEME5=",$B20),SCENARIOS!$A$2,SCENARIOS!$B$2,1,YIELDS!F$1)</f>
        <v>0</v>
      </c>
      <c r="G20" cm="1">
        <f t="array" ref="G20">_xll.VALEURCOURBE($A$27,_xlfn.CONCAT("THEME5=",$B20),SCENARIOS!$A$2,SCENARIOS!$B$2,1,YIELDS!G$1)</f>
        <v>0</v>
      </c>
      <c r="H20" cm="1">
        <f t="array" ref="H20">_xll.VALEURCOURBE($A$27,_xlfn.CONCAT("THEME5=",$B20),SCENARIOS!$A$2,SCENARIOS!$B$2,1,YIELDS!H$1)</f>
        <v>0</v>
      </c>
      <c r="I20" cm="1">
        <f t="array" ref="I20">_xll.VALEURCOURBE($A$27,_xlfn.CONCAT("THEME5=",$B20),SCENARIOS!$A$2,SCENARIOS!$B$2,1,YIELDS!I$1)</f>
        <v>0</v>
      </c>
      <c r="J20" cm="1">
        <f t="array" ref="J20">_xll.VALEURCOURBE($A$27,_xlfn.CONCAT("THEME5=",$B20),SCENARIOS!$A$2,SCENARIOS!$B$2,1,YIELDS!J$1)</f>
        <v>0</v>
      </c>
      <c r="K20" cm="1">
        <f t="array" ref="K20">_xll.VALEURCOURBE($A$27,_xlfn.CONCAT("THEME5=",$B20),SCENARIOS!$A$2,SCENARIOS!$B$2,1,YIELDS!K$1)</f>
        <v>0</v>
      </c>
      <c r="L20" cm="1">
        <f t="array" ref="L20">_xll.VALEURCOURBE($A$27,_xlfn.CONCAT("THEME5=",$B20),SCENARIOS!$A$2,SCENARIOS!$B$2,1,YIELDS!L$1)</f>
        <v>0</v>
      </c>
      <c r="M20" cm="1">
        <f t="array" ref="M20">_xll.VALEURCOURBE($A$27,_xlfn.CONCAT("THEME5=",$B20),SCENARIOS!$A$2,SCENARIOS!$B$2,1,YIELDS!M$1)</f>
        <v>1.84</v>
      </c>
      <c r="N20" cm="1">
        <f t="array" ref="N20">_xll.VALEURCOURBE($A$27,_xlfn.CONCAT("THEME5=",$B20),SCENARIOS!$A$2,SCENARIOS!$B$2,1,YIELDS!N$1)</f>
        <v>10.06</v>
      </c>
      <c r="O20" cm="1">
        <f t="array" ref="O20">_xll.VALEURCOURBE($A$27,_xlfn.CONCAT("THEME5=",$B20),SCENARIOS!$A$2,SCENARIOS!$B$2,1,YIELDS!O$1)</f>
        <v>17.82</v>
      </c>
      <c r="P20" cm="1">
        <f t="array" ref="P20">_xll.VALEURCOURBE($A$27,_xlfn.CONCAT("THEME5=",$B20),SCENARIOS!$A$2,SCENARIOS!$B$2,1,YIELDS!P$1)</f>
        <v>25.03</v>
      </c>
      <c r="Q20" cm="1">
        <f t="array" ref="Q20">_xll.VALEURCOURBE($A$27,_xlfn.CONCAT("THEME5=",$B20),SCENARIOS!$A$2,SCENARIOS!$B$2,1,YIELDS!Q$1)</f>
        <v>31.65</v>
      </c>
      <c r="R20" cm="1">
        <f t="array" ref="R20">_xll.VALEURCOURBE($A$27,_xlfn.CONCAT("THEME5=",$B20),SCENARIOS!$A$2,SCENARIOS!$B$2,1,YIELDS!R$1)</f>
        <v>37.67</v>
      </c>
      <c r="S20" cm="1">
        <f t="array" ref="S20">_xll.VALEURCOURBE($A$27,_xlfn.CONCAT("THEME5=",$B20),SCENARIOS!$A$2,SCENARIOS!$B$2,1,YIELDS!S$1)</f>
        <v>43.12</v>
      </c>
      <c r="T20" cm="1">
        <f t="array" ref="T20">_xll.VALEURCOURBE($A$27,_xlfn.CONCAT("THEME5=",$B20),SCENARIOS!$A$2,SCENARIOS!$B$2,1,YIELDS!T$1)</f>
        <v>47.99</v>
      </c>
      <c r="U20" cm="1">
        <f t="array" ref="U20">_xll.VALEURCOURBE($A$27,_xlfn.CONCAT("THEME5=",$B20),SCENARIOS!$A$2,SCENARIOS!$B$2,1,YIELDS!U$1)</f>
        <v>52.33</v>
      </c>
      <c r="V20" cm="1">
        <f t="array" ref="V20">_xll.VALEURCOURBE($A$27,_xlfn.CONCAT("THEME5=",$B20),SCENARIOS!$A$2,SCENARIOS!$B$2,1,YIELDS!V$1)</f>
        <v>56.16</v>
      </c>
    </row>
    <row r="21" spans="1:22" x14ac:dyDescent="0.25">
      <c r="A21" t="str">
        <v>YV_G_GPINS</v>
      </c>
      <c r="B21" t="str">
        <v>FC3349</v>
      </c>
      <c r="C21" cm="1">
        <f t="array" ref="C21">_xll.VALEURCOURBE($A$27,_xlfn.CONCAT("THEME5=",$B21),SCENARIOS!$A$2,SCENARIOS!$B$2,1,YIELDS!C$1)</f>
        <v>0</v>
      </c>
      <c r="D21" cm="1">
        <f t="array" ref="D21">_xll.VALEURCOURBE($A$27,_xlfn.CONCAT("THEME5=",$B21),SCENARIOS!$A$2,SCENARIOS!$B$2,1,YIELDS!D$1)</f>
        <v>0</v>
      </c>
      <c r="E21" cm="1">
        <f t="array" ref="E21">_xll.VALEURCOURBE($A$27,_xlfn.CONCAT("THEME5=",$B21),SCENARIOS!$A$2,SCENARIOS!$B$2,1,YIELDS!E$1)</f>
        <v>0</v>
      </c>
      <c r="F21" cm="1">
        <f t="array" ref="F21">_xll.VALEURCOURBE($A$27,_xlfn.CONCAT("THEME5=",$B21),SCENARIOS!$A$2,SCENARIOS!$B$2,1,YIELDS!F$1)</f>
        <v>0</v>
      </c>
      <c r="G21" cm="1">
        <f t="array" ref="G21">_xll.VALEURCOURBE($A$27,_xlfn.CONCAT("THEME5=",$B21),SCENARIOS!$A$2,SCENARIOS!$B$2,1,YIELDS!G$1)</f>
        <v>0</v>
      </c>
      <c r="H21" cm="1">
        <f t="array" ref="H21">_xll.VALEURCOURBE($A$27,_xlfn.CONCAT("THEME5=",$B21),SCENARIOS!$A$2,SCENARIOS!$B$2,1,YIELDS!H$1)</f>
        <v>0</v>
      </c>
      <c r="I21" cm="1">
        <f t="array" ref="I21">_xll.VALEURCOURBE($A$27,_xlfn.CONCAT("THEME5=",$B21),SCENARIOS!$A$2,SCENARIOS!$B$2,1,YIELDS!I$1)</f>
        <v>0</v>
      </c>
      <c r="J21" cm="1">
        <f t="array" ref="J21">_xll.VALEURCOURBE($A$27,_xlfn.CONCAT("THEME5=",$B21),SCENARIOS!$A$2,SCENARIOS!$B$2,1,YIELDS!J$1)</f>
        <v>0</v>
      </c>
      <c r="K21" cm="1">
        <f t="array" ref="K21">_xll.VALEURCOURBE($A$27,_xlfn.CONCAT("THEME5=",$B21),SCENARIOS!$A$2,SCENARIOS!$B$2,1,YIELDS!K$1)</f>
        <v>0</v>
      </c>
      <c r="L21" cm="1">
        <f t="array" ref="L21">_xll.VALEURCOURBE($A$27,_xlfn.CONCAT("THEME5=",$B21),SCENARIOS!$A$2,SCENARIOS!$B$2,1,YIELDS!L$1)</f>
        <v>0</v>
      </c>
      <c r="M21" cm="1">
        <f t="array" ref="M21">_xll.VALEURCOURBE($A$27,_xlfn.CONCAT("THEME5=",$B21),SCENARIOS!$A$2,SCENARIOS!$B$2,1,YIELDS!M$1)</f>
        <v>0</v>
      </c>
      <c r="N21" cm="1">
        <f t="array" ref="N21">_xll.VALEURCOURBE($A$27,_xlfn.CONCAT("THEME5=",$B21),SCENARIOS!$A$2,SCENARIOS!$B$2,1,YIELDS!N$1)</f>
        <v>1.62</v>
      </c>
      <c r="O21" cm="1">
        <f t="array" ref="O21">_xll.VALEURCOURBE($A$27,_xlfn.CONCAT("THEME5=",$B21),SCENARIOS!$A$2,SCENARIOS!$B$2,1,YIELDS!O$1)</f>
        <v>5.94</v>
      </c>
      <c r="P21" cm="1">
        <f t="array" ref="P21">_xll.VALEURCOURBE($A$27,_xlfn.CONCAT("THEME5=",$B21),SCENARIOS!$A$2,SCENARIOS!$B$2,1,YIELDS!P$1)</f>
        <v>10.24</v>
      </c>
      <c r="Q21" cm="1">
        <f t="array" ref="Q21">_xll.VALEURCOURBE($A$27,_xlfn.CONCAT("THEME5=",$B21),SCENARIOS!$A$2,SCENARIOS!$B$2,1,YIELDS!Q$1)</f>
        <v>14.49</v>
      </c>
      <c r="R21" cm="1">
        <f t="array" ref="R21">_xll.VALEURCOURBE($A$27,_xlfn.CONCAT("THEME5=",$B21),SCENARIOS!$A$2,SCENARIOS!$B$2,1,YIELDS!R$1)</f>
        <v>18.62</v>
      </c>
      <c r="S21" cm="1">
        <f t="array" ref="S21">_xll.VALEURCOURBE($A$27,_xlfn.CONCAT("THEME5=",$B21),SCENARIOS!$A$2,SCENARIOS!$B$2,1,YIELDS!S$1)</f>
        <v>22.61</v>
      </c>
      <c r="T21" cm="1">
        <f t="array" ref="T21">_xll.VALEURCOURBE($A$27,_xlfn.CONCAT("THEME5=",$B21),SCENARIOS!$A$2,SCENARIOS!$B$2,1,YIELDS!T$1)</f>
        <v>26.41</v>
      </c>
      <c r="U21" cm="1">
        <f t="array" ref="U21">_xll.VALEURCOURBE($A$27,_xlfn.CONCAT("THEME5=",$B21),SCENARIOS!$A$2,SCENARIOS!$B$2,1,YIELDS!U$1)</f>
        <v>30.01</v>
      </c>
      <c r="V21" cm="1">
        <f t="array" ref="V21">_xll.VALEURCOURBE($A$27,_xlfn.CONCAT("THEME5=",$B21),SCENARIOS!$A$2,SCENARIOS!$B$2,1,YIELDS!V$1)</f>
        <v>33.369999999999997</v>
      </c>
    </row>
    <row r="22" spans="1:22" x14ac:dyDescent="0.25">
      <c r="A22" t="str">
        <v>YV_G_GR</v>
      </c>
      <c r="B22" t="str">
        <v>FC3350</v>
      </c>
      <c r="C22" cm="1">
        <f t="array" ref="C22">_xll.VALEURCOURBE($A$27,_xlfn.CONCAT("THEME5=",$B22),SCENARIOS!$A$2,SCENARIOS!$B$2,1,YIELDS!C$1)</f>
        <v>0</v>
      </c>
      <c r="D22" cm="1">
        <f t="array" ref="D22">_xll.VALEURCOURBE($A$27,_xlfn.CONCAT("THEME5=",$B22),SCENARIOS!$A$2,SCENARIOS!$B$2,1,YIELDS!D$1)</f>
        <v>0</v>
      </c>
      <c r="E22" cm="1">
        <f t="array" ref="E22">_xll.VALEURCOURBE($A$27,_xlfn.CONCAT("THEME5=",$B22),SCENARIOS!$A$2,SCENARIOS!$B$2,1,YIELDS!E$1)</f>
        <v>0</v>
      </c>
      <c r="F22" cm="1">
        <f t="array" ref="F22">_xll.VALEURCOURBE($A$27,_xlfn.CONCAT("THEME5=",$B22),SCENARIOS!$A$2,SCENARIOS!$B$2,1,YIELDS!F$1)</f>
        <v>0</v>
      </c>
      <c r="G22" cm="1">
        <f t="array" ref="G22">_xll.VALEURCOURBE($A$27,_xlfn.CONCAT("THEME5=",$B22),SCENARIOS!$A$2,SCENARIOS!$B$2,1,YIELDS!G$1)</f>
        <v>0</v>
      </c>
      <c r="H22" cm="1">
        <f t="array" ref="H22">_xll.VALEURCOURBE($A$27,_xlfn.CONCAT("THEME5=",$B22),SCENARIOS!$A$2,SCENARIOS!$B$2,1,YIELDS!H$1)</f>
        <v>0</v>
      </c>
      <c r="I22" cm="1">
        <f t="array" ref="I22">_xll.VALEURCOURBE($A$27,_xlfn.CONCAT("THEME5=",$B22),SCENARIOS!$A$2,SCENARIOS!$B$2,1,YIELDS!I$1)</f>
        <v>3.13</v>
      </c>
      <c r="J22" cm="1">
        <f t="array" ref="J22">_xll.VALEURCOURBE($A$27,_xlfn.CONCAT("THEME5=",$B22),SCENARIOS!$A$2,SCENARIOS!$B$2,1,YIELDS!J$1)</f>
        <v>7.93</v>
      </c>
      <c r="K22" cm="1">
        <f t="array" ref="K22">_xll.VALEURCOURBE($A$27,_xlfn.CONCAT("THEME5=",$B22),SCENARIOS!$A$2,SCENARIOS!$B$2,1,YIELDS!K$1)</f>
        <v>12.08</v>
      </c>
      <c r="L22" cm="1">
        <f t="array" ref="L22">_xll.VALEURCOURBE($A$27,_xlfn.CONCAT("THEME5=",$B22),SCENARIOS!$A$2,SCENARIOS!$B$2,1,YIELDS!L$1)</f>
        <v>15.66</v>
      </c>
      <c r="M22" cm="1">
        <f t="array" ref="M22">_xll.VALEURCOURBE($A$27,_xlfn.CONCAT("THEME5=",$B22),SCENARIOS!$A$2,SCENARIOS!$B$2,1,YIELDS!M$1)</f>
        <v>18.690000000000001</v>
      </c>
      <c r="N22" cm="1">
        <f t="array" ref="N22">_xll.VALEURCOURBE($A$27,_xlfn.CONCAT("THEME5=",$B22),SCENARIOS!$A$2,SCENARIOS!$B$2,1,YIELDS!N$1)</f>
        <v>21.23</v>
      </c>
      <c r="O22" cm="1">
        <f t="array" ref="O22">_xll.VALEURCOURBE($A$27,_xlfn.CONCAT("THEME5=",$B22),SCENARIOS!$A$2,SCENARIOS!$B$2,1,YIELDS!O$1)</f>
        <v>23.29</v>
      </c>
      <c r="P22" cm="1">
        <f t="array" ref="P22">_xll.VALEURCOURBE($A$27,_xlfn.CONCAT("THEME5=",$B22),SCENARIOS!$A$2,SCENARIOS!$B$2,1,YIELDS!P$1)</f>
        <v>24.95</v>
      </c>
      <c r="Q22" cm="1">
        <f t="array" ref="Q22">_xll.VALEURCOURBE($A$27,_xlfn.CONCAT("THEME5=",$B22),SCENARIOS!$A$2,SCENARIOS!$B$2,1,YIELDS!Q$1)</f>
        <v>26.21</v>
      </c>
      <c r="R22" cm="1">
        <f t="array" ref="R22">_xll.VALEURCOURBE($A$27,_xlfn.CONCAT("THEME5=",$B22),SCENARIOS!$A$2,SCENARIOS!$B$2,1,YIELDS!R$1)</f>
        <v>27.11</v>
      </c>
      <c r="S22" cm="1">
        <f t="array" ref="S22">_xll.VALEURCOURBE($A$27,_xlfn.CONCAT("THEME5=",$B22),SCENARIOS!$A$2,SCENARIOS!$B$2,1,YIELDS!S$1)</f>
        <v>27.69</v>
      </c>
      <c r="T22" cm="1">
        <f t="array" ref="T22">_xll.VALEURCOURBE($A$27,_xlfn.CONCAT("THEME5=",$B22),SCENARIOS!$A$2,SCENARIOS!$B$2,1,YIELDS!T$1)</f>
        <v>28.02</v>
      </c>
      <c r="U22" cm="1">
        <f t="array" ref="U22">_xll.VALEURCOURBE($A$27,_xlfn.CONCAT("THEME5=",$B22),SCENARIOS!$A$2,SCENARIOS!$B$2,1,YIELDS!U$1)</f>
        <v>28.1</v>
      </c>
      <c r="V22" cm="1">
        <f t="array" ref="V22">_xll.VALEURCOURBE($A$27,_xlfn.CONCAT("THEME5=",$B22),SCENARIOS!$A$2,SCENARIOS!$B$2,1,YIELDS!V$1)</f>
        <v>27.98</v>
      </c>
    </row>
    <row r="23" spans="1:22" x14ac:dyDescent="0.25">
      <c r="A23" t="str">
        <v>YV_G_GSEPM</v>
      </c>
      <c r="B23" t="str">
        <v>FC3351</v>
      </c>
      <c r="C23" cm="1">
        <f t="array" ref="C23">_xll.VALEURCOURBE($A$27,_xlfn.CONCAT("THEME5=",$B23),SCENARIOS!$A$2,SCENARIOS!$B$2,1,YIELDS!C$1)</f>
        <v>0</v>
      </c>
      <c r="D23" cm="1">
        <f t="array" ref="D23">_xll.VALEURCOURBE($A$27,_xlfn.CONCAT("THEME5=",$B23),SCENARIOS!$A$2,SCENARIOS!$B$2,1,YIELDS!D$1)</f>
        <v>0</v>
      </c>
      <c r="E23" cm="1">
        <f t="array" ref="E23">_xll.VALEURCOURBE($A$27,_xlfn.CONCAT("THEME5=",$B23),SCENARIOS!$A$2,SCENARIOS!$B$2,1,YIELDS!E$1)</f>
        <v>0</v>
      </c>
      <c r="F23" cm="1">
        <f t="array" ref="F23">_xll.VALEURCOURBE($A$27,_xlfn.CONCAT("THEME5=",$B23),SCENARIOS!$A$2,SCENARIOS!$B$2,1,YIELDS!F$1)</f>
        <v>0</v>
      </c>
      <c r="G23" cm="1">
        <f t="array" ref="G23">_xll.VALEURCOURBE($A$27,_xlfn.CONCAT("THEME5=",$B23),SCENARIOS!$A$2,SCENARIOS!$B$2,1,YIELDS!G$1)</f>
        <v>0</v>
      </c>
      <c r="H23" cm="1">
        <f t="array" ref="H23">_xll.VALEURCOURBE($A$27,_xlfn.CONCAT("THEME5=",$B23),SCENARIOS!$A$2,SCENARIOS!$B$2,1,YIELDS!H$1)</f>
        <v>0</v>
      </c>
      <c r="I23" cm="1">
        <f t="array" ref="I23">_xll.VALEURCOURBE($A$27,_xlfn.CONCAT("THEME5=",$B23),SCENARIOS!$A$2,SCENARIOS!$B$2,1,YIELDS!I$1)</f>
        <v>0</v>
      </c>
      <c r="J23" cm="1">
        <f t="array" ref="J23">_xll.VALEURCOURBE($A$27,_xlfn.CONCAT("THEME5=",$B23),SCENARIOS!$A$2,SCENARIOS!$B$2,1,YIELDS!J$1)</f>
        <v>0</v>
      </c>
      <c r="K23" cm="1">
        <f t="array" ref="K23">_xll.VALEURCOURBE($A$27,_xlfn.CONCAT("THEME5=",$B23),SCENARIOS!$A$2,SCENARIOS!$B$2,1,YIELDS!K$1)</f>
        <v>0</v>
      </c>
      <c r="L23" cm="1">
        <f t="array" ref="L23">_xll.VALEURCOURBE($A$27,_xlfn.CONCAT("THEME5=",$B23),SCENARIOS!$A$2,SCENARIOS!$B$2,1,YIELDS!L$1)</f>
        <v>0</v>
      </c>
      <c r="M23" cm="1">
        <f t="array" ref="M23">_xll.VALEURCOURBE($A$27,_xlfn.CONCAT("THEME5=",$B23),SCENARIOS!$A$2,SCENARIOS!$B$2,1,YIELDS!M$1)</f>
        <v>1.84</v>
      </c>
      <c r="N23" cm="1">
        <f t="array" ref="N23">_xll.VALEURCOURBE($A$27,_xlfn.CONCAT("THEME5=",$B23),SCENARIOS!$A$2,SCENARIOS!$B$2,1,YIELDS!N$1)</f>
        <v>10.06</v>
      </c>
      <c r="O23" cm="1">
        <f t="array" ref="O23">_xll.VALEURCOURBE($A$27,_xlfn.CONCAT("THEME5=",$B23),SCENARIOS!$A$2,SCENARIOS!$B$2,1,YIELDS!O$1)</f>
        <v>17.82</v>
      </c>
      <c r="P23" cm="1">
        <f t="array" ref="P23">_xll.VALEURCOURBE($A$27,_xlfn.CONCAT("THEME5=",$B23),SCENARIOS!$A$2,SCENARIOS!$B$2,1,YIELDS!P$1)</f>
        <v>25.03</v>
      </c>
      <c r="Q23" cm="1">
        <f t="array" ref="Q23">_xll.VALEURCOURBE($A$27,_xlfn.CONCAT("THEME5=",$B23),SCENARIOS!$A$2,SCENARIOS!$B$2,1,YIELDS!Q$1)</f>
        <v>31.65</v>
      </c>
      <c r="R23" cm="1">
        <f t="array" ref="R23">_xll.VALEURCOURBE($A$27,_xlfn.CONCAT("THEME5=",$B23),SCENARIOS!$A$2,SCENARIOS!$B$2,1,YIELDS!R$1)</f>
        <v>37.67</v>
      </c>
      <c r="S23" cm="1">
        <f t="array" ref="S23">_xll.VALEURCOURBE($A$27,_xlfn.CONCAT("THEME5=",$B23),SCENARIOS!$A$2,SCENARIOS!$B$2,1,YIELDS!S$1)</f>
        <v>43.12</v>
      </c>
      <c r="T23" cm="1">
        <f t="array" ref="T23">_xll.VALEURCOURBE($A$27,_xlfn.CONCAT("THEME5=",$B23),SCENARIOS!$A$2,SCENARIOS!$B$2,1,YIELDS!T$1)</f>
        <v>47.99</v>
      </c>
      <c r="U23" cm="1">
        <f t="array" ref="U23">_xll.VALEURCOURBE($A$27,_xlfn.CONCAT("THEME5=",$B23),SCENARIOS!$A$2,SCENARIOS!$B$2,1,YIELDS!U$1)</f>
        <v>52.33</v>
      </c>
      <c r="V23" cm="1">
        <f t="array" ref="V23">_xll.VALEURCOURBE($A$27,_xlfn.CONCAT("THEME5=",$B23),SCENARIOS!$A$2,SCENARIOS!$B$2,1,YIELDS!V$1)</f>
        <v>56.16</v>
      </c>
    </row>
    <row r="24" spans="1:22" x14ac:dyDescent="0.25">
      <c r="A24" t="str">
        <v>YV_G_NFI</v>
      </c>
      <c r="B24" t="str">
        <v>FC3352</v>
      </c>
      <c r="C24" cm="1">
        <f t="array" ref="C24">_xll.VALEURCOURBE($A$27,_xlfn.CONCAT("THEME5=",$B24),SCENARIOS!$A$2,SCENARIOS!$B$2,1,YIELDS!C$1)</f>
        <v>0</v>
      </c>
      <c r="D24" cm="1">
        <f t="array" ref="D24">_xll.VALEURCOURBE($A$27,_xlfn.CONCAT("THEME5=",$B24),SCENARIOS!$A$2,SCENARIOS!$B$2,1,YIELDS!D$1)</f>
        <v>0</v>
      </c>
      <c r="E24" cm="1">
        <f t="array" ref="E24">_xll.VALEURCOURBE($A$27,_xlfn.CONCAT("THEME5=",$B24),SCENARIOS!$A$2,SCENARIOS!$B$2,1,YIELDS!E$1)</f>
        <v>0</v>
      </c>
      <c r="F24" cm="1">
        <f t="array" ref="F24">_xll.VALEURCOURBE($A$27,_xlfn.CONCAT("THEME5=",$B24),SCENARIOS!$A$2,SCENARIOS!$B$2,1,YIELDS!F$1)</f>
        <v>0</v>
      </c>
      <c r="G24" cm="1">
        <f t="array" ref="G24">_xll.VALEURCOURBE($A$27,_xlfn.CONCAT("THEME5=",$B24),SCENARIOS!$A$2,SCENARIOS!$B$2,1,YIELDS!G$1)</f>
        <v>0</v>
      </c>
      <c r="H24" cm="1">
        <f t="array" ref="H24">_xll.VALEURCOURBE($A$27,_xlfn.CONCAT("THEME5=",$B24),SCENARIOS!$A$2,SCENARIOS!$B$2,1,YIELDS!H$1)</f>
        <v>0</v>
      </c>
      <c r="I24" cm="1">
        <f t="array" ref="I24">_xll.VALEURCOURBE($A$27,_xlfn.CONCAT("THEME5=",$B24),SCENARIOS!$A$2,SCENARIOS!$B$2,1,YIELDS!I$1)</f>
        <v>0</v>
      </c>
      <c r="J24" cm="1">
        <f t="array" ref="J24">_xll.VALEURCOURBE($A$27,_xlfn.CONCAT("THEME5=",$B24),SCENARIOS!$A$2,SCENARIOS!$B$2,1,YIELDS!J$1)</f>
        <v>0</v>
      </c>
      <c r="K24" cm="1">
        <f t="array" ref="K24">_xll.VALEURCOURBE($A$27,_xlfn.CONCAT("THEME5=",$B24),SCENARIOS!$A$2,SCENARIOS!$B$2,1,YIELDS!K$1)</f>
        <v>0</v>
      </c>
      <c r="L24" cm="1">
        <f t="array" ref="L24">_xll.VALEURCOURBE($A$27,_xlfn.CONCAT("THEME5=",$B24),SCENARIOS!$A$2,SCENARIOS!$B$2,1,YIELDS!L$1)</f>
        <v>0</v>
      </c>
      <c r="M24" cm="1">
        <f t="array" ref="M24">_xll.VALEURCOURBE($A$27,_xlfn.CONCAT("THEME5=",$B24),SCENARIOS!$A$2,SCENARIOS!$B$2,1,YIELDS!M$1)</f>
        <v>0</v>
      </c>
      <c r="N24" cm="1">
        <f t="array" ref="N24">_xll.VALEURCOURBE($A$27,_xlfn.CONCAT("THEME5=",$B24),SCENARIOS!$A$2,SCENARIOS!$B$2,1,YIELDS!N$1)</f>
        <v>0</v>
      </c>
      <c r="O24" cm="1">
        <f t="array" ref="O24">_xll.VALEURCOURBE($A$27,_xlfn.CONCAT("THEME5=",$B24),SCENARIOS!$A$2,SCENARIOS!$B$2,1,YIELDS!O$1)</f>
        <v>3.98</v>
      </c>
      <c r="P24" cm="1">
        <f t="array" ref="P24">_xll.VALEURCOURBE($A$27,_xlfn.CONCAT("THEME5=",$B24),SCENARIOS!$A$2,SCENARIOS!$B$2,1,YIELDS!P$1)</f>
        <v>8.2799999999999994</v>
      </c>
      <c r="Q24" cm="1">
        <f t="array" ref="Q24">_xll.VALEURCOURBE($A$27,_xlfn.CONCAT("THEME5=",$B24),SCENARIOS!$A$2,SCENARIOS!$B$2,1,YIELDS!Q$1)</f>
        <v>12.53</v>
      </c>
      <c r="R24" cm="1">
        <f t="array" ref="R24">_xll.VALEURCOURBE($A$27,_xlfn.CONCAT("THEME5=",$B24),SCENARIOS!$A$2,SCENARIOS!$B$2,1,YIELDS!R$1)</f>
        <v>16.66</v>
      </c>
      <c r="S24" cm="1">
        <f t="array" ref="S24">_xll.VALEURCOURBE($A$27,_xlfn.CONCAT("THEME5=",$B24),SCENARIOS!$A$2,SCENARIOS!$B$2,1,YIELDS!S$1)</f>
        <v>20.65</v>
      </c>
      <c r="T24" cm="1">
        <f t="array" ref="T24">_xll.VALEURCOURBE($A$27,_xlfn.CONCAT("THEME5=",$B24),SCENARIOS!$A$2,SCENARIOS!$B$2,1,YIELDS!T$1)</f>
        <v>24.45</v>
      </c>
      <c r="U24" cm="1">
        <f t="array" ref="U24">_xll.VALEURCOURBE($A$27,_xlfn.CONCAT("THEME5=",$B24),SCENARIOS!$A$2,SCENARIOS!$B$2,1,YIELDS!U$1)</f>
        <v>28.05</v>
      </c>
      <c r="V24" cm="1">
        <f t="array" ref="V24">_xll.VALEURCOURBE($A$27,_xlfn.CONCAT("THEME5=",$B24),SCENARIOS!$A$2,SCENARIOS!$B$2,1,YIELDS!V$1)</f>
        <v>31.41</v>
      </c>
    </row>
    <row r="25" spans="1:22" x14ac:dyDescent="0.25">
      <c r="A25" t="str">
        <v>YV_G_NFT</v>
      </c>
      <c r="B25" t="str">
        <v>FC3353</v>
      </c>
      <c r="C25" cm="1">
        <f t="array" ref="C25">_xll.VALEURCOURBE($A$27,_xlfn.CONCAT("THEME5=",$B25),SCENARIOS!$A$2,SCENARIOS!$B$2,1,YIELDS!C$1)</f>
        <v>0</v>
      </c>
      <c r="D25" cm="1">
        <f t="array" ref="D25">_xll.VALEURCOURBE($A$27,_xlfn.CONCAT("THEME5=",$B25),SCENARIOS!$A$2,SCENARIOS!$B$2,1,YIELDS!D$1)</f>
        <v>0</v>
      </c>
      <c r="E25" cm="1">
        <f t="array" ref="E25">_xll.VALEURCOURBE($A$27,_xlfn.CONCAT("THEME5=",$B25),SCENARIOS!$A$2,SCENARIOS!$B$2,1,YIELDS!E$1)</f>
        <v>0</v>
      </c>
      <c r="F25" cm="1">
        <f t="array" ref="F25">_xll.VALEURCOURBE($A$27,_xlfn.CONCAT("THEME5=",$B25),SCENARIOS!$A$2,SCENARIOS!$B$2,1,YIELDS!F$1)</f>
        <v>0</v>
      </c>
      <c r="G25" cm="1">
        <f t="array" ref="G25">_xll.VALEURCOURBE($A$27,_xlfn.CONCAT("THEME5=",$B25),SCENARIOS!$A$2,SCENARIOS!$B$2,1,YIELDS!G$1)</f>
        <v>0</v>
      </c>
      <c r="H25" cm="1">
        <f t="array" ref="H25">_xll.VALEURCOURBE($A$27,_xlfn.CONCAT("THEME5=",$B25),SCENARIOS!$A$2,SCENARIOS!$B$2,1,YIELDS!H$1)</f>
        <v>0</v>
      </c>
      <c r="I25" cm="1">
        <f t="array" ref="I25">_xll.VALEURCOURBE($A$27,_xlfn.CONCAT("THEME5=",$B25),SCENARIOS!$A$2,SCENARIOS!$B$2,1,YIELDS!I$1)</f>
        <v>0</v>
      </c>
      <c r="J25" cm="1">
        <f t="array" ref="J25">_xll.VALEURCOURBE($A$27,_xlfn.CONCAT("THEME5=",$B25),SCENARIOS!$A$2,SCENARIOS!$B$2,1,YIELDS!J$1)</f>
        <v>0</v>
      </c>
      <c r="K25" cm="1">
        <f t="array" ref="K25">_xll.VALEURCOURBE($A$27,_xlfn.CONCAT("THEME5=",$B25),SCENARIOS!$A$2,SCENARIOS!$B$2,1,YIELDS!K$1)</f>
        <v>0</v>
      </c>
      <c r="L25" cm="1">
        <f t="array" ref="L25">_xll.VALEURCOURBE($A$27,_xlfn.CONCAT("THEME5=",$B25),SCENARIOS!$A$2,SCENARIOS!$B$2,1,YIELDS!L$1)</f>
        <v>0</v>
      </c>
      <c r="M25" cm="1">
        <f t="array" ref="M25">_xll.VALEURCOURBE($A$27,_xlfn.CONCAT("THEME5=",$B25),SCENARIOS!$A$2,SCENARIOS!$B$2,1,YIELDS!M$1)</f>
        <v>0</v>
      </c>
      <c r="N25" cm="1">
        <f t="array" ref="N25">_xll.VALEURCOURBE($A$27,_xlfn.CONCAT("THEME5=",$B25),SCENARIOS!$A$2,SCENARIOS!$B$2,1,YIELDS!N$1)</f>
        <v>0</v>
      </c>
      <c r="O25" cm="1">
        <f t="array" ref="O25">_xll.VALEURCOURBE($A$27,_xlfn.CONCAT("THEME5=",$B25),SCENARIOS!$A$2,SCENARIOS!$B$2,1,YIELDS!O$1)</f>
        <v>7.37</v>
      </c>
      <c r="P25" cm="1">
        <f t="array" ref="P25">_xll.VALEURCOURBE($A$27,_xlfn.CONCAT("THEME5=",$B25),SCENARIOS!$A$2,SCENARIOS!$B$2,1,YIELDS!P$1)</f>
        <v>14.58</v>
      </c>
      <c r="Q25" cm="1">
        <f t="array" ref="Q25">_xll.VALEURCOURBE($A$27,_xlfn.CONCAT("THEME5=",$B25),SCENARIOS!$A$2,SCENARIOS!$B$2,1,YIELDS!Q$1)</f>
        <v>21.2</v>
      </c>
      <c r="R25" cm="1">
        <f t="array" ref="R25">_xll.VALEURCOURBE($A$27,_xlfn.CONCAT("THEME5=",$B25),SCENARIOS!$A$2,SCENARIOS!$B$2,1,YIELDS!R$1)</f>
        <v>27.22</v>
      </c>
      <c r="S25" cm="1">
        <f t="array" ref="S25">_xll.VALEURCOURBE($A$27,_xlfn.CONCAT("THEME5=",$B25),SCENARIOS!$A$2,SCENARIOS!$B$2,1,YIELDS!S$1)</f>
        <v>32.67</v>
      </c>
      <c r="T25" cm="1">
        <f t="array" ref="T25">_xll.VALEURCOURBE($A$27,_xlfn.CONCAT("THEME5=",$B25),SCENARIOS!$A$2,SCENARIOS!$B$2,1,YIELDS!T$1)</f>
        <v>37.54</v>
      </c>
      <c r="U25" cm="1">
        <f t="array" ref="U25">_xll.VALEURCOURBE($A$27,_xlfn.CONCAT("THEME5=",$B25),SCENARIOS!$A$2,SCENARIOS!$B$2,1,YIELDS!U$1)</f>
        <v>41.88</v>
      </c>
      <c r="V25" cm="1">
        <f t="array" ref="V25">_xll.VALEURCOURBE($A$27,_xlfn.CONCAT("THEME5=",$B25),SCENARIOS!$A$2,SCENARIOS!$B$2,1,YIELDS!V$1)</f>
        <v>45.71</v>
      </c>
    </row>
    <row r="26" spans="1:22" x14ac:dyDescent="0.25">
      <c r="A26" t="str">
        <v>YV_G_NRI</v>
      </c>
      <c r="B26" t="str">
        <v>FC3354</v>
      </c>
      <c r="C26" cm="1">
        <f t="array" ref="C26">_xll.VALEURCOURBE($A$27,_xlfn.CONCAT("THEME5=",$B26),SCENARIOS!$A$2,SCENARIOS!$B$2,1,YIELDS!C$1)</f>
        <v>0</v>
      </c>
      <c r="D26" cm="1">
        <f t="array" ref="D26">_xll.VALEURCOURBE($A$27,_xlfn.CONCAT("THEME5=",$B26),SCENARIOS!$A$2,SCENARIOS!$B$2,1,YIELDS!D$1)</f>
        <v>0</v>
      </c>
      <c r="E26" cm="1">
        <f t="array" ref="E26">_xll.VALEURCOURBE($A$27,_xlfn.CONCAT("THEME5=",$B26),SCENARIOS!$A$2,SCENARIOS!$B$2,1,YIELDS!E$1)</f>
        <v>0</v>
      </c>
      <c r="F26" cm="1">
        <f t="array" ref="F26">_xll.VALEURCOURBE($A$27,_xlfn.CONCAT("THEME5=",$B26),SCENARIOS!$A$2,SCENARIOS!$B$2,1,YIELDS!F$1)</f>
        <v>0</v>
      </c>
      <c r="G26" cm="1">
        <f t="array" ref="G26">_xll.VALEURCOURBE($A$27,_xlfn.CONCAT("THEME5=",$B26),SCENARIOS!$A$2,SCENARIOS!$B$2,1,YIELDS!G$1)</f>
        <v>0</v>
      </c>
      <c r="H26" cm="1">
        <f t="array" ref="H26">_xll.VALEURCOURBE($A$27,_xlfn.CONCAT("THEME5=",$B26),SCENARIOS!$A$2,SCENARIOS!$B$2,1,YIELDS!H$1)</f>
        <v>27.31</v>
      </c>
      <c r="I26" cm="1">
        <f t="array" ref="I26">_xll.VALEURCOURBE($A$27,_xlfn.CONCAT("THEME5=",$B26),SCENARIOS!$A$2,SCENARIOS!$B$2,1,YIELDS!I$1)</f>
        <v>70.599999999999994</v>
      </c>
      <c r="J26" cm="1">
        <f t="array" ref="J26">_xll.VALEURCOURBE($A$27,_xlfn.CONCAT("THEME5=",$B26),SCENARIOS!$A$2,SCENARIOS!$B$2,1,YIELDS!J$1)</f>
        <v>112.3</v>
      </c>
      <c r="K26" cm="1">
        <f t="array" ref="K26">_xll.VALEURCOURBE($A$27,_xlfn.CONCAT("THEME5=",$B26),SCENARIOS!$A$2,SCENARIOS!$B$2,1,YIELDS!K$1)</f>
        <v>151.63999999999999</v>
      </c>
      <c r="L26" cm="1">
        <f t="array" ref="L26">_xll.VALEURCOURBE($A$27,_xlfn.CONCAT("THEME5=",$B26),SCENARIOS!$A$2,SCENARIOS!$B$2,1,YIELDS!L$1)</f>
        <v>187.05</v>
      </c>
      <c r="M26" cm="1">
        <f t="array" ref="M26">_xll.VALEURCOURBE($A$27,_xlfn.CONCAT("THEME5=",$B26),SCENARIOS!$A$2,SCENARIOS!$B$2,1,YIELDS!M$1)</f>
        <v>219.31</v>
      </c>
      <c r="N26" cm="1">
        <f t="array" ref="N26">_xll.VALEURCOURBE($A$27,_xlfn.CONCAT("THEME5=",$B26),SCENARIOS!$A$2,SCENARIOS!$B$2,1,YIELDS!N$1)</f>
        <v>249.22</v>
      </c>
      <c r="O26" cm="1">
        <f t="array" ref="O26">_xll.VALEURCOURBE($A$27,_xlfn.CONCAT("THEME5=",$B26),SCENARIOS!$A$2,SCENARIOS!$B$2,1,YIELDS!O$1)</f>
        <v>283.83999999999997</v>
      </c>
      <c r="P26" cm="1">
        <f t="array" ref="P26">_xll.VALEURCOURBE($A$27,_xlfn.CONCAT("THEME5=",$B26),SCENARIOS!$A$2,SCENARIOS!$B$2,1,YIELDS!P$1)</f>
        <v>306.64999999999998</v>
      </c>
      <c r="Q26" cm="1">
        <f t="array" ref="Q26">_xll.VALEURCOURBE($A$27,_xlfn.CONCAT("THEME5=",$B26),SCENARIOS!$A$2,SCENARIOS!$B$2,1,YIELDS!Q$1)</f>
        <v>323.18</v>
      </c>
      <c r="R26" cm="1">
        <f t="array" ref="R26">_xll.VALEURCOURBE($A$27,_xlfn.CONCAT("THEME5=",$B26),SCENARIOS!$A$2,SCENARIOS!$B$2,1,YIELDS!R$1)</f>
        <v>332.63</v>
      </c>
      <c r="S26" cm="1">
        <f t="array" ref="S26">_xll.VALEURCOURBE($A$27,_xlfn.CONCAT("THEME5=",$B26),SCENARIOS!$A$2,SCENARIOS!$B$2,1,YIELDS!S$1)</f>
        <v>335.78</v>
      </c>
      <c r="T26" cm="1">
        <f t="array" ref="T26">_xll.VALEURCOURBE($A$27,_xlfn.CONCAT("THEME5=",$B26),SCENARIOS!$A$2,SCENARIOS!$B$2,1,YIELDS!T$1)</f>
        <v>331.05</v>
      </c>
      <c r="U26" cm="1">
        <f t="array" ref="U26">_xll.VALEURCOURBE($A$27,_xlfn.CONCAT("THEME5=",$B26),SCENARIOS!$A$2,SCENARIOS!$B$2,1,YIELDS!U$1)</f>
        <v>320.04000000000002</v>
      </c>
      <c r="V26" cm="1">
        <f t="array" ref="V26">_xll.VALEURCOURBE($A$27,_xlfn.CONCAT("THEME5=",$B26),SCENARIOS!$A$2,SCENARIOS!$B$2,1,YIELDS!V$1)</f>
        <v>301.93</v>
      </c>
    </row>
    <row r="27" spans="1:22" x14ac:dyDescent="0.25">
      <c r="A27" t="str">
        <v>YV_G_NRT</v>
      </c>
      <c r="B27" t="str">
        <v>FC3355</v>
      </c>
      <c r="C27" cm="1">
        <f t="array" ref="C27">_xll.VALEURCOURBE($A$27,_xlfn.CONCAT("THEME5=",$B27),SCENARIOS!$A$2,SCENARIOS!$B$2,1,YIELDS!C$1)</f>
        <v>0</v>
      </c>
      <c r="D27" cm="1">
        <f t="array" ref="D27">_xll.VALEURCOURBE($A$27,_xlfn.CONCAT("THEME5=",$B27),SCENARIOS!$A$2,SCENARIOS!$B$2,1,YIELDS!D$1)</f>
        <v>0</v>
      </c>
      <c r="E27" cm="1">
        <f t="array" ref="E27">_xll.VALEURCOURBE($A$27,_xlfn.CONCAT("THEME5=",$B27),SCENARIOS!$A$2,SCENARIOS!$B$2,1,YIELDS!E$1)</f>
        <v>0</v>
      </c>
      <c r="F27" cm="1">
        <f t="array" ref="F27">_xll.VALEURCOURBE($A$27,_xlfn.CONCAT("THEME5=",$B27),SCENARIOS!$A$2,SCENARIOS!$B$2,1,YIELDS!F$1)</f>
        <v>0</v>
      </c>
      <c r="G27" cm="1">
        <f t="array" ref="G27">_xll.VALEURCOURBE($A$27,_xlfn.CONCAT("THEME5=",$B27),SCENARIOS!$A$2,SCENARIOS!$B$2,1,YIELDS!G$1)</f>
        <v>10.86</v>
      </c>
      <c r="H27" cm="1">
        <f t="array" ref="H27">_xll.VALEURCOURBE($A$27,_xlfn.CONCAT("THEME5=",$B27),SCENARIOS!$A$2,SCENARIOS!$B$2,1,YIELDS!H$1)</f>
        <v>42.8</v>
      </c>
      <c r="I27" cm="1">
        <f t="array" ref="I27">_xll.VALEURCOURBE($A$27,_xlfn.CONCAT("THEME5=",$B27),SCENARIOS!$A$2,SCENARIOS!$B$2,1,YIELDS!I$1)</f>
        <v>78.19</v>
      </c>
      <c r="J27" cm="1">
        <f t="array" ref="J27">_xll.VALEURCOURBE($A$27,_xlfn.CONCAT("THEME5=",$B27),SCENARIOS!$A$2,SCENARIOS!$B$2,1,YIELDS!J$1)</f>
        <v>108.4</v>
      </c>
      <c r="K27" cm="1">
        <f t="array" ref="K27">_xll.VALEURCOURBE($A$27,_xlfn.CONCAT("THEME5=",$B27),SCENARIOS!$A$2,SCENARIOS!$B$2,1,YIELDS!K$1)</f>
        <v>129.12</v>
      </c>
      <c r="L27" cm="1">
        <f t="array" ref="L27">_xll.VALEURCOURBE($A$27,_xlfn.CONCAT("THEME5=",$B27),SCENARIOS!$A$2,SCENARIOS!$B$2,1,YIELDS!L$1)</f>
        <v>145.52000000000001</v>
      </c>
      <c r="M27" cm="1">
        <f t="array" ref="M27">_xll.VALEURCOURBE($A$27,_xlfn.CONCAT("THEME5=",$B27),SCENARIOS!$A$2,SCENARIOS!$B$2,1,YIELDS!M$1)</f>
        <v>162.78</v>
      </c>
      <c r="N27" cm="1">
        <f t="array" ref="N27">_xll.VALEURCOURBE($A$27,_xlfn.CONCAT("THEME5=",$B27),SCENARIOS!$A$2,SCENARIOS!$B$2,1,YIELDS!N$1)</f>
        <v>179.19</v>
      </c>
      <c r="O27" cm="1">
        <f t="array" ref="O27">_xll.VALEURCOURBE($A$27,_xlfn.CONCAT("THEME5=",$B27),SCENARIOS!$A$2,SCENARIOS!$B$2,1,YIELDS!O$1)</f>
        <v>196.45</v>
      </c>
      <c r="P27" cm="1">
        <f t="array" ref="P27">_xll.VALEURCOURBE($A$27,_xlfn.CONCAT("THEME5=",$B27),SCENARIOS!$A$2,SCENARIOS!$B$2,1,YIELDS!P$1)</f>
        <v>209.4</v>
      </c>
      <c r="Q27" cm="1">
        <f t="array" ref="Q27">_xll.VALEURCOURBE($A$27,_xlfn.CONCAT("THEME5=",$B27),SCENARIOS!$A$2,SCENARIOS!$B$2,1,YIELDS!Q$1)</f>
        <v>219.76</v>
      </c>
      <c r="R27" cm="1">
        <f t="array" ref="R27">_xll.VALEURCOURBE($A$27,_xlfn.CONCAT("THEME5=",$B27),SCENARIOS!$A$2,SCENARIOS!$B$2,1,YIELDS!R$1)</f>
        <v>228.39</v>
      </c>
      <c r="S27" cm="1">
        <f t="array" ref="S27">_xll.VALEURCOURBE($A$27,_xlfn.CONCAT("THEME5=",$B27),SCENARIOS!$A$2,SCENARIOS!$B$2,1,YIELDS!S$1)</f>
        <v>235.29</v>
      </c>
      <c r="T27" cm="1">
        <f t="array" ref="T27">_xll.VALEURCOURBE($A$27,_xlfn.CONCAT("THEME5=",$B27),SCENARIOS!$A$2,SCENARIOS!$B$2,1,YIELDS!T$1)</f>
        <v>240.47</v>
      </c>
      <c r="U27" cm="1">
        <f t="array" ref="U27">_xll.VALEURCOURBE($A$27,_xlfn.CONCAT("THEME5=",$B27),SCENARIOS!$A$2,SCENARIOS!$B$2,1,YIELDS!U$1)</f>
        <v>243.93</v>
      </c>
      <c r="V27" cm="1">
        <f t="array" ref="V27">_xll.VALEURCOURBE($A$27,_xlfn.CONCAT("THEME5=",$B27),SCENARIOS!$A$2,SCENARIOS!$B$2,1,YIELDS!V$1)</f>
        <v>246.52</v>
      </c>
    </row>
    <row r="28" spans="1:22" x14ac:dyDescent="0.25">
      <c r="A28" t="str">
        <v>YV_S</v>
      </c>
      <c r="B28" t="str">
        <v>FC3356</v>
      </c>
      <c r="C28" cm="1">
        <f t="array" ref="C28">_xll.VALEURCOURBE($A$27,_xlfn.CONCAT("THEME5=",$B28),SCENARIOS!$A$2,SCENARIOS!$B$2,1,YIELDS!C$1)</f>
        <v>0</v>
      </c>
      <c r="D28" cm="1">
        <f t="array" ref="D28">_xll.VALEURCOURBE($A$27,_xlfn.CONCAT("THEME5=",$B28),SCENARIOS!$A$2,SCENARIOS!$B$2,1,YIELDS!D$1)</f>
        <v>0</v>
      </c>
      <c r="E28" cm="1">
        <f t="array" ref="E28">_xll.VALEURCOURBE($A$27,_xlfn.CONCAT("THEME5=",$B28),SCENARIOS!$A$2,SCENARIOS!$B$2,1,YIELDS!E$1)</f>
        <v>0</v>
      </c>
      <c r="F28" cm="1">
        <f t="array" ref="F28">_xll.VALEURCOURBE($A$27,_xlfn.CONCAT("THEME5=",$B28),SCENARIOS!$A$2,SCENARIOS!$B$2,1,YIELDS!F$1)</f>
        <v>0</v>
      </c>
      <c r="G28" cm="1">
        <f t="array" ref="G28">_xll.VALEURCOURBE($A$27,_xlfn.CONCAT("THEME5=",$B28),SCENARIOS!$A$2,SCENARIOS!$B$2,1,YIELDS!G$1)</f>
        <v>0</v>
      </c>
      <c r="H28" cm="1">
        <f t="array" ref="H28">_xll.VALEURCOURBE($A$27,_xlfn.CONCAT("THEME5=",$B28),SCENARIOS!$A$2,SCENARIOS!$B$2,1,YIELDS!H$1)</f>
        <v>0</v>
      </c>
      <c r="I28" cm="1">
        <f t="array" ref="I28">_xll.VALEURCOURBE($A$27,_xlfn.CONCAT("THEME5=",$B28),SCENARIOS!$A$2,SCENARIOS!$B$2,1,YIELDS!I$1)</f>
        <v>0</v>
      </c>
      <c r="J28" cm="1">
        <f t="array" ref="J28">_xll.VALEURCOURBE($A$27,_xlfn.CONCAT("THEME5=",$B28),SCENARIOS!$A$2,SCENARIOS!$B$2,1,YIELDS!J$1)</f>
        <v>0</v>
      </c>
      <c r="K28" cm="1">
        <f t="array" ref="K28">_xll.VALEURCOURBE($A$27,_xlfn.CONCAT("THEME5=",$B28),SCENARIOS!$A$2,SCENARIOS!$B$2,1,YIELDS!K$1)</f>
        <v>0</v>
      </c>
      <c r="L28" cm="1">
        <f t="array" ref="L28">_xll.VALEURCOURBE($A$27,_xlfn.CONCAT("THEME5=",$B28),SCENARIOS!$A$2,SCENARIOS!$B$2,1,YIELDS!L$1)</f>
        <v>0</v>
      </c>
      <c r="M28" cm="1">
        <f t="array" ref="M28">_xll.VALEURCOURBE($A$27,_xlfn.CONCAT("THEME5=",$B28),SCENARIOS!$A$2,SCENARIOS!$B$2,1,YIELDS!M$1)</f>
        <v>0</v>
      </c>
      <c r="N28" cm="1">
        <f t="array" ref="N28">_xll.VALEURCOURBE($A$27,_xlfn.CONCAT("THEME5=",$B28),SCENARIOS!$A$2,SCENARIOS!$B$2,1,YIELDS!N$1)</f>
        <v>1.62</v>
      </c>
      <c r="O28" cm="1">
        <f t="array" ref="O28">_xll.VALEURCOURBE($A$27,_xlfn.CONCAT("THEME5=",$B28),SCENARIOS!$A$2,SCENARIOS!$B$2,1,YIELDS!O$1)</f>
        <v>5.94</v>
      </c>
      <c r="P28" cm="1">
        <f t="array" ref="P28">_xll.VALEURCOURBE($A$27,_xlfn.CONCAT("THEME5=",$B28),SCENARIOS!$A$2,SCENARIOS!$B$2,1,YIELDS!P$1)</f>
        <v>10.24</v>
      </c>
      <c r="Q28" cm="1">
        <f t="array" ref="Q28">_xll.VALEURCOURBE($A$27,_xlfn.CONCAT("THEME5=",$B28),SCENARIOS!$A$2,SCENARIOS!$B$2,1,YIELDS!Q$1)</f>
        <v>14.49</v>
      </c>
      <c r="R28" cm="1">
        <f t="array" ref="R28">_xll.VALEURCOURBE($A$27,_xlfn.CONCAT("THEME5=",$B28),SCENARIOS!$A$2,SCENARIOS!$B$2,1,YIELDS!R$1)</f>
        <v>18.62</v>
      </c>
      <c r="S28" cm="1">
        <f t="array" ref="S28">_xll.VALEURCOURBE($A$27,_xlfn.CONCAT("THEME5=",$B28),SCENARIOS!$A$2,SCENARIOS!$B$2,1,YIELDS!S$1)</f>
        <v>22.61</v>
      </c>
      <c r="T28" cm="1">
        <f t="array" ref="T28">_xll.VALEURCOURBE($A$27,_xlfn.CONCAT("THEME5=",$B28),SCENARIOS!$A$2,SCENARIOS!$B$2,1,YIELDS!T$1)</f>
        <v>26.41</v>
      </c>
      <c r="U28" cm="1">
        <f t="array" ref="U28">_xll.VALEURCOURBE($A$27,_xlfn.CONCAT("THEME5=",$B28),SCENARIOS!$A$2,SCENARIOS!$B$2,1,YIELDS!U$1)</f>
        <v>30.01</v>
      </c>
      <c r="V28" cm="1">
        <f t="array" ref="V28">_xll.VALEURCOURBE($A$27,_xlfn.CONCAT("THEME5=",$B28),SCENARIOS!$A$2,SCENARIOS!$B$2,1,YIELDS!V$1)</f>
        <v>33.369999999999997</v>
      </c>
    </row>
    <row r="29" spans="1:22" x14ac:dyDescent="0.25">
      <c r="A29" t="str">
        <v>YD3G_GSEPM</v>
      </c>
      <c r="B29" t="str">
        <v>FC3357</v>
      </c>
      <c r="C29" cm="1">
        <f t="array" ref="C29">_xll.VALEURCOURBE($A$27,_xlfn.CONCAT("THEME5=",$B29),SCENARIOS!$A$2,SCENARIOS!$B$2,1,YIELDS!C$1)</f>
        <v>0</v>
      </c>
      <c r="D29" cm="1">
        <f t="array" ref="D29">_xll.VALEURCOURBE($A$27,_xlfn.CONCAT("THEME5=",$B29),SCENARIOS!$A$2,SCENARIOS!$B$2,1,YIELDS!D$1)</f>
        <v>0</v>
      </c>
      <c r="E29" cm="1">
        <f t="array" ref="E29">_xll.VALEURCOURBE($A$27,_xlfn.CONCAT("THEME5=",$B29),SCENARIOS!$A$2,SCENARIOS!$B$2,1,YIELDS!E$1)</f>
        <v>0</v>
      </c>
      <c r="F29" cm="1">
        <f t="array" ref="F29">_xll.VALEURCOURBE($A$27,_xlfn.CONCAT("THEME5=",$B29),SCENARIOS!$A$2,SCENARIOS!$B$2,1,YIELDS!F$1)</f>
        <v>0</v>
      </c>
      <c r="G29" cm="1">
        <f t="array" ref="G29">_xll.VALEURCOURBE($A$27,_xlfn.CONCAT("THEME5=",$B29),SCENARIOS!$A$2,SCENARIOS!$B$2,1,YIELDS!G$1)</f>
        <v>0</v>
      </c>
      <c r="H29" cm="1">
        <f t="array" ref="H29">_xll.VALEURCOURBE($A$27,_xlfn.CONCAT("THEME5=",$B29),SCENARIOS!$A$2,SCENARIOS!$B$2,1,YIELDS!H$1)</f>
        <v>0</v>
      </c>
      <c r="I29" cm="1">
        <f t="array" ref="I29">_xll.VALEURCOURBE($A$27,_xlfn.CONCAT("THEME5=",$B29),SCENARIOS!$A$2,SCENARIOS!$B$2,1,YIELDS!I$1)</f>
        <v>0</v>
      </c>
      <c r="J29" cm="1">
        <f t="array" ref="J29">_xll.VALEURCOURBE($A$27,_xlfn.CONCAT("THEME5=",$B29),SCENARIOS!$A$2,SCENARIOS!$B$2,1,YIELDS!J$1)</f>
        <v>0</v>
      </c>
      <c r="K29" cm="1">
        <f t="array" ref="K29">_xll.VALEURCOURBE($A$27,_xlfn.CONCAT("THEME5=",$B29),SCENARIOS!$A$2,SCENARIOS!$B$2,1,YIELDS!K$1)</f>
        <v>0</v>
      </c>
      <c r="L29" cm="1">
        <f t="array" ref="L29">_xll.VALEURCOURBE($A$27,_xlfn.CONCAT("THEME5=",$B29),SCENARIOS!$A$2,SCENARIOS!$B$2,1,YIELDS!L$1)</f>
        <v>0</v>
      </c>
      <c r="M29" cm="1">
        <f t="array" ref="M29">_xll.VALEURCOURBE($A$27,_xlfn.CONCAT("THEME5=",$B29),SCENARIOS!$A$2,SCENARIOS!$B$2,1,YIELDS!M$1)</f>
        <v>1.84</v>
      </c>
      <c r="N29" cm="1">
        <f t="array" ref="N29">_xll.VALEURCOURBE($A$27,_xlfn.CONCAT("THEME5=",$B29),SCENARIOS!$A$2,SCENARIOS!$B$2,1,YIELDS!N$1)</f>
        <v>10.06</v>
      </c>
      <c r="O29" cm="1">
        <f t="array" ref="O29">_xll.VALEURCOURBE($A$27,_xlfn.CONCAT("THEME5=",$B29),SCENARIOS!$A$2,SCENARIOS!$B$2,1,YIELDS!O$1)</f>
        <v>17.82</v>
      </c>
      <c r="P29" cm="1">
        <f t="array" ref="P29">_xll.VALEURCOURBE($A$27,_xlfn.CONCAT("THEME5=",$B29),SCENARIOS!$A$2,SCENARIOS!$B$2,1,YIELDS!P$1)</f>
        <v>25.03</v>
      </c>
      <c r="Q29" cm="1">
        <f t="array" ref="Q29">_xll.VALEURCOURBE($A$27,_xlfn.CONCAT("THEME5=",$B29),SCENARIOS!$A$2,SCENARIOS!$B$2,1,YIELDS!Q$1)</f>
        <v>31.65</v>
      </c>
      <c r="R29" cm="1">
        <f t="array" ref="R29">_xll.VALEURCOURBE($A$27,_xlfn.CONCAT("THEME5=",$B29),SCENARIOS!$A$2,SCENARIOS!$B$2,1,YIELDS!R$1)</f>
        <v>37.67</v>
      </c>
      <c r="S29" cm="1">
        <f t="array" ref="S29">_xll.VALEURCOURBE($A$27,_xlfn.CONCAT("THEME5=",$B29),SCENARIOS!$A$2,SCENARIOS!$B$2,1,YIELDS!S$1)</f>
        <v>43.12</v>
      </c>
      <c r="T29" cm="1">
        <f t="array" ref="T29">_xll.VALEURCOURBE($A$27,_xlfn.CONCAT("THEME5=",$B29),SCENARIOS!$A$2,SCENARIOS!$B$2,1,YIELDS!T$1)</f>
        <v>47.99</v>
      </c>
      <c r="U29" cm="1">
        <f t="array" ref="U29">_xll.VALEURCOURBE($A$27,_xlfn.CONCAT("THEME5=",$B29),SCENARIOS!$A$2,SCENARIOS!$B$2,1,YIELDS!U$1)</f>
        <v>52.33</v>
      </c>
      <c r="V29" cm="1">
        <f t="array" ref="V29">_xll.VALEURCOURBE($A$27,_xlfn.CONCAT("THEME5=",$B29),SCENARIOS!$A$2,SCENARIOS!$B$2,1,YIELDS!V$1)</f>
        <v>56.16</v>
      </c>
    </row>
    <row r="30" spans="1:22" x14ac:dyDescent="0.25">
      <c r="A30" t="str">
        <v>YG_E_BOJ</v>
      </c>
      <c r="B30" t="str">
        <v>FC3358</v>
      </c>
      <c r="C30" cm="1">
        <f t="array" ref="C30">_xll.VALEURCOURBE($A$27,_xlfn.CONCAT("THEME5=",$B30),SCENARIOS!$A$2,SCENARIOS!$B$2,1,YIELDS!C$1)</f>
        <v>0</v>
      </c>
      <c r="D30" cm="1">
        <f t="array" ref="D30">_xll.VALEURCOURBE($A$27,_xlfn.CONCAT("THEME5=",$B30),SCENARIOS!$A$2,SCENARIOS!$B$2,1,YIELDS!D$1)</f>
        <v>0</v>
      </c>
      <c r="E30" cm="1">
        <f t="array" ref="E30">_xll.VALEURCOURBE($A$27,_xlfn.CONCAT("THEME5=",$B30),SCENARIOS!$A$2,SCENARIOS!$B$2,1,YIELDS!E$1)</f>
        <v>2.36</v>
      </c>
      <c r="F30" cm="1">
        <f t="array" ref="F30">_xll.VALEURCOURBE($A$27,_xlfn.CONCAT("THEME5=",$B30),SCENARIOS!$A$2,SCENARIOS!$B$2,1,YIELDS!F$1)</f>
        <v>14.95</v>
      </c>
      <c r="G30" cm="1">
        <f t="array" ref="G30">_xll.VALEURCOURBE($A$27,_xlfn.CONCAT("THEME5=",$B30),SCENARIOS!$A$2,SCENARIOS!$B$2,1,YIELDS!G$1)</f>
        <v>43.28</v>
      </c>
      <c r="H30" cm="1">
        <f t="array" ref="H30">_xll.VALEURCOURBE($A$27,_xlfn.CONCAT("THEME5=",$B30),SCENARIOS!$A$2,SCENARIOS!$B$2,1,YIELDS!H$1)</f>
        <v>82.62</v>
      </c>
      <c r="I30" cm="1">
        <f t="array" ref="I30">_xll.VALEURCOURBE($A$27,_xlfn.CONCAT("THEME5=",$B30),SCENARIOS!$A$2,SCENARIOS!$B$2,1,YIELDS!I$1)</f>
        <v>125.91</v>
      </c>
      <c r="J30" cm="1">
        <f t="array" ref="J30">_xll.VALEURCOURBE($A$27,_xlfn.CONCAT("THEME5=",$B30),SCENARIOS!$A$2,SCENARIOS!$B$2,1,YIELDS!J$1)</f>
        <v>167.61</v>
      </c>
      <c r="K30" cm="1">
        <f t="array" ref="K30">_xll.VALEURCOURBE($A$27,_xlfn.CONCAT("THEME5=",$B30),SCENARIOS!$A$2,SCENARIOS!$B$2,1,YIELDS!K$1)</f>
        <v>206.95</v>
      </c>
      <c r="L30" cm="1">
        <f t="array" ref="L30">_xll.VALEURCOURBE($A$27,_xlfn.CONCAT("THEME5=",$B30),SCENARIOS!$A$2,SCENARIOS!$B$2,1,YIELDS!L$1)</f>
        <v>242.36</v>
      </c>
      <c r="M30" cm="1">
        <f t="array" ref="M30">_xll.VALEURCOURBE($A$27,_xlfn.CONCAT("THEME5=",$B30),SCENARIOS!$A$2,SCENARIOS!$B$2,1,YIELDS!M$1)</f>
        <v>274.62</v>
      </c>
      <c r="N30" cm="1">
        <f t="array" ref="N30">_xll.VALEURCOURBE($A$27,_xlfn.CONCAT("THEME5=",$B30),SCENARIOS!$A$2,SCENARIOS!$B$2,1,YIELDS!N$1)</f>
        <v>304.52999999999997</v>
      </c>
      <c r="O30" cm="1">
        <f t="array" ref="O30">_xll.VALEURCOURBE($A$27,_xlfn.CONCAT("THEME5=",$B30),SCENARIOS!$A$2,SCENARIOS!$B$2,1,YIELDS!O$1)</f>
        <v>339.15</v>
      </c>
      <c r="P30" cm="1">
        <f t="array" ref="P30">_xll.VALEURCOURBE($A$27,_xlfn.CONCAT("THEME5=",$B30),SCENARIOS!$A$2,SCENARIOS!$B$2,1,YIELDS!P$1)</f>
        <v>361.96</v>
      </c>
      <c r="Q30" cm="1">
        <f t="array" ref="Q30">_xll.VALEURCOURBE($A$27,_xlfn.CONCAT("THEME5=",$B30),SCENARIOS!$A$2,SCENARIOS!$B$2,1,YIELDS!Q$1)</f>
        <v>378.49</v>
      </c>
      <c r="R30" cm="1">
        <f t="array" ref="R30">_xll.VALEURCOURBE($A$27,_xlfn.CONCAT("THEME5=",$B30),SCENARIOS!$A$2,SCENARIOS!$B$2,1,YIELDS!R$1)</f>
        <v>387.94</v>
      </c>
      <c r="S30" cm="1">
        <f t="array" ref="S30">_xll.VALEURCOURBE($A$27,_xlfn.CONCAT("THEME5=",$B30),SCENARIOS!$A$2,SCENARIOS!$B$2,1,YIELDS!S$1)</f>
        <v>391.09</v>
      </c>
      <c r="T30" cm="1">
        <f t="array" ref="T30">_xll.VALEURCOURBE($A$27,_xlfn.CONCAT("THEME5=",$B30),SCENARIOS!$A$2,SCENARIOS!$B$2,1,YIELDS!T$1)</f>
        <v>386.36</v>
      </c>
      <c r="U30" cm="1">
        <f t="array" ref="U30">_xll.VALEURCOURBE($A$27,_xlfn.CONCAT("THEME5=",$B30),SCENARIOS!$A$2,SCENARIOS!$B$2,1,YIELDS!U$1)</f>
        <v>375.35</v>
      </c>
      <c r="V30" cm="1">
        <f t="array" ref="V30">_xll.VALEURCOURBE($A$27,_xlfn.CONCAT("THEME5=",$B30),SCENARIOS!$A$2,SCENARIOS!$B$2,1,YIELDS!V$1)</f>
        <v>357.24</v>
      </c>
    </row>
    <row r="31" spans="1:22" x14ac:dyDescent="0.25">
      <c r="A31" t="str">
        <v>YG_E_SAB</v>
      </c>
      <c r="B31" t="str">
        <v>FC3359</v>
      </c>
      <c r="C31" cm="1">
        <f t="array" ref="C31">_xll.VALEURCOURBE($A$27,_xlfn.CONCAT("THEME5=",$B31),SCENARIOS!$A$2,SCENARIOS!$B$2,1,YIELDS!C$1)</f>
        <v>0</v>
      </c>
      <c r="D31" cm="1">
        <f t="array" ref="D31">_xll.VALEURCOURBE($A$27,_xlfn.CONCAT("THEME5=",$B31),SCENARIOS!$A$2,SCENARIOS!$B$2,1,YIELDS!D$1)</f>
        <v>0</v>
      </c>
      <c r="E31" cm="1">
        <f t="array" ref="E31">_xll.VALEURCOURBE($A$27,_xlfn.CONCAT("THEME5=",$B31),SCENARIOS!$A$2,SCENARIOS!$B$2,1,YIELDS!E$1)</f>
        <v>0</v>
      </c>
      <c r="F31" cm="1">
        <f t="array" ref="F31">_xll.VALEURCOURBE($A$27,_xlfn.CONCAT("THEME5=",$B31),SCENARIOS!$A$2,SCENARIOS!$B$2,1,YIELDS!F$1)</f>
        <v>7.77</v>
      </c>
      <c r="G31" cm="1">
        <f t="array" ref="G31">_xll.VALEURCOURBE($A$27,_xlfn.CONCAT("THEME5=",$B31),SCENARIOS!$A$2,SCENARIOS!$B$2,1,YIELDS!G$1)</f>
        <v>31.94</v>
      </c>
      <c r="H31" cm="1">
        <f t="array" ref="H31">_xll.VALEURCOURBE($A$27,_xlfn.CONCAT("THEME5=",$B31),SCENARIOS!$A$2,SCENARIOS!$B$2,1,YIELDS!H$1)</f>
        <v>63.88</v>
      </c>
      <c r="I31" cm="1">
        <f t="array" ref="I31">_xll.VALEURCOURBE($A$27,_xlfn.CONCAT("THEME5=",$B31),SCENARIOS!$A$2,SCENARIOS!$B$2,1,YIELDS!I$1)</f>
        <v>99.27</v>
      </c>
      <c r="J31" cm="1">
        <f t="array" ref="J31">_xll.VALEURCOURBE($A$27,_xlfn.CONCAT("THEME5=",$B31),SCENARIOS!$A$2,SCENARIOS!$B$2,1,YIELDS!J$1)</f>
        <v>129.47999999999999</v>
      </c>
      <c r="K31" cm="1">
        <f t="array" ref="K31">_xll.VALEURCOURBE($A$27,_xlfn.CONCAT("THEME5=",$B31),SCENARIOS!$A$2,SCENARIOS!$B$2,1,YIELDS!K$1)</f>
        <v>150.19999999999999</v>
      </c>
      <c r="L31" cm="1">
        <f t="array" ref="L31">_xll.VALEURCOURBE($A$27,_xlfn.CONCAT("THEME5=",$B31),SCENARIOS!$A$2,SCENARIOS!$B$2,1,YIELDS!L$1)</f>
        <v>166.6</v>
      </c>
      <c r="M31" cm="1">
        <f t="array" ref="M31">_xll.VALEURCOURBE($A$27,_xlfn.CONCAT("THEME5=",$B31),SCENARIOS!$A$2,SCENARIOS!$B$2,1,YIELDS!M$1)</f>
        <v>183.86</v>
      </c>
      <c r="N31" cm="1">
        <f t="array" ref="N31">_xll.VALEURCOURBE($A$27,_xlfn.CONCAT("THEME5=",$B31),SCENARIOS!$A$2,SCENARIOS!$B$2,1,YIELDS!N$1)</f>
        <v>200.27</v>
      </c>
      <c r="O31" cm="1">
        <f t="array" ref="O31">_xll.VALEURCOURBE($A$27,_xlfn.CONCAT("THEME5=",$B31),SCENARIOS!$A$2,SCENARIOS!$B$2,1,YIELDS!O$1)</f>
        <v>217.53</v>
      </c>
      <c r="P31" cm="1">
        <f t="array" ref="P31">_xll.VALEURCOURBE($A$27,_xlfn.CONCAT("THEME5=",$B31),SCENARIOS!$A$2,SCENARIOS!$B$2,1,YIELDS!P$1)</f>
        <v>230.48</v>
      </c>
      <c r="Q31" cm="1">
        <f t="array" ref="Q31">_xll.VALEURCOURBE($A$27,_xlfn.CONCAT("THEME5=",$B31),SCENARIOS!$A$2,SCENARIOS!$B$2,1,YIELDS!Q$1)</f>
        <v>240.84</v>
      </c>
      <c r="R31" cm="1">
        <f t="array" ref="R31">_xll.VALEURCOURBE($A$27,_xlfn.CONCAT("THEME5=",$B31),SCENARIOS!$A$2,SCENARIOS!$B$2,1,YIELDS!R$1)</f>
        <v>249.47</v>
      </c>
      <c r="S31" cm="1">
        <f t="array" ref="S31">_xll.VALEURCOURBE($A$27,_xlfn.CONCAT("THEME5=",$B31),SCENARIOS!$A$2,SCENARIOS!$B$2,1,YIELDS!S$1)</f>
        <v>256.37</v>
      </c>
      <c r="T31" cm="1">
        <f t="array" ref="T31">_xll.VALEURCOURBE($A$27,_xlfn.CONCAT("THEME5=",$B31),SCENARIOS!$A$2,SCENARIOS!$B$2,1,YIELDS!T$1)</f>
        <v>261.55</v>
      </c>
      <c r="U31" cm="1">
        <f t="array" ref="U31">_xll.VALEURCOURBE($A$27,_xlfn.CONCAT("THEME5=",$B31),SCENARIOS!$A$2,SCENARIOS!$B$2,1,YIELDS!U$1)</f>
        <v>265.01</v>
      </c>
      <c r="V31" cm="1">
        <f t="array" ref="V31">_xll.VALEURCOURBE($A$27,_xlfn.CONCAT("THEME5=",$B31),SCENARIOS!$A$2,SCENARIOS!$B$2,1,YIELDS!V$1)</f>
        <v>267.60000000000002</v>
      </c>
    </row>
    <row r="32" spans="1:22" x14ac:dyDescent="0.25">
      <c r="A32" t="str">
        <v>YG_E_THO</v>
      </c>
      <c r="B32" t="str">
        <v>FC3360</v>
      </c>
      <c r="C32" cm="1">
        <f t="array" ref="C32">_xll.VALEURCOURBE($A$27,_xlfn.CONCAT("THEME5=",$B32),SCENARIOS!$A$2,SCENARIOS!$B$2,1,YIELDS!C$1)</f>
        <v>0</v>
      </c>
      <c r="D32" cm="1">
        <f t="array" ref="D32">_xll.VALEURCOURBE($A$27,_xlfn.CONCAT("THEME5=",$B32),SCENARIOS!$A$2,SCENARIOS!$B$2,1,YIELDS!D$1)</f>
        <v>0</v>
      </c>
      <c r="E32" cm="1">
        <f t="array" ref="E32">_xll.VALEURCOURBE($A$27,_xlfn.CONCAT("THEME5=",$B32),SCENARIOS!$A$2,SCENARIOS!$B$2,1,YIELDS!E$1)</f>
        <v>0</v>
      </c>
      <c r="F32" cm="1">
        <f t="array" ref="F32">_xll.VALEURCOURBE($A$27,_xlfn.CONCAT("THEME5=",$B32),SCENARIOS!$A$2,SCENARIOS!$B$2,1,YIELDS!F$1)</f>
        <v>0</v>
      </c>
      <c r="G32" cm="1">
        <f t="array" ref="G32">_xll.VALEURCOURBE($A$27,_xlfn.CONCAT("THEME5=",$B32),SCENARIOS!$A$2,SCENARIOS!$B$2,1,YIELDS!G$1)</f>
        <v>0</v>
      </c>
      <c r="H32" cm="1">
        <f t="array" ref="H32">_xll.VALEURCOURBE($A$27,_xlfn.CONCAT("THEME5=",$B32),SCENARIOS!$A$2,SCENARIOS!$B$2,1,YIELDS!H$1)</f>
        <v>0</v>
      </c>
      <c r="I32" cm="1">
        <f t="array" ref="I32">_xll.VALEURCOURBE($A$27,_xlfn.CONCAT("THEME5=",$B32),SCENARIOS!$A$2,SCENARIOS!$B$2,1,YIELDS!I$1)</f>
        <v>0</v>
      </c>
      <c r="J32" cm="1">
        <f t="array" ref="J32">_xll.VALEURCOURBE($A$27,_xlfn.CONCAT("THEME5=",$B32),SCENARIOS!$A$2,SCENARIOS!$B$2,1,YIELDS!J$1)</f>
        <v>0</v>
      </c>
      <c r="K32" cm="1">
        <f t="array" ref="K32">_xll.VALEURCOURBE($A$27,_xlfn.CONCAT("THEME5=",$B32),SCENARIOS!$A$2,SCENARIOS!$B$2,1,YIELDS!K$1)</f>
        <v>0</v>
      </c>
      <c r="L32" cm="1">
        <f t="array" ref="L32">_xll.VALEURCOURBE($A$27,_xlfn.CONCAT("THEME5=",$B32),SCENARIOS!$A$2,SCENARIOS!$B$2,1,YIELDS!L$1)</f>
        <v>0</v>
      </c>
      <c r="M32" cm="1">
        <f t="array" ref="M32">_xll.VALEURCOURBE($A$27,_xlfn.CONCAT("THEME5=",$B32),SCENARIOS!$A$2,SCENARIOS!$B$2,1,YIELDS!M$1)</f>
        <v>0</v>
      </c>
      <c r="N32" cm="1">
        <f t="array" ref="N32">_xll.VALEURCOURBE($A$27,_xlfn.CONCAT("THEME5=",$B32),SCENARIOS!$A$2,SCENARIOS!$B$2,1,YIELDS!N$1)</f>
        <v>1.62</v>
      </c>
      <c r="O32" cm="1">
        <f t="array" ref="O32">_xll.VALEURCOURBE($A$27,_xlfn.CONCAT("THEME5=",$B32),SCENARIOS!$A$2,SCENARIOS!$B$2,1,YIELDS!O$1)</f>
        <v>5.94</v>
      </c>
      <c r="P32" cm="1">
        <f t="array" ref="P32">_xll.VALEURCOURBE($A$27,_xlfn.CONCAT("THEME5=",$B32),SCENARIOS!$A$2,SCENARIOS!$B$2,1,YIELDS!P$1)</f>
        <v>10.24</v>
      </c>
      <c r="Q32" cm="1">
        <f t="array" ref="Q32">_xll.VALEURCOURBE($A$27,_xlfn.CONCAT("THEME5=",$B32),SCENARIOS!$A$2,SCENARIOS!$B$2,1,YIELDS!Q$1)</f>
        <v>14.49</v>
      </c>
      <c r="R32" cm="1">
        <f t="array" ref="R32">_xll.VALEURCOURBE($A$27,_xlfn.CONCAT("THEME5=",$B32),SCENARIOS!$A$2,SCENARIOS!$B$2,1,YIELDS!R$1)</f>
        <v>18.62</v>
      </c>
      <c r="S32" cm="1">
        <f t="array" ref="S32">_xll.VALEURCOURBE($A$27,_xlfn.CONCAT("THEME5=",$B32),SCENARIOS!$A$2,SCENARIOS!$B$2,1,YIELDS!S$1)</f>
        <v>22.61</v>
      </c>
      <c r="T32" cm="1">
        <f t="array" ref="T32">_xll.VALEURCOURBE($A$27,_xlfn.CONCAT("THEME5=",$B32),SCENARIOS!$A$2,SCENARIOS!$B$2,1,YIELDS!T$1)</f>
        <v>26.41</v>
      </c>
      <c r="U32" cm="1">
        <f t="array" ref="U32">_xll.VALEURCOURBE($A$27,_xlfn.CONCAT("THEME5=",$B32),SCENARIOS!$A$2,SCENARIOS!$B$2,1,YIELDS!U$1)</f>
        <v>30.01</v>
      </c>
      <c r="V32" cm="1">
        <f t="array" ref="V32">_xll.VALEURCOURBE($A$27,_xlfn.CONCAT("THEME5=",$B32),SCENARIOS!$A$2,SCENARIOS!$B$2,1,YIELDS!V$1)</f>
        <v>33.369999999999997</v>
      </c>
    </row>
    <row r="33" spans="1:22" x14ac:dyDescent="0.25">
      <c r="A33" t="str">
        <v>YG_G_GAUR</v>
      </c>
      <c r="B33" t="str">
        <v>FC3361</v>
      </c>
      <c r="C33" cm="1">
        <f t="array" ref="C33">_xll.VALEURCOURBE($A$27,_xlfn.CONCAT("THEME5=",$B33),SCENARIOS!$A$2,SCENARIOS!$B$2,1,YIELDS!C$1)</f>
        <v>0</v>
      </c>
      <c r="D33" cm="1">
        <f t="array" ref="D33">_xll.VALEURCOURBE($A$27,_xlfn.CONCAT("THEME5=",$B33),SCENARIOS!$A$2,SCENARIOS!$B$2,1,YIELDS!D$1)</f>
        <v>0</v>
      </c>
      <c r="E33" cm="1">
        <f t="array" ref="E33">_xll.VALEURCOURBE($A$27,_xlfn.CONCAT("THEME5=",$B33),SCENARIOS!$A$2,SCENARIOS!$B$2,1,YIELDS!E$1)</f>
        <v>0</v>
      </c>
      <c r="F33" cm="1">
        <f t="array" ref="F33">_xll.VALEURCOURBE($A$27,_xlfn.CONCAT("THEME5=",$B33),SCENARIOS!$A$2,SCENARIOS!$B$2,1,YIELDS!F$1)</f>
        <v>0</v>
      </c>
      <c r="G33" cm="1">
        <f t="array" ref="G33">_xll.VALEURCOURBE($A$27,_xlfn.CONCAT("THEME5=",$B33),SCENARIOS!$A$2,SCENARIOS!$B$2,1,YIELDS!G$1)</f>
        <v>0</v>
      </c>
      <c r="H33" cm="1">
        <f t="array" ref="H33">_xll.VALEURCOURBE($A$27,_xlfn.CONCAT("THEME5=",$B33),SCENARIOS!$A$2,SCENARIOS!$B$2,1,YIELDS!H$1)</f>
        <v>0</v>
      </c>
      <c r="I33" cm="1">
        <f t="array" ref="I33">_xll.VALEURCOURBE($A$27,_xlfn.CONCAT("THEME5=",$B33),SCENARIOS!$A$2,SCENARIOS!$B$2,1,YIELDS!I$1)</f>
        <v>0</v>
      </c>
      <c r="J33" cm="1">
        <f t="array" ref="J33">_xll.VALEURCOURBE($A$27,_xlfn.CONCAT("THEME5=",$B33),SCENARIOS!$A$2,SCENARIOS!$B$2,1,YIELDS!J$1)</f>
        <v>0</v>
      </c>
      <c r="K33" cm="1">
        <f t="array" ref="K33">_xll.VALEURCOURBE($A$27,_xlfn.CONCAT("THEME5=",$B33),SCENARIOS!$A$2,SCENARIOS!$B$2,1,YIELDS!K$1)</f>
        <v>0</v>
      </c>
      <c r="L33" cm="1">
        <f t="array" ref="L33">_xll.VALEURCOURBE($A$27,_xlfn.CONCAT("THEME5=",$B33),SCENARIOS!$A$2,SCENARIOS!$B$2,1,YIELDS!L$1)</f>
        <v>0</v>
      </c>
      <c r="M33" cm="1">
        <f t="array" ref="M33">_xll.VALEURCOURBE($A$27,_xlfn.CONCAT("THEME5=",$B33),SCENARIOS!$A$2,SCENARIOS!$B$2,1,YIELDS!M$1)</f>
        <v>3.98</v>
      </c>
      <c r="N33" cm="1">
        <f t="array" ref="N33">_xll.VALEURCOURBE($A$27,_xlfn.CONCAT("THEME5=",$B33),SCENARIOS!$A$2,SCENARIOS!$B$2,1,YIELDS!N$1)</f>
        <v>9.8000000000000007</v>
      </c>
      <c r="O33" cm="1">
        <f t="array" ref="O33">_xll.VALEURCOURBE($A$27,_xlfn.CONCAT("THEME5=",$B33),SCENARIOS!$A$2,SCENARIOS!$B$2,1,YIELDS!O$1)</f>
        <v>15.03</v>
      </c>
      <c r="P33" cm="1">
        <f t="array" ref="P33">_xll.VALEURCOURBE($A$27,_xlfn.CONCAT("THEME5=",$B33),SCENARIOS!$A$2,SCENARIOS!$B$2,1,YIELDS!P$1)</f>
        <v>19.73</v>
      </c>
      <c r="Q33" cm="1">
        <f t="array" ref="Q33">_xll.VALEURCOURBE($A$27,_xlfn.CONCAT("THEME5=",$B33),SCENARIOS!$A$2,SCENARIOS!$B$2,1,YIELDS!Q$1)</f>
        <v>23.95</v>
      </c>
      <c r="R33" cm="1">
        <f t="array" ref="R33">_xll.VALEURCOURBE($A$27,_xlfn.CONCAT("THEME5=",$B33),SCENARIOS!$A$2,SCENARIOS!$B$2,1,YIELDS!R$1)</f>
        <v>27.71</v>
      </c>
      <c r="S33" cm="1">
        <f t="array" ref="S33">_xll.VALEURCOURBE($A$27,_xlfn.CONCAT("THEME5=",$B33),SCENARIOS!$A$2,SCENARIOS!$B$2,1,YIELDS!S$1)</f>
        <v>31.09</v>
      </c>
      <c r="T33" cm="1">
        <f t="array" ref="T33">_xll.VALEURCOURBE($A$27,_xlfn.CONCAT("THEME5=",$B33),SCENARIOS!$A$2,SCENARIOS!$B$2,1,YIELDS!T$1)</f>
        <v>34.1</v>
      </c>
      <c r="U33" cm="1">
        <f t="array" ref="U33">_xll.VALEURCOURBE($A$27,_xlfn.CONCAT("THEME5=",$B33),SCENARIOS!$A$2,SCENARIOS!$B$2,1,YIELDS!U$1)</f>
        <v>36.76</v>
      </c>
      <c r="V33" cm="1">
        <f t="array" ref="V33">_xll.VALEURCOURBE($A$27,_xlfn.CONCAT("THEME5=",$B33),SCENARIOS!$A$2,SCENARIOS!$B$2,1,YIELDS!V$1)</f>
        <v>39.11</v>
      </c>
    </row>
    <row r="34" spans="1:22" x14ac:dyDescent="0.25">
      <c r="A34" t="str">
        <v>YG_G_GBP</v>
      </c>
      <c r="B34" t="str">
        <v>FC3362</v>
      </c>
      <c r="C34" cm="1">
        <f t="array" ref="C34">_xll.VALEURCOURBE($A$27,_xlfn.CONCAT("THEME5=",$B34),SCENARIOS!$A$2,SCENARIOS!$B$2,1,YIELDS!C$1)</f>
        <v>0</v>
      </c>
      <c r="D34" cm="1">
        <f t="array" ref="D34">_xll.VALEURCOURBE($A$27,_xlfn.CONCAT("THEME5=",$B34),SCENARIOS!$A$2,SCENARIOS!$B$2,1,YIELDS!D$1)</f>
        <v>0</v>
      </c>
      <c r="E34" cm="1">
        <f t="array" ref="E34">_xll.VALEURCOURBE($A$27,_xlfn.CONCAT("THEME5=",$B34),SCENARIOS!$A$2,SCENARIOS!$B$2,1,YIELDS!E$1)</f>
        <v>0</v>
      </c>
      <c r="F34" cm="1">
        <f t="array" ref="F34">_xll.VALEURCOURBE($A$27,_xlfn.CONCAT("THEME5=",$B34),SCENARIOS!$A$2,SCENARIOS!$B$2,1,YIELDS!F$1)</f>
        <v>0</v>
      </c>
      <c r="G34" cm="1">
        <f t="array" ref="G34">_xll.VALEURCOURBE($A$27,_xlfn.CONCAT("THEME5=",$B34),SCENARIOS!$A$2,SCENARIOS!$B$2,1,YIELDS!G$1)</f>
        <v>0</v>
      </c>
      <c r="H34" cm="1">
        <f t="array" ref="H34">_xll.VALEURCOURBE($A$27,_xlfn.CONCAT("THEME5=",$B34),SCENARIOS!$A$2,SCENARIOS!$B$2,1,YIELDS!H$1)</f>
        <v>0</v>
      </c>
      <c r="I34" cm="1">
        <f t="array" ref="I34">_xll.VALEURCOURBE($A$27,_xlfn.CONCAT("THEME5=",$B34),SCENARIOS!$A$2,SCENARIOS!$B$2,1,YIELDS!I$1)</f>
        <v>0</v>
      </c>
      <c r="J34" cm="1">
        <f t="array" ref="J34">_xll.VALEURCOURBE($A$27,_xlfn.CONCAT("THEME5=",$B34),SCENARIOS!$A$2,SCENARIOS!$B$2,1,YIELDS!J$1)</f>
        <v>0</v>
      </c>
      <c r="K34" cm="1">
        <f t="array" ref="K34">_xll.VALEURCOURBE($A$27,_xlfn.CONCAT("THEME5=",$B34),SCENARIOS!$A$2,SCENARIOS!$B$2,1,YIELDS!K$1)</f>
        <v>0</v>
      </c>
      <c r="L34" cm="1">
        <f t="array" ref="L34">_xll.VALEURCOURBE($A$27,_xlfn.CONCAT("THEME5=",$B34),SCENARIOS!$A$2,SCENARIOS!$B$2,1,YIELDS!L$1)</f>
        <v>0</v>
      </c>
      <c r="M34" cm="1">
        <f t="array" ref="M34">_xll.VALEURCOURBE($A$27,_xlfn.CONCAT("THEME5=",$B34),SCENARIOS!$A$2,SCENARIOS!$B$2,1,YIELDS!M$1)</f>
        <v>1.84</v>
      </c>
      <c r="N34" cm="1">
        <f t="array" ref="N34">_xll.VALEURCOURBE($A$27,_xlfn.CONCAT("THEME5=",$B34),SCENARIOS!$A$2,SCENARIOS!$B$2,1,YIELDS!N$1)</f>
        <v>10.06</v>
      </c>
      <c r="O34" cm="1">
        <f t="array" ref="O34">_xll.VALEURCOURBE($A$27,_xlfn.CONCAT("THEME5=",$B34),SCENARIOS!$A$2,SCENARIOS!$B$2,1,YIELDS!O$1)</f>
        <v>17.82</v>
      </c>
      <c r="P34" cm="1">
        <f t="array" ref="P34">_xll.VALEURCOURBE($A$27,_xlfn.CONCAT("THEME5=",$B34),SCENARIOS!$A$2,SCENARIOS!$B$2,1,YIELDS!P$1)</f>
        <v>25.03</v>
      </c>
      <c r="Q34" cm="1">
        <f t="array" ref="Q34">_xll.VALEURCOURBE($A$27,_xlfn.CONCAT("THEME5=",$B34),SCENARIOS!$A$2,SCENARIOS!$B$2,1,YIELDS!Q$1)</f>
        <v>31.65</v>
      </c>
      <c r="R34" cm="1">
        <f t="array" ref="R34">_xll.VALEURCOURBE($A$27,_xlfn.CONCAT("THEME5=",$B34),SCENARIOS!$A$2,SCENARIOS!$B$2,1,YIELDS!R$1)</f>
        <v>37.67</v>
      </c>
      <c r="S34" cm="1">
        <f t="array" ref="S34">_xll.VALEURCOURBE($A$27,_xlfn.CONCAT("THEME5=",$B34),SCENARIOS!$A$2,SCENARIOS!$B$2,1,YIELDS!S$1)</f>
        <v>43.12</v>
      </c>
      <c r="T34" cm="1">
        <f t="array" ref="T34">_xll.VALEURCOURBE($A$27,_xlfn.CONCAT("THEME5=",$B34),SCENARIOS!$A$2,SCENARIOS!$B$2,1,YIELDS!T$1)</f>
        <v>47.99</v>
      </c>
      <c r="U34" cm="1">
        <f t="array" ref="U34">_xll.VALEURCOURBE($A$27,_xlfn.CONCAT("THEME5=",$B34),SCENARIOS!$A$2,SCENARIOS!$B$2,1,YIELDS!U$1)</f>
        <v>52.33</v>
      </c>
      <c r="V34" cm="1">
        <f t="array" ref="V34">_xll.VALEURCOURBE($A$27,_xlfn.CONCAT("THEME5=",$B34),SCENARIOS!$A$2,SCENARIOS!$B$2,1,YIELDS!V$1)</f>
        <v>56.16</v>
      </c>
    </row>
    <row r="35" spans="1:22" x14ac:dyDescent="0.25">
      <c r="A35" t="str">
        <v>YG_G_GEPX</v>
      </c>
      <c r="B35" t="str">
        <v>FC3363</v>
      </c>
      <c r="C35" cm="1">
        <f t="array" ref="C35">_xll.VALEURCOURBE($A$27,_xlfn.CONCAT("THEME5=",$B35),SCENARIOS!$A$2,SCENARIOS!$B$2,1,YIELDS!C$1)</f>
        <v>0</v>
      </c>
      <c r="D35" cm="1">
        <f t="array" ref="D35">_xll.VALEURCOURBE($A$27,_xlfn.CONCAT("THEME5=",$B35),SCENARIOS!$A$2,SCENARIOS!$B$2,1,YIELDS!D$1)</f>
        <v>0</v>
      </c>
      <c r="E35" cm="1">
        <f t="array" ref="E35">_xll.VALEURCOURBE($A$27,_xlfn.CONCAT("THEME5=",$B35),SCENARIOS!$A$2,SCENARIOS!$B$2,1,YIELDS!E$1)</f>
        <v>0</v>
      </c>
      <c r="F35" cm="1">
        <f t="array" ref="F35">_xll.VALEURCOURBE($A$27,_xlfn.CONCAT("THEME5=",$B35),SCENARIOS!$A$2,SCENARIOS!$B$2,1,YIELDS!F$1)</f>
        <v>0</v>
      </c>
      <c r="G35" cm="1">
        <f t="array" ref="G35">_xll.VALEURCOURBE($A$27,_xlfn.CONCAT("THEME5=",$B35),SCENARIOS!$A$2,SCENARIOS!$B$2,1,YIELDS!G$1)</f>
        <v>0</v>
      </c>
      <c r="H35" cm="1">
        <f t="array" ref="H35">_xll.VALEURCOURBE($A$27,_xlfn.CONCAT("THEME5=",$B35),SCENARIOS!$A$2,SCENARIOS!$B$2,1,YIELDS!H$1)</f>
        <v>0</v>
      </c>
      <c r="I35" cm="1">
        <f t="array" ref="I35">_xll.VALEURCOURBE($A$27,_xlfn.CONCAT("THEME5=",$B35),SCENARIOS!$A$2,SCENARIOS!$B$2,1,YIELDS!I$1)</f>
        <v>0</v>
      </c>
      <c r="J35" cm="1">
        <f t="array" ref="J35">_xll.VALEURCOURBE($A$27,_xlfn.CONCAT("THEME5=",$B35),SCENARIOS!$A$2,SCENARIOS!$B$2,1,YIELDS!J$1)</f>
        <v>1.19</v>
      </c>
      <c r="K35" cm="1">
        <f t="array" ref="K35">_xll.VALEURCOURBE($A$27,_xlfn.CONCAT("THEME5=",$B35),SCENARIOS!$A$2,SCENARIOS!$B$2,1,YIELDS!K$1)</f>
        <v>11.5</v>
      </c>
      <c r="L35" cm="1">
        <f t="array" ref="L35">_xll.VALEURCOURBE($A$27,_xlfn.CONCAT("THEME5=",$B35),SCENARIOS!$A$2,SCENARIOS!$B$2,1,YIELDS!L$1)</f>
        <v>20.87</v>
      </c>
      <c r="M35" cm="1">
        <f t="array" ref="M35">_xll.VALEURCOURBE($A$27,_xlfn.CONCAT("THEME5=",$B35),SCENARIOS!$A$2,SCENARIOS!$B$2,1,YIELDS!M$1)</f>
        <v>29.16</v>
      </c>
      <c r="N35" cm="1">
        <f t="array" ref="N35">_xll.VALEURCOURBE($A$27,_xlfn.CONCAT("THEME5=",$B35),SCENARIOS!$A$2,SCENARIOS!$B$2,1,YIELDS!N$1)</f>
        <v>36.6</v>
      </c>
      <c r="O35" cm="1">
        <f t="array" ref="O35">_xll.VALEURCOURBE($A$27,_xlfn.CONCAT("THEME5=",$B35),SCENARIOS!$A$2,SCENARIOS!$B$2,1,YIELDS!O$1)</f>
        <v>43.15</v>
      </c>
      <c r="P35" cm="1">
        <f t="array" ref="P35">_xll.VALEURCOURBE($A$27,_xlfn.CONCAT("THEME5=",$B35),SCENARIOS!$A$2,SCENARIOS!$B$2,1,YIELDS!P$1)</f>
        <v>48.84</v>
      </c>
      <c r="Q35" cm="1">
        <f t="array" ref="Q35">_xll.VALEURCOURBE($A$27,_xlfn.CONCAT("THEME5=",$B35),SCENARIOS!$A$2,SCENARIOS!$B$2,1,YIELDS!Q$1)</f>
        <v>53.68</v>
      </c>
      <c r="R35" cm="1">
        <f t="array" ref="R35">_xll.VALEURCOURBE($A$27,_xlfn.CONCAT("THEME5=",$B35),SCENARIOS!$A$2,SCENARIOS!$B$2,1,YIELDS!R$1)</f>
        <v>57.7</v>
      </c>
      <c r="S35" cm="1">
        <f t="array" ref="S35">_xll.VALEURCOURBE($A$27,_xlfn.CONCAT("THEME5=",$B35),SCENARIOS!$A$2,SCENARIOS!$B$2,1,YIELDS!S$1)</f>
        <v>60.96</v>
      </c>
      <c r="T35" cm="1">
        <f t="array" ref="T35">_xll.VALEURCOURBE($A$27,_xlfn.CONCAT("THEME5=",$B35),SCENARIOS!$A$2,SCENARIOS!$B$2,1,YIELDS!T$1)</f>
        <v>63.48</v>
      </c>
      <c r="U35" cm="1">
        <f t="array" ref="U35">_xll.VALEURCOURBE($A$27,_xlfn.CONCAT("THEME5=",$B35),SCENARIOS!$A$2,SCENARIOS!$B$2,1,YIELDS!U$1)</f>
        <v>65.36</v>
      </c>
      <c r="V35" cm="1">
        <f t="array" ref="V35">_xll.VALEURCOURBE($A$27,_xlfn.CONCAT("THEME5=",$B35),SCENARIOS!$A$2,SCENARIOS!$B$2,1,YIELDS!V$1)</f>
        <v>66.62</v>
      </c>
    </row>
    <row r="36" spans="1:22" x14ac:dyDescent="0.25">
      <c r="A36" t="str">
        <v>YG_G_GERO</v>
      </c>
      <c r="B36" t="str">
        <v>FC3364</v>
      </c>
      <c r="C36" cm="1">
        <f t="array" ref="C36">_xll.VALEURCOURBE($A$27,_xlfn.CONCAT("THEME5=",$B36),SCENARIOS!$A$2,SCENARIOS!$B$2,1,YIELDS!C$1)</f>
        <v>0</v>
      </c>
      <c r="D36" cm="1">
        <f t="array" ref="D36">_xll.VALEURCOURBE($A$27,_xlfn.CONCAT("THEME5=",$B36),SCENARIOS!$A$2,SCENARIOS!$B$2,1,YIELDS!D$1)</f>
        <v>0</v>
      </c>
      <c r="E36" cm="1">
        <f t="array" ref="E36">_xll.VALEURCOURBE($A$27,_xlfn.CONCAT("THEME5=",$B36),SCENARIOS!$A$2,SCENARIOS!$B$2,1,YIELDS!E$1)</f>
        <v>2.36</v>
      </c>
      <c r="F36" cm="1">
        <f t="array" ref="F36">_xll.VALEURCOURBE($A$27,_xlfn.CONCAT("THEME5=",$B36),SCENARIOS!$A$2,SCENARIOS!$B$2,1,YIELDS!F$1)</f>
        <v>14.95</v>
      </c>
      <c r="G36" cm="1">
        <f t="array" ref="G36">_xll.VALEURCOURBE($A$27,_xlfn.CONCAT("THEME5=",$B36),SCENARIOS!$A$2,SCENARIOS!$B$2,1,YIELDS!G$1)</f>
        <v>43.28</v>
      </c>
      <c r="H36" cm="1">
        <f t="array" ref="H36">_xll.VALEURCOURBE($A$27,_xlfn.CONCAT("THEME5=",$B36),SCENARIOS!$A$2,SCENARIOS!$B$2,1,YIELDS!H$1)</f>
        <v>82.62</v>
      </c>
      <c r="I36" cm="1">
        <f t="array" ref="I36">_xll.VALEURCOURBE($A$27,_xlfn.CONCAT("THEME5=",$B36),SCENARIOS!$A$2,SCENARIOS!$B$2,1,YIELDS!I$1)</f>
        <v>125.91</v>
      </c>
      <c r="J36" cm="1">
        <f t="array" ref="J36">_xll.VALEURCOURBE($A$27,_xlfn.CONCAT("THEME5=",$B36),SCENARIOS!$A$2,SCENARIOS!$B$2,1,YIELDS!J$1)</f>
        <v>167.61</v>
      </c>
      <c r="K36" cm="1">
        <f t="array" ref="K36">_xll.VALEURCOURBE($A$27,_xlfn.CONCAT("THEME5=",$B36),SCENARIOS!$A$2,SCENARIOS!$B$2,1,YIELDS!K$1)</f>
        <v>206.95</v>
      </c>
      <c r="L36" cm="1">
        <f t="array" ref="L36">_xll.VALEURCOURBE($A$27,_xlfn.CONCAT("THEME5=",$B36),SCENARIOS!$A$2,SCENARIOS!$B$2,1,YIELDS!L$1)</f>
        <v>242.36</v>
      </c>
      <c r="M36" cm="1">
        <f t="array" ref="M36">_xll.VALEURCOURBE($A$27,_xlfn.CONCAT("THEME5=",$B36),SCENARIOS!$A$2,SCENARIOS!$B$2,1,YIELDS!M$1)</f>
        <v>274.62</v>
      </c>
      <c r="N36" cm="1">
        <f t="array" ref="N36">_xll.VALEURCOURBE($A$27,_xlfn.CONCAT("THEME5=",$B36),SCENARIOS!$A$2,SCENARIOS!$B$2,1,YIELDS!N$1)</f>
        <v>304.52999999999997</v>
      </c>
      <c r="O36" cm="1">
        <f t="array" ref="O36">_xll.VALEURCOURBE($A$27,_xlfn.CONCAT("THEME5=",$B36),SCENARIOS!$A$2,SCENARIOS!$B$2,1,YIELDS!O$1)</f>
        <v>339.15</v>
      </c>
      <c r="P36" cm="1">
        <f t="array" ref="P36">_xll.VALEURCOURBE($A$27,_xlfn.CONCAT("THEME5=",$B36),SCENARIOS!$A$2,SCENARIOS!$B$2,1,YIELDS!P$1)</f>
        <v>361.96</v>
      </c>
      <c r="Q36" cm="1">
        <f t="array" ref="Q36">_xll.VALEURCOURBE($A$27,_xlfn.CONCAT("THEME5=",$B36),SCENARIOS!$A$2,SCENARIOS!$B$2,1,YIELDS!Q$1)</f>
        <v>378.49</v>
      </c>
      <c r="R36" cm="1">
        <f t="array" ref="R36">_xll.VALEURCOURBE($A$27,_xlfn.CONCAT("THEME5=",$B36),SCENARIOS!$A$2,SCENARIOS!$B$2,1,YIELDS!R$1)</f>
        <v>387.94</v>
      </c>
      <c r="S36" cm="1">
        <f t="array" ref="S36">_xll.VALEURCOURBE($A$27,_xlfn.CONCAT("THEME5=",$B36),SCENARIOS!$A$2,SCENARIOS!$B$2,1,YIELDS!S$1)</f>
        <v>391.09</v>
      </c>
      <c r="T36" cm="1">
        <f t="array" ref="T36">_xll.VALEURCOURBE($A$27,_xlfn.CONCAT("THEME5=",$B36),SCENARIOS!$A$2,SCENARIOS!$B$2,1,YIELDS!T$1)</f>
        <v>386.36</v>
      </c>
      <c r="U36" cm="1">
        <f t="array" ref="U36">_xll.VALEURCOURBE($A$27,_xlfn.CONCAT("THEME5=",$B36),SCENARIOS!$A$2,SCENARIOS!$B$2,1,YIELDS!U$1)</f>
        <v>375.35</v>
      </c>
      <c r="V36" cm="1">
        <f t="array" ref="V36">_xll.VALEURCOURBE($A$27,_xlfn.CONCAT("THEME5=",$B36),SCENARIOS!$A$2,SCENARIOS!$B$2,1,YIELDS!V$1)</f>
        <v>357.24</v>
      </c>
    </row>
    <row r="37" spans="1:22" x14ac:dyDescent="0.25">
      <c r="A37" t="str">
        <v>YG_G_GF</v>
      </c>
      <c r="B37" t="str">
        <v>FC3365</v>
      </c>
      <c r="C37" cm="1">
        <f t="array" ref="C37">_xll.VALEURCOURBE($A$27,_xlfn.CONCAT("THEME5=",$B37),SCENARIOS!$A$2,SCENARIOS!$B$2,1,YIELDS!C$1)</f>
        <v>0</v>
      </c>
      <c r="D37" cm="1">
        <f t="array" ref="D37">_xll.VALEURCOURBE($A$27,_xlfn.CONCAT("THEME5=",$B37),SCENARIOS!$A$2,SCENARIOS!$B$2,1,YIELDS!D$1)</f>
        <v>0</v>
      </c>
      <c r="E37" cm="1">
        <f t="array" ref="E37">_xll.VALEURCOURBE($A$27,_xlfn.CONCAT("THEME5=",$B37),SCENARIOS!$A$2,SCENARIOS!$B$2,1,YIELDS!E$1)</f>
        <v>3.15</v>
      </c>
      <c r="F37" cm="1">
        <f t="array" ref="F37">_xll.VALEURCOURBE($A$27,_xlfn.CONCAT("THEME5=",$B37),SCENARIOS!$A$2,SCENARIOS!$B$2,1,YIELDS!F$1)</f>
        <v>18.09</v>
      </c>
      <c r="G37" cm="1">
        <f t="array" ref="G37">_xll.VALEURCOURBE($A$27,_xlfn.CONCAT("THEME5=",$B37),SCENARIOS!$A$2,SCENARIOS!$B$2,1,YIELDS!G$1)</f>
        <v>50.36</v>
      </c>
      <c r="H37" cm="1">
        <f t="array" ref="H37">_xll.VALEURCOURBE($A$27,_xlfn.CONCAT("THEME5=",$B37),SCENARIOS!$A$2,SCENARIOS!$B$2,1,YIELDS!H$1)</f>
        <v>92.07</v>
      </c>
      <c r="I37" cm="1">
        <f t="array" ref="I37">_xll.VALEURCOURBE($A$27,_xlfn.CONCAT("THEME5=",$B37),SCENARIOS!$A$2,SCENARIOS!$B$2,1,YIELDS!I$1)</f>
        <v>136.91999999999999</v>
      </c>
      <c r="J37" cm="1">
        <f t="array" ref="J37">_xll.VALEURCOURBE($A$27,_xlfn.CONCAT("THEME5=",$B37),SCENARIOS!$A$2,SCENARIOS!$B$2,1,YIELDS!J$1)</f>
        <v>179.4</v>
      </c>
      <c r="K37" cm="1">
        <f t="array" ref="K37">_xll.VALEURCOURBE($A$27,_xlfn.CONCAT("THEME5=",$B37),SCENARIOS!$A$2,SCENARIOS!$B$2,1,YIELDS!K$1)</f>
        <v>218.76</v>
      </c>
      <c r="L37" cm="1">
        <f t="array" ref="L37">_xll.VALEURCOURBE($A$27,_xlfn.CONCAT("THEME5=",$B37),SCENARIOS!$A$2,SCENARIOS!$B$2,1,YIELDS!L$1)</f>
        <v>254.95</v>
      </c>
      <c r="M37" cm="1">
        <f t="array" ref="M37">_xll.VALEURCOURBE($A$27,_xlfn.CONCAT("THEME5=",$B37),SCENARIOS!$A$2,SCENARIOS!$B$2,1,YIELDS!M$1)</f>
        <v>288.77999999999997</v>
      </c>
      <c r="N37" cm="1">
        <f t="array" ref="N37">_xll.VALEURCOURBE($A$27,_xlfn.CONCAT("THEME5=",$B37),SCENARIOS!$A$2,SCENARIOS!$B$2,1,YIELDS!N$1)</f>
        <v>318.7</v>
      </c>
      <c r="O37" cm="1">
        <f t="array" ref="O37">_xll.VALEURCOURBE($A$27,_xlfn.CONCAT("THEME5=",$B37),SCENARIOS!$A$2,SCENARIOS!$B$2,1,YIELDS!O$1)</f>
        <v>354.89</v>
      </c>
      <c r="P37" cm="1">
        <f t="array" ref="P37">_xll.VALEURCOURBE($A$27,_xlfn.CONCAT("THEME5=",$B37),SCENARIOS!$A$2,SCENARIOS!$B$2,1,YIELDS!P$1)</f>
        <v>378.49</v>
      </c>
      <c r="Q37" cm="1">
        <f t="array" ref="Q37">_xll.VALEURCOURBE($A$27,_xlfn.CONCAT("THEME5=",$B37),SCENARIOS!$A$2,SCENARIOS!$B$2,1,YIELDS!Q$1)</f>
        <v>395.81</v>
      </c>
      <c r="R37" cm="1">
        <f t="array" ref="R37">_xll.VALEURCOURBE($A$27,_xlfn.CONCAT("THEME5=",$B37),SCENARIOS!$A$2,SCENARIOS!$B$2,1,YIELDS!R$1)</f>
        <v>406.03</v>
      </c>
      <c r="S37" cm="1">
        <f t="array" ref="S37">_xll.VALEURCOURBE($A$27,_xlfn.CONCAT("THEME5=",$B37),SCENARIOS!$A$2,SCENARIOS!$B$2,1,YIELDS!S$1)</f>
        <v>409.97</v>
      </c>
      <c r="T37" cm="1">
        <f t="array" ref="T37">_xll.VALEURCOURBE($A$27,_xlfn.CONCAT("THEME5=",$B37),SCENARIOS!$A$2,SCENARIOS!$B$2,1,YIELDS!T$1)</f>
        <v>406.03</v>
      </c>
      <c r="U37" cm="1">
        <f t="array" ref="U37">_xll.VALEURCOURBE($A$27,_xlfn.CONCAT("THEME5=",$B37),SCENARIOS!$A$2,SCENARIOS!$B$2,1,YIELDS!U$1)</f>
        <v>395.81</v>
      </c>
      <c r="V37" cm="1">
        <f t="array" ref="V37">_xll.VALEURCOURBE($A$27,_xlfn.CONCAT("THEME5=",$B37),SCENARIOS!$A$2,SCENARIOS!$B$2,1,YIELDS!V$1)</f>
        <v>378.49</v>
      </c>
    </row>
    <row r="38" spans="1:22" x14ac:dyDescent="0.25">
      <c r="A38" t="str">
        <v>YG_G_GFI</v>
      </c>
      <c r="B38" t="str">
        <v>FC3366</v>
      </c>
      <c r="C38" cm="1">
        <f t="array" ref="C38">_xll.VALEURCOURBE($A$27,_xlfn.CONCAT("THEME5=",$B38),SCENARIOS!$A$2,SCENARIOS!$B$2,1,YIELDS!C$1)</f>
        <v>0</v>
      </c>
      <c r="D38" cm="1">
        <f t="array" ref="D38">_xll.VALEURCOURBE($A$27,_xlfn.CONCAT("THEME5=",$B38),SCENARIOS!$A$2,SCENARIOS!$B$2,1,YIELDS!D$1)</f>
        <v>0</v>
      </c>
      <c r="E38" cm="1">
        <f t="array" ref="E38">_xll.VALEURCOURBE($A$27,_xlfn.CONCAT("THEME5=",$B38),SCENARIOS!$A$2,SCENARIOS!$B$2,1,YIELDS!E$1)</f>
        <v>0</v>
      </c>
      <c r="F38" cm="1">
        <f t="array" ref="F38">_xll.VALEURCOURBE($A$27,_xlfn.CONCAT("THEME5=",$B38),SCENARIOS!$A$2,SCENARIOS!$B$2,1,YIELDS!F$1)</f>
        <v>0</v>
      </c>
      <c r="G38" cm="1">
        <f t="array" ref="G38">_xll.VALEURCOURBE($A$27,_xlfn.CONCAT("THEME5=",$B38),SCENARIOS!$A$2,SCENARIOS!$B$2,1,YIELDS!G$1)</f>
        <v>0</v>
      </c>
      <c r="H38" cm="1">
        <f t="array" ref="H38">_xll.VALEURCOURBE($A$27,_xlfn.CONCAT("THEME5=",$B38),SCENARIOS!$A$2,SCENARIOS!$B$2,1,YIELDS!H$1)</f>
        <v>0</v>
      </c>
      <c r="I38" cm="1">
        <f t="array" ref="I38">_xll.VALEURCOURBE($A$27,_xlfn.CONCAT("THEME5=",$B38),SCENARIOS!$A$2,SCENARIOS!$B$2,1,YIELDS!I$1)</f>
        <v>0</v>
      </c>
      <c r="J38" cm="1">
        <f t="array" ref="J38">_xll.VALEURCOURBE($A$27,_xlfn.CONCAT("THEME5=",$B38),SCENARIOS!$A$2,SCENARIOS!$B$2,1,YIELDS!J$1)</f>
        <v>0</v>
      </c>
      <c r="K38" cm="1">
        <f t="array" ref="K38">_xll.VALEURCOURBE($A$27,_xlfn.CONCAT("THEME5=",$B38),SCENARIOS!$A$2,SCENARIOS!$B$2,1,YIELDS!K$1)</f>
        <v>0</v>
      </c>
      <c r="L38" cm="1">
        <f t="array" ref="L38">_xll.VALEURCOURBE($A$27,_xlfn.CONCAT("THEME5=",$B38),SCENARIOS!$A$2,SCENARIOS!$B$2,1,YIELDS!L$1)</f>
        <v>0</v>
      </c>
      <c r="M38" cm="1">
        <f t="array" ref="M38">_xll.VALEURCOURBE($A$27,_xlfn.CONCAT("THEME5=",$B38),SCENARIOS!$A$2,SCENARIOS!$B$2,1,YIELDS!M$1)</f>
        <v>1.84</v>
      </c>
      <c r="N38" cm="1">
        <f t="array" ref="N38">_xll.VALEURCOURBE($A$27,_xlfn.CONCAT("THEME5=",$B38),SCENARIOS!$A$2,SCENARIOS!$B$2,1,YIELDS!N$1)</f>
        <v>10.06</v>
      </c>
      <c r="O38" cm="1">
        <f t="array" ref="O38">_xll.VALEURCOURBE($A$27,_xlfn.CONCAT("THEME5=",$B38),SCENARIOS!$A$2,SCENARIOS!$B$2,1,YIELDS!O$1)</f>
        <v>17.82</v>
      </c>
      <c r="P38" cm="1">
        <f t="array" ref="P38">_xll.VALEURCOURBE($A$27,_xlfn.CONCAT("THEME5=",$B38),SCENARIOS!$A$2,SCENARIOS!$B$2,1,YIELDS!P$1)</f>
        <v>25.03</v>
      </c>
      <c r="Q38" cm="1">
        <f t="array" ref="Q38">_xll.VALEURCOURBE($A$27,_xlfn.CONCAT("THEME5=",$B38),SCENARIOS!$A$2,SCENARIOS!$B$2,1,YIELDS!Q$1)</f>
        <v>31.65</v>
      </c>
      <c r="R38" cm="1">
        <f t="array" ref="R38">_xll.VALEURCOURBE($A$27,_xlfn.CONCAT("THEME5=",$B38),SCENARIOS!$A$2,SCENARIOS!$B$2,1,YIELDS!R$1)</f>
        <v>37.67</v>
      </c>
      <c r="S38" cm="1">
        <f t="array" ref="S38">_xll.VALEURCOURBE($A$27,_xlfn.CONCAT("THEME5=",$B38),SCENARIOS!$A$2,SCENARIOS!$B$2,1,YIELDS!S$1)</f>
        <v>43.12</v>
      </c>
      <c r="T38" cm="1">
        <f t="array" ref="T38">_xll.VALEURCOURBE($A$27,_xlfn.CONCAT("THEME5=",$B38),SCENARIOS!$A$2,SCENARIOS!$B$2,1,YIELDS!T$1)</f>
        <v>47.99</v>
      </c>
      <c r="U38" cm="1">
        <f t="array" ref="U38">_xll.VALEURCOURBE($A$27,_xlfn.CONCAT("THEME5=",$B38),SCENARIOS!$A$2,SCENARIOS!$B$2,1,YIELDS!U$1)</f>
        <v>52.33</v>
      </c>
      <c r="V38" cm="1">
        <f t="array" ref="V38">_xll.VALEURCOURBE($A$27,_xlfn.CONCAT("THEME5=",$B38),SCENARIOS!$A$2,SCENARIOS!$B$2,1,YIELDS!V$1)</f>
        <v>56.16</v>
      </c>
    </row>
    <row r="39" spans="1:22" x14ac:dyDescent="0.25">
      <c r="A39" t="str">
        <v>YG_G_GFN</v>
      </c>
      <c r="B39" t="str">
        <v>FC3384</v>
      </c>
      <c r="C39" cm="1">
        <f t="array" ref="C39">_xll.VALEURCOURBE($A$27,_xlfn.CONCAT("THEME5=",$B39),SCENARIOS!$A$2,SCENARIOS!$B$2,1,YIELDS!C$1)</f>
        <v>0</v>
      </c>
      <c r="D39" cm="1">
        <f t="array" ref="D39">_xll.VALEURCOURBE($A$27,_xlfn.CONCAT("THEME5=",$B39),SCENARIOS!$A$2,SCENARIOS!$B$2,1,YIELDS!D$1)</f>
        <v>0</v>
      </c>
      <c r="E39" cm="1">
        <f t="array" ref="E39">_xll.VALEURCOURBE($A$27,_xlfn.CONCAT("THEME5=",$B39),SCENARIOS!$A$2,SCENARIOS!$B$2,1,YIELDS!E$1)</f>
        <v>0</v>
      </c>
      <c r="F39" cm="1">
        <f t="array" ref="F39">_xll.VALEURCOURBE($A$27,_xlfn.CONCAT("THEME5=",$B39),SCENARIOS!$A$2,SCENARIOS!$B$2,1,YIELDS!F$1)</f>
        <v>0</v>
      </c>
      <c r="G39" cm="1">
        <f t="array" ref="G39">_xll.VALEURCOURBE($A$27,_xlfn.CONCAT("THEME5=",$B39),SCENARIOS!$A$2,SCENARIOS!$B$2,1,YIELDS!G$1)</f>
        <v>0</v>
      </c>
      <c r="H39" cm="1">
        <f t="array" ref="H39">_xll.VALEURCOURBE($A$27,_xlfn.CONCAT("THEME5=",$B39),SCENARIOS!$A$2,SCENARIOS!$B$2,1,YIELDS!H$1)</f>
        <v>0</v>
      </c>
      <c r="I39" cm="1">
        <f t="array" ref="I39">_xll.VALEURCOURBE($A$27,_xlfn.CONCAT("THEME5=",$B39),SCENARIOS!$A$2,SCENARIOS!$B$2,1,YIELDS!I$1)</f>
        <v>0</v>
      </c>
      <c r="J39" cm="1">
        <f t="array" ref="J39">_xll.VALEURCOURBE($A$27,_xlfn.CONCAT("THEME5=",$B39),SCENARIOS!$A$2,SCENARIOS!$B$2,1,YIELDS!J$1)</f>
        <v>0</v>
      </c>
      <c r="K39" cm="1">
        <f t="array" ref="K39">_xll.VALEURCOURBE($A$27,_xlfn.CONCAT("THEME5=",$B39),SCENARIOS!$A$2,SCENARIOS!$B$2,1,YIELDS!K$1)</f>
        <v>0</v>
      </c>
      <c r="L39" cm="1">
        <f t="array" ref="L39">_xll.VALEURCOURBE($A$27,_xlfn.CONCAT("THEME5=",$B39),SCENARIOS!$A$2,SCENARIOS!$B$2,1,YIELDS!L$1)</f>
        <v>0</v>
      </c>
      <c r="M39" cm="1">
        <f t="array" ref="M39">_xll.VALEURCOURBE($A$27,_xlfn.CONCAT("THEME5=",$B39),SCENARIOS!$A$2,SCENARIOS!$B$2,1,YIELDS!M$1)</f>
        <v>6.68</v>
      </c>
      <c r="N39" cm="1">
        <f t="array" ref="N39">_xll.VALEURCOURBE($A$27,_xlfn.CONCAT("THEME5=",$B39),SCENARIOS!$A$2,SCENARIOS!$B$2,1,YIELDS!N$1)</f>
        <v>16.03</v>
      </c>
      <c r="O39" cm="1">
        <f t="array" ref="O39">_xll.VALEURCOURBE($A$27,_xlfn.CONCAT("THEME5=",$B39),SCENARIOS!$A$2,SCENARIOS!$B$2,1,YIELDS!O$1)</f>
        <v>25.34</v>
      </c>
      <c r="P39" cm="1">
        <f t="array" ref="P39">_xll.VALEURCOURBE($A$27,_xlfn.CONCAT("THEME5=",$B39),SCENARIOS!$A$2,SCENARIOS!$B$2,1,YIELDS!P$1)</f>
        <v>34.19</v>
      </c>
      <c r="Q39" cm="1">
        <f t="array" ref="Q39">_xll.VALEURCOURBE($A$27,_xlfn.CONCAT("THEME5=",$B39),SCENARIOS!$A$2,SCENARIOS!$B$2,1,YIELDS!Q$1)</f>
        <v>42.48</v>
      </c>
      <c r="R39" cm="1">
        <f t="array" ref="R39">_xll.VALEURCOURBE($A$27,_xlfn.CONCAT("THEME5=",$B39),SCENARIOS!$A$2,SCENARIOS!$B$2,1,YIELDS!R$1)</f>
        <v>50.12</v>
      </c>
      <c r="S39" cm="1">
        <f t="array" ref="S39">_xll.VALEURCOURBE($A$27,_xlfn.CONCAT("THEME5=",$B39),SCENARIOS!$A$2,SCENARIOS!$B$2,1,YIELDS!S$1)</f>
        <v>57.07</v>
      </c>
      <c r="T39" cm="1">
        <f t="array" ref="T39">_xll.VALEURCOURBE($A$27,_xlfn.CONCAT("THEME5=",$B39),SCENARIOS!$A$2,SCENARIOS!$B$2,1,YIELDS!T$1)</f>
        <v>63.31</v>
      </c>
      <c r="U39" cm="1">
        <f t="array" ref="U39">_xll.VALEURCOURBE($A$27,_xlfn.CONCAT("THEME5=",$B39),SCENARIOS!$A$2,SCENARIOS!$B$2,1,YIELDS!U$1)</f>
        <v>68.81</v>
      </c>
      <c r="V39" cm="1">
        <f t="array" ref="V39">_xll.VALEURCOURBE($A$27,_xlfn.CONCAT("THEME5=",$B39),SCENARIOS!$A$2,SCENARIOS!$B$2,1,YIELDS!V$1)</f>
        <v>73.63</v>
      </c>
    </row>
    <row r="40" spans="1:22" x14ac:dyDescent="0.25">
      <c r="A40" t="str">
        <v>YG_G_GFT</v>
      </c>
      <c r="B40" t="str">
        <v>FC3385</v>
      </c>
      <c r="C40" cm="1">
        <f t="array" ref="C40">_xll.VALEURCOURBE($A$27,_xlfn.CONCAT("THEME5=",$B40),SCENARIOS!$A$2,SCENARIOS!$B$2,1,YIELDS!C$1)</f>
        <v>0</v>
      </c>
      <c r="D40" cm="1">
        <f t="array" ref="D40">_xll.VALEURCOURBE($A$27,_xlfn.CONCAT("THEME5=",$B40),SCENARIOS!$A$2,SCENARIOS!$B$2,1,YIELDS!D$1)</f>
        <v>0</v>
      </c>
      <c r="E40" cm="1">
        <f t="array" ref="E40">_xll.VALEURCOURBE($A$27,_xlfn.CONCAT("THEME5=",$B40),SCENARIOS!$A$2,SCENARIOS!$B$2,1,YIELDS!E$1)</f>
        <v>0</v>
      </c>
      <c r="F40" cm="1">
        <f t="array" ref="F40">_xll.VALEURCOURBE($A$27,_xlfn.CONCAT("THEME5=",$B40),SCENARIOS!$A$2,SCENARIOS!$B$2,1,YIELDS!F$1)</f>
        <v>0</v>
      </c>
      <c r="G40" cm="1">
        <f t="array" ref="G40">_xll.VALEURCOURBE($A$27,_xlfn.CONCAT("THEME5=",$B40),SCENARIOS!$A$2,SCENARIOS!$B$2,1,YIELDS!G$1)</f>
        <v>0</v>
      </c>
      <c r="H40" cm="1">
        <f t="array" ref="H40">_xll.VALEURCOURBE($A$27,_xlfn.CONCAT("THEME5=",$B40),SCENARIOS!$A$2,SCENARIOS!$B$2,1,YIELDS!H$1)</f>
        <v>0</v>
      </c>
      <c r="I40" cm="1">
        <f t="array" ref="I40">_xll.VALEURCOURBE($A$27,_xlfn.CONCAT("THEME5=",$B40),SCENARIOS!$A$2,SCENARIOS!$B$2,1,YIELDS!I$1)</f>
        <v>8.3800000000000008</v>
      </c>
      <c r="J40" cm="1">
        <f t="array" ref="J40">_xll.VALEURCOURBE($A$27,_xlfn.CONCAT("THEME5=",$B40),SCENARIOS!$A$2,SCENARIOS!$B$2,1,YIELDS!J$1)</f>
        <v>19.68</v>
      </c>
      <c r="K40" cm="1">
        <f t="array" ref="K40">_xll.VALEURCOURBE($A$27,_xlfn.CONCAT("THEME5=",$B40),SCENARIOS!$A$2,SCENARIOS!$B$2,1,YIELDS!K$1)</f>
        <v>30.1</v>
      </c>
      <c r="L40" cm="1">
        <f t="array" ref="L40">_xll.VALEURCOURBE($A$27,_xlfn.CONCAT("THEME5=",$B40),SCENARIOS!$A$2,SCENARIOS!$B$2,1,YIELDS!L$1)</f>
        <v>39.96</v>
      </c>
      <c r="M40" cm="1">
        <f t="array" ref="M40">_xll.VALEURCOURBE($A$27,_xlfn.CONCAT("THEME5=",$B40),SCENARIOS!$A$2,SCENARIOS!$B$2,1,YIELDS!M$1)</f>
        <v>49.33</v>
      </c>
      <c r="N40" cm="1">
        <f t="array" ref="N40">_xll.VALEURCOURBE($A$27,_xlfn.CONCAT("THEME5=",$B40),SCENARIOS!$A$2,SCENARIOS!$B$2,1,YIELDS!N$1)</f>
        <v>58.02</v>
      </c>
      <c r="O40" cm="1">
        <f t="array" ref="O40">_xll.VALEURCOURBE($A$27,_xlfn.CONCAT("THEME5=",$B40),SCENARIOS!$A$2,SCENARIOS!$B$2,1,YIELDS!O$1)</f>
        <v>65.989999999999995</v>
      </c>
      <c r="P40" cm="1">
        <f t="array" ref="P40">_xll.VALEURCOURBE($A$27,_xlfn.CONCAT("THEME5=",$B40),SCENARIOS!$A$2,SCENARIOS!$B$2,1,YIELDS!P$1)</f>
        <v>73.16</v>
      </c>
      <c r="Q40" cm="1">
        <f t="array" ref="Q40">_xll.VALEURCOURBE($A$27,_xlfn.CONCAT("THEME5=",$B40),SCENARIOS!$A$2,SCENARIOS!$B$2,1,YIELDS!Q$1)</f>
        <v>79.489999999999995</v>
      </c>
      <c r="R40" cm="1">
        <f t="array" ref="R40">_xll.VALEURCOURBE($A$27,_xlfn.CONCAT("THEME5=",$B40),SCENARIOS!$A$2,SCENARIOS!$B$2,1,YIELDS!R$1)</f>
        <v>84.97</v>
      </c>
      <c r="S40" cm="1">
        <f t="array" ref="S40">_xll.VALEURCOURBE($A$27,_xlfn.CONCAT("THEME5=",$B40),SCENARIOS!$A$2,SCENARIOS!$B$2,1,YIELDS!S$1)</f>
        <v>89.59</v>
      </c>
      <c r="T40" cm="1">
        <f t="array" ref="T40">_xll.VALEURCOURBE($A$27,_xlfn.CONCAT("THEME5=",$B40),SCENARIOS!$A$2,SCENARIOS!$B$2,1,YIELDS!T$1)</f>
        <v>93.39</v>
      </c>
      <c r="U40" cm="1">
        <f t="array" ref="U40">_xll.VALEURCOURBE($A$27,_xlfn.CONCAT("THEME5=",$B40),SCENARIOS!$A$2,SCENARIOS!$B$2,1,YIELDS!U$1)</f>
        <v>96.35</v>
      </c>
      <c r="V40" cm="1">
        <f t="array" ref="V40">_xll.VALEURCOURBE($A$27,_xlfn.CONCAT("THEME5=",$B40),SCENARIOS!$A$2,SCENARIOS!$B$2,1,YIELDS!V$1)</f>
        <v>98.55</v>
      </c>
    </row>
    <row r="41" spans="1:22" x14ac:dyDescent="0.25">
      <c r="A41" t="str">
        <v>YG_G_GLONGE</v>
      </c>
      <c r="B41" t="str">
        <v>FC3386</v>
      </c>
      <c r="C41" cm="1">
        <f t="array" ref="C41">_xll.VALEURCOURBE($A$27,_xlfn.CONCAT("THEME5=",$B41),SCENARIOS!$A$2,SCENARIOS!$B$2,1,YIELDS!C$1)</f>
        <v>0</v>
      </c>
      <c r="D41" cm="1">
        <f t="array" ref="D41">_xll.VALEURCOURBE($A$27,_xlfn.CONCAT("THEME5=",$B41),SCENARIOS!$A$2,SCENARIOS!$B$2,1,YIELDS!D$1)</f>
        <v>0</v>
      </c>
      <c r="E41" cm="1">
        <f t="array" ref="E41">_xll.VALEURCOURBE($A$27,_xlfn.CONCAT("THEME5=",$B41),SCENARIOS!$A$2,SCENARIOS!$B$2,1,YIELDS!E$1)</f>
        <v>0</v>
      </c>
      <c r="F41" cm="1">
        <f t="array" ref="F41">_xll.VALEURCOURBE($A$27,_xlfn.CONCAT("THEME5=",$B41),SCENARIOS!$A$2,SCENARIOS!$B$2,1,YIELDS!F$1)</f>
        <v>0</v>
      </c>
      <c r="G41" cm="1">
        <f t="array" ref="G41">_xll.VALEURCOURBE($A$27,_xlfn.CONCAT("THEME5=",$B41),SCENARIOS!$A$2,SCENARIOS!$B$2,1,YIELDS!G$1)</f>
        <v>0</v>
      </c>
      <c r="H41" cm="1">
        <f t="array" ref="H41">_xll.VALEURCOURBE($A$27,_xlfn.CONCAT("THEME5=",$B41),SCENARIOS!$A$2,SCENARIOS!$B$2,1,YIELDS!H$1)</f>
        <v>0</v>
      </c>
      <c r="I41" cm="1">
        <f t="array" ref="I41">_xll.VALEURCOURBE($A$27,_xlfn.CONCAT("THEME5=",$B41),SCENARIOS!$A$2,SCENARIOS!$B$2,1,YIELDS!I$1)</f>
        <v>8.3800000000000008</v>
      </c>
      <c r="J41" cm="1">
        <f t="array" ref="J41">_xll.VALEURCOURBE($A$27,_xlfn.CONCAT("THEME5=",$B41),SCENARIOS!$A$2,SCENARIOS!$B$2,1,YIELDS!J$1)</f>
        <v>19.68</v>
      </c>
      <c r="K41" cm="1">
        <f t="array" ref="K41">_xll.VALEURCOURBE($A$27,_xlfn.CONCAT("THEME5=",$B41),SCENARIOS!$A$2,SCENARIOS!$B$2,1,YIELDS!K$1)</f>
        <v>30.1</v>
      </c>
      <c r="L41" cm="1">
        <f t="array" ref="L41">_xll.VALEURCOURBE($A$27,_xlfn.CONCAT("THEME5=",$B41),SCENARIOS!$A$2,SCENARIOS!$B$2,1,YIELDS!L$1)</f>
        <v>39.96</v>
      </c>
      <c r="M41" cm="1">
        <f t="array" ref="M41">_xll.VALEURCOURBE($A$27,_xlfn.CONCAT("THEME5=",$B41),SCENARIOS!$A$2,SCENARIOS!$B$2,1,YIELDS!M$1)</f>
        <v>49.33</v>
      </c>
      <c r="N41" cm="1">
        <f t="array" ref="N41">_xll.VALEURCOURBE($A$27,_xlfn.CONCAT("THEME5=",$B41),SCENARIOS!$A$2,SCENARIOS!$B$2,1,YIELDS!N$1)</f>
        <v>58.02</v>
      </c>
      <c r="O41" cm="1">
        <f t="array" ref="O41">_xll.VALEURCOURBE($A$27,_xlfn.CONCAT("THEME5=",$B41),SCENARIOS!$A$2,SCENARIOS!$B$2,1,YIELDS!O$1)</f>
        <v>65.989999999999995</v>
      </c>
      <c r="P41" cm="1">
        <f t="array" ref="P41">_xll.VALEURCOURBE($A$27,_xlfn.CONCAT("THEME5=",$B41),SCENARIOS!$A$2,SCENARIOS!$B$2,1,YIELDS!P$1)</f>
        <v>73.16</v>
      </c>
      <c r="Q41" cm="1">
        <f t="array" ref="Q41">_xll.VALEURCOURBE($A$27,_xlfn.CONCAT("THEME5=",$B41),SCENARIOS!$A$2,SCENARIOS!$B$2,1,YIELDS!Q$1)</f>
        <v>79.489999999999995</v>
      </c>
      <c r="R41" cm="1">
        <f t="array" ref="R41">_xll.VALEURCOURBE($A$27,_xlfn.CONCAT("THEME5=",$B41),SCENARIOS!$A$2,SCENARIOS!$B$2,1,YIELDS!R$1)</f>
        <v>84.97</v>
      </c>
      <c r="S41" cm="1">
        <f t="array" ref="S41">_xll.VALEURCOURBE($A$27,_xlfn.CONCAT("THEME5=",$B41),SCENARIOS!$A$2,SCENARIOS!$B$2,1,YIELDS!S$1)</f>
        <v>89.59</v>
      </c>
      <c r="T41" cm="1">
        <f t="array" ref="T41">_xll.VALEURCOURBE($A$27,_xlfn.CONCAT("THEME5=",$B41),SCENARIOS!$A$2,SCENARIOS!$B$2,1,YIELDS!T$1)</f>
        <v>93.39</v>
      </c>
      <c r="U41" cm="1">
        <f t="array" ref="U41">_xll.VALEURCOURBE($A$27,_xlfn.CONCAT("THEME5=",$B41),SCENARIOS!$A$2,SCENARIOS!$B$2,1,YIELDS!U$1)</f>
        <v>96.35</v>
      </c>
      <c r="V41" cm="1">
        <f t="array" ref="V41">_xll.VALEURCOURBE($A$27,_xlfn.CONCAT("THEME5=",$B41),SCENARIOS!$A$2,SCENARIOS!$B$2,1,YIELDS!V$1)</f>
        <v>98.55</v>
      </c>
    </row>
    <row r="42" spans="1:22" x14ac:dyDescent="0.25">
      <c r="A42" t="str">
        <v>YG_G_GML</v>
      </c>
      <c r="B42" t="str">
        <v>FC3387</v>
      </c>
      <c r="C42" cm="1">
        <f t="array" ref="C42">_xll.VALEURCOURBE($A$27,_xlfn.CONCAT("THEME5=",$B42),SCENARIOS!$A$2,SCENARIOS!$B$2,1,YIELDS!C$1)</f>
        <v>0</v>
      </c>
      <c r="D42" cm="1">
        <f t="array" ref="D42">_xll.VALEURCOURBE($A$27,_xlfn.CONCAT("THEME5=",$B42),SCENARIOS!$A$2,SCENARIOS!$B$2,1,YIELDS!D$1)</f>
        <v>0</v>
      </c>
      <c r="E42" cm="1">
        <f t="array" ref="E42">_xll.VALEURCOURBE($A$27,_xlfn.CONCAT("THEME5=",$B42),SCENARIOS!$A$2,SCENARIOS!$B$2,1,YIELDS!E$1)</f>
        <v>0</v>
      </c>
      <c r="F42" cm="1">
        <f t="array" ref="F42">_xll.VALEURCOURBE($A$27,_xlfn.CONCAT("THEME5=",$B42),SCENARIOS!$A$2,SCENARIOS!$B$2,1,YIELDS!F$1)</f>
        <v>0</v>
      </c>
      <c r="G42" cm="1">
        <f t="array" ref="G42">_xll.VALEURCOURBE($A$27,_xlfn.CONCAT("THEME5=",$B42),SCENARIOS!$A$2,SCENARIOS!$B$2,1,YIELDS!G$1)</f>
        <v>0</v>
      </c>
      <c r="H42" cm="1">
        <f t="array" ref="H42">_xll.VALEURCOURBE($A$27,_xlfn.CONCAT("THEME5=",$B42),SCENARIOS!$A$2,SCENARIOS!$B$2,1,YIELDS!H$1)</f>
        <v>0</v>
      </c>
      <c r="I42" cm="1">
        <f t="array" ref="I42">_xll.VALEURCOURBE($A$27,_xlfn.CONCAT("THEME5=",$B42),SCENARIOS!$A$2,SCENARIOS!$B$2,1,YIELDS!I$1)</f>
        <v>0</v>
      </c>
      <c r="J42" cm="1">
        <f t="array" ref="J42">_xll.VALEURCOURBE($A$27,_xlfn.CONCAT("THEME5=",$B42),SCENARIOS!$A$2,SCENARIOS!$B$2,1,YIELDS!J$1)</f>
        <v>0</v>
      </c>
      <c r="K42" cm="1">
        <f t="array" ref="K42">_xll.VALEURCOURBE($A$27,_xlfn.CONCAT("THEME5=",$B42),SCENARIOS!$A$2,SCENARIOS!$B$2,1,YIELDS!K$1)</f>
        <v>0</v>
      </c>
      <c r="L42" cm="1">
        <f t="array" ref="L42">_xll.VALEURCOURBE($A$27,_xlfn.CONCAT("THEME5=",$B42),SCENARIOS!$A$2,SCENARIOS!$B$2,1,YIELDS!L$1)</f>
        <v>0</v>
      </c>
      <c r="M42" cm="1">
        <f t="array" ref="M42">_xll.VALEURCOURBE($A$27,_xlfn.CONCAT("THEME5=",$B42),SCENARIOS!$A$2,SCENARIOS!$B$2,1,YIELDS!M$1)</f>
        <v>0</v>
      </c>
      <c r="N42" cm="1">
        <f t="array" ref="N42">_xll.VALEURCOURBE($A$27,_xlfn.CONCAT("THEME5=",$B42),SCENARIOS!$A$2,SCENARIOS!$B$2,1,YIELDS!N$1)</f>
        <v>1.62</v>
      </c>
      <c r="O42" cm="1">
        <f t="array" ref="O42">_xll.VALEURCOURBE($A$27,_xlfn.CONCAT("THEME5=",$B42),SCENARIOS!$A$2,SCENARIOS!$B$2,1,YIELDS!O$1)</f>
        <v>5.94</v>
      </c>
      <c r="P42" cm="1">
        <f t="array" ref="P42">_xll.VALEURCOURBE($A$27,_xlfn.CONCAT("THEME5=",$B42),SCENARIOS!$A$2,SCENARIOS!$B$2,1,YIELDS!P$1)</f>
        <v>10.24</v>
      </c>
      <c r="Q42" cm="1">
        <f t="array" ref="Q42">_xll.VALEURCOURBE($A$27,_xlfn.CONCAT("THEME5=",$B42),SCENARIOS!$A$2,SCENARIOS!$B$2,1,YIELDS!Q$1)</f>
        <v>14.49</v>
      </c>
      <c r="R42" cm="1">
        <f t="array" ref="R42">_xll.VALEURCOURBE($A$27,_xlfn.CONCAT("THEME5=",$B42),SCENARIOS!$A$2,SCENARIOS!$B$2,1,YIELDS!R$1)</f>
        <v>18.62</v>
      </c>
      <c r="S42" cm="1">
        <f t="array" ref="S42">_xll.VALEURCOURBE($A$27,_xlfn.CONCAT("THEME5=",$B42),SCENARIOS!$A$2,SCENARIOS!$B$2,1,YIELDS!S$1)</f>
        <v>22.61</v>
      </c>
      <c r="T42" cm="1">
        <f t="array" ref="T42">_xll.VALEURCOURBE($A$27,_xlfn.CONCAT("THEME5=",$B42),SCENARIOS!$A$2,SCENARIOS!$B$2,1,YIELDS!T$1)</f>
        <v>26.41</v>
      </c>
      <c r="U42" cm="1">
        <f t="array" ref="U42">_xll.VALEURCOURBE($A$27,_xlfn.CONCAT("THEME5=",$B42),SCENARIOS!$A$2,SCENARIOS!$B$2,1,YIELDS!U$1)</f>
        <v>30.01</v>
      </c>
      <c r="V42" cm="1">
        <f t="array" ref="V42">_xll.VALEURCOURBE($A$27,_xlfn.CONCAT("THEME5=",$B42),SCENARIOS!$A$2,SCENARIOS!$B$2,1,YIELDS!V$1)</f>
        <v>33.369999999999997</v>
      </c>
    </row>
    <row r="43" spans="1:22" x14ac:dyDescent="0.25">
      <c r="A43" t="str">
        <v>YG_G_GPEU</v>
      </c>
      <c r="B43" t="str">
        <v>FC3389</v>
      </c>
      <c r="C43" cm="1">
        <f t="array" ref="C43">_xll.VALEURCOURBE($A$27,_xlfn.CONCAT("THEME5=",$B43),SCENARIOS!$A$2,SCENARIOS!$B$2,1,YIELDS!C$1)</f>
        <v>0</v>
      </c>
      <c r="D43" cm="1">
        <f t="array" ref="D43">_xll.VALEURCOURBE($A$27,_xlfn.CONCAT("THEME5=",$B43),SCENARIOS!$A$2,SCENARIOS!$B$2,1,YIELDS!D$1)</f>
        <v>0</v>
      </c>
      <c r="E43" cm="1">
        <f t="array" ref="E43">_xll.VALEURCOURBE($A$27,_xlfn.CONCAT("THEME5=",$B43),SCENARIOS!$A$2,SCENARIOS!$B$2,1,YIELDS!E$1)</f>
        <v>0</v>
      </c>
      <c r="F43" cm="1">
        <f t="array" ref="F43">_xll.VALEURCOURBE($A$27,_xlfn.CONCAT("THEME5=",$B43),SCENARIOS!$A$2,SCENARIOS!$B$2,1,YIELDS!F$1)</f>
        <v>0</v>
      </c>
      <c r="G43" cm="1">
        <f t="array" ref="G43">_xll.VALEURCOURBE($A$27,_xlfn.CONCAT("THEME5=",$B43),SCENARIOS!$A$2,SCENARIOS!$B$2,1,YIELDS!G$1)</f>
        <v>0</v>
      </c>
      <c r="H43" cm="1">
        <f t="array" ref="H43">_xll.VALEURCOURBE($A$27,_xlfn.CONCAT("THEME5=",$B43),SCENARIOS!$A$2,SCENARIOS!$B$2,1,YIELDS!H$1)</f>
        <v>1.55</v>
      </c>
      <c r="I43" cm="1">
        <f t="array" ref="I43">_xll.VALEURCOURBE($A$27,_xlfn.CONCAT("THEME5=",$B43),SCENARIOS!$A$2,SCENARIOS!$B$2,1,YIELDS!I$1)</f>
        <v>3.98</v>
      </c>
      <c r="J43" cm="1">
        <f t="array" ref="J43">_xll.VALEURCOURBE($A$27,_xlfn.CONCAT("THEME5=",$B43),SCENARIOS!$A$2,SCENARIOS!$B$2,1,YIELDS!J$1)</f>
        <v>6.49</v>
      </c>
      <c r="K43" cm="1">
        <f t="array" ref="K43">_xll.VALEURCOURBE($A$27,_xlfn.CONCAT("THEME5=",$B43),SCENARIOS!$A$2,SCENARIOS!$B$2,1,YIELDS!K$1)</f>
        <v>9.02</v>
      </c>
      <c r="L43" cm="1">
        <f t="array" ref="L43">_xll.VALEURCOURBE($A$27,_xlfn.CONCAT("THEME5=",$B43),SCENARIOS!$A$2,SCENARIOS!$B$2,1,YIELDS!L$1)</f>
        <v>11.51</v>
      </c>
      <c r="M43" cm="1">
        <f t="array" ref="M43">_xll.VALEURCOURBE($A$27,_xlfn.CONCAT("THEME5=",$B43),SCENARIOS!$A$2,SCENARIOS!$B$2,1,YIELDS!M$1)</f>
        <v>13.93</v>
      </c>
      <c r="N43" cm="1">
        <f t="array" ref="N43">_xll.VALEURCOURBE($A$27,_xlfn.CONCAT("THEME5=",$B43),SCENARIOS!$A$2,SCENARIOS!$B$2,1,YIELDS!N$1)</f>
        <v>16.239999999999998</v>
      </c>
      <c r="O43" cm="1">
        <f t="array" ref="O43">_xll.VALEURCOURBE($A$27,_xlfn.CONCAT("THEME5=",$B43),SCENARIOS!$A$2,SCENARIOS!$B$2,1,YIELDS!O$1)</f>
        <v>18.39</v>
      </c>
      <c r="P43" cm="1">
        <f t="array" ref="P43">_xll.VALEURCOURBE($A$27,_xlfn.CONCAT("THEME5=",$B43),SCENARIOS!$A$2,SCENARIOS!$B$2,1,YIELDS!P$1)</f>
        <v>20.38</v>
      </c>
      <c r="Q43" cm="1">
        <f t="array" ref="Q43">_xll.VALEURCOURBE($A$27,_xlfn.CONCAT("THEME5=",$B43),SCENARIOS!$A$2,SCENARIOS!$B$2,1,YIELDS!Q$1)</f>
        <v>22.18</v>
      </c>
      <c r="R43" cm="1">
        <f t="array" ref="R43">_xll.VALEURCOURBE($A$27,_xlfn.CONCAT("THEME5=",$B43),SCENARIOS!$A$2,SCENARIOS!$B$2,1,YIELDS!R$1)</f>
        <v>23.8</v>
      </c>
      <c r="S43" cm="1">
        <f t="array" ref="S43">_xll.VALEURCOURBE($A$27,_xlfn.CONCAT("THEME5=",$B43),SCENARIOS!$A$2,SCENARIOS!$B$2,1,YIELDS!S$1)</f>
        <v>25.22</v>
      </c>
      <c r="T43" cm="1">
        <f t="array" ref="T43">_xll.VALEURCOURBE($A$27,_xlfn.CONCAT("THEME5=",$B43),SCENARIOS!$A$2,SCENARIOS!$B$2,1,YIELDS!T$1)</f>
        <v>26.45</v>
      </c>
      <c r="U43" cm="1">
        <f t="array" ref="U43">_xll.VALEURCOURBE($A$27,_xlfn.CONCAT("THEME5=",$B43),SCENARIOS!$A$2,SCENARIOS!$B$2,1,YIELDS!U$1)</f>
        <v>27.47</v>
      </c>
      <c r="V43" cm="1">
        <f t="array" ref="V43">_xll.VALEURCOURBE($A$27,_xlfn.CONCAT("THEME5=",$B43),SCENARIOS!$A$2,SCENARIOS!$B$2,1,YIELDS!V$1)</f>
        <v>28.31</v>
      </c>
    </row>
    <row r="44" spans="1:22" x14ac:dyDescent="0.25">
      <c r="A44" t="str">
        <v>YG_G_GPG</v>
      </c>
      <c r="B44" t="str">
        <v>FC4322</v>
      </c>
      <c r="C44" cm="1">
        <f t="array" ref="C44">_xll.VALEURCOURBE($A$27,_xlfn.CONCAT("THEME5=",$B44),SCENARIOS!$A$2,SCENARIOS!$B$2,1,YIELDS!C$1)</f>
        <v>0</v>
      </c>
      <c r="D44" cm="1">
        <f t="array" ref="D44">_xll.VALEURCOURBE($A$27,_xlfn.CONCAT("THEME5=",$B44),SCENARIOS!$A$2,SCENARIOS!$B$2,1,YIELDS!D$1)</f>
        <v>0</v>
      </c>
      <c r="E44" cm="1">
        <f t="array" ref="E44">_xll.VALEURCOURBE($A$27,_xlfn.CONCAT("THEME5=",$B44),SCENARIOS!$A$2,SCENARIOS!$B$2,1,YIELDS!E$1)</f>
        <v>0</v>
      </c>
      <c r="F44" cm="1">
        <f t="array" ref="F44">_xll.VALEURCOURBE($A$27,_xlfn.CONCAT("THEME5=",$B44),SCENARIOS!$A$2,SCENARIOS!$B$2,1,YIELDS!F$1)</f>
        <v>3.97</v>
      </c>
      <c r="G44" cm="1">
        <f t="array" ref="G44">_xll.VALEURCOURBE($A$27,_xlfn.CONCAT("THEME5=",$B44),SCENARIOS!$A$2,SCENARIOS!$B$2,1,YIELDS!G$1)</f>
        <v>7.95</v>
      </c>
      <c r="H44" cm="1">
        <f t="array" ref="H44">_xll.VALEURCOURBE($A$27,_xlfn.CONCAT("THEME5=",$B44),SCENARIOS!$A$2,SCENARIOS!$B$2,1,YIELDS!H$1)</f>
        <v>14.2</v>
      </c>
      <c r="I44" cm="1">
        <f t="array" ref="I44">_xll.VALEURCOURBE($A$27,_xlfn.CONCAT("THEME5=",$B44),SCENARIOS!$A$2,SCENARIOS!$B$2,1,YIELDS!I$1)</f>
        <v>24.25</v>
      </c>
      <c r="J44" cm="1">
        <f t="array" ref="J44">_xll.VALEURCOURBE($A$27,_xlfn.CONCAT("THEME5=",$B44),SCENARIOS!$A$2,SCENARIOS!$B$2,1,YIELDS!J$1)</f>
        <v>37.049999999999997</v>
      </c>
      <c r="K44" cm="1">
        <f t="array" ref="K44">_xll.VALEURCOURBE($A$27,_xlfn.CONCAT("THEME5=",$B44),SCENARIOS!$A$2,SCENARIOS!$B$2,1,YIELDS!K$1)</f>
        <v>51.72</v>
      </c>
      <c r="L44" cm="1">
        <f t="array" ref="L44">_xll.VALEURCOURBE($A$27,_xlfn.CONCAT("THEME5=",$B44),SCENARIOS!$A$2,SCENARIOS!$B$2,1,YIELDS!L$1)</f>
        <v>67.38</v>
      </c>
      <c r="M44" cm="1">
        <f t="array" ref="M44">_xll.VALEURCOURBE($A$27,_xlfn.CONCAT("THEME5=",$B44),SCENARIOS!$A$2,SCENARIOS!$B$2,1,YIELDS!M$1)</f>
        <v>83.3</v>
      </c>
      <c r="N44" cm="1">
        <f t="array" ref="N44">_xll.VALEURCOURBE($A$27,_xlfn.CONCAT("THEME5=",$B44),SCENARIOS!$A$2,SCENARIOS!$B$2,1,YIELDS!N$1)</f>
        <v>98.94</v>
      </c>
      <c r="O44" cm="1">
        <f t="array" ref="O44">_xll.VALEURCOURBE($A$27,_xlfn.CONCAT("THEME5=",$B44),SCENARIOS!$A$2,SCENARIOS!$B$2,1,YIELDS!O$1)</f>
        <v>113.82</v>
      </c>
      <c r="P44" cm="1">
        <f t="array" ref="P44">_xll.VALEURCOURBE($A$27,_xlfn.CONCAT("THEME5=",$B44),SCENARIOS!$A$2,SCENARIOS!$B$2,1,YIELDS!P$1)</f>
        <v>127.65</v>
      </c>
      <c r="Q44" cm="1">
        <f t="array" ref="Q44">_xll.VALEURCOURBE($A$27,_xlfn.CONCAT("THEME5=",$B44),SCENARIOS!$A$2,SCENARIOS!$B$2,1,YIELDS!Q$1)</f>
        <v>140.15</v>
      </c>
      <c r="R44" cm="1">
        <f t="array" ref="R44">_xll.VALEURCOURBE($A$27,_xlfn.CONCAT("THEME5=",$B44),SCENARIOS!$A$2,SCENARIOS!$B$2,1,YIELDS!R$1)</f>
        <v>151.16999999999999</v>
      </c>
      <c r="S44" cm="1">
        <f t="array" ref="S44">_xll.VALEURCOURBE($A$27,_xlfn.CONCAT("THEME5=",$B44),SCENARIOS!$A$2,SCENARIOS!$B$2,1,YIELDS!S$1)</f>
        <v>160.62</v>
      </c>
      <c r="T44" cm="1">
        <f t="array" ref="T44">_xll.VALEURCOURBE($A$27,_xlfn.CONCAT("THEME5=",$B44),SCENARIOS!$A$2,SCENARIOS!$B$2,1,YIELDS!T$1)</f>
        <v>168.48</v>
      </c>
      <c r="U44" cm="1">
        <f t="array" ref="U44">_xll.VALEURCOURBE($A$27,_xlfn.CONCAT("THEME5=",$B44),SCENARIOS!$A$2,SCENARIOS!$B$2,1,YIELDS!U$1)</f>
        <v>174.76</v>
      </c>
      <c r="V44" cm="1">
        <f t="array" ref="V44">_xll.VALEURCOURBE($A$27,_xlfn.CONCAT("THEME5=",$B44),SCENARIOS!$A$2,SCENARIOS!$B$2,1,YIELDS!V$1)</f>
        <v>179.55</v>
      </c>
    </row>
    <row r="45" spans="1:22" x14ac:dyDescent="0.25">
      <c r="A45" t="str">
        <v>YG_G_GPINS</v>
      </c>
      <c r="B45" t="str">
        <v>FC4336</v>
      </c>
      <c r="C45" cm="1">
        <f t="array" ref="C45">_xll.VALEURCOURBE($A$27,_xlfn.CONCAT("THEME5=",$B45),SCENARIOS!$A$2,SCENARIOS!$B$2,1,YIELDS!C$1)</f>
        <v>0</v>
      </c>
      <c r="D45" cm="1">
        <f t="array" ref="D45">_xll.VALEURCOURBE($A$27,_xlfn.CONCAT("THEME5=",$B45),SCENARIOS!$A$2,SCENARIOS!$B$2,1,YIELDS!D$1)</f>
        <v>0</v>
      </c>
      <c r="E45" cm="1">
        <f t="array" ref="E45">_xll.VALEURCOURBE($A$27,_xlfn.CONCAT("THEME5=",$B45),SCENARIOS!$A$2,SCENARIOS!$B$2,1,YIELDS!E$1)</f>
        <v>2.6</v>
      </c>
      <c r="F45" cm="1">
        <f t="array" ref="F45">_xll.VALEURCOURBE($A$27,_xlfn.CONCAT("THEME5=",$B45),SCENARIOS!$A$2,SCENARIOS!$B$2,1,YIELDS!F$1)</f>
        <v>2.4500000000000002</v>
      </c>
      <c r="G45" cm="1">
        <f t="array" ref="G45">_xll.VALEURCOURBE($A$27,_xlfn.CONCAT("THEME5=",$B45),SCENARIOS!$A$2,SCENARIOS!$B$2,1,YIELDS!G$1)</f>
        <v>4.1900000000000004</v>
      </c>
      <c r="H45" cm="1">
        <f t="array" ref="H45">_xll.VALEURCOURBE($A$27,_xlfn.CONCAT("THEME5=",$B45),SCENARIOS!$A$2,SCENARIOS!$B$2,1,YIELDS!H$1)</f>
        <v>7.35</v>
      </c>
      <c r="I45" cm="1">
        <f t="array" ref="I45">_xll.VALEURCOURBE($A$27,_xlfn.CONCAT("THEME5=",$B45),SCENARIOS!$A$2,SCENARIOS!$B$2,1,YIELDS!I$1)</f>
        <v>11.46</v>
      </c>
      <c r="J45" cm="1">
        <f t="array" ref="J45">_xll.VALEURCOURBE($A$27,_xlfn.CONCAT("THEME5=",$B45),SCENARIOS!$A$2,SCENARIOS!$B$2,1,YIELDS!J$1)</f>
        <v>16.12</v>
      </c>
      <c r="K45" cm="1">
        <f t="array" ref="K45">_xll.VALEURCOURBE($A$27,_xlfn.CONCAT("THEME5=",$B45),SCENARIOS!$A$2,SCENARIOS!$B$2,1,YIELDS!K$1)</f>
        <v>21.01</v>
      </c>
      <c r="L45" cm="1">
        <f t="array" ref="L45">_xll.VALEURCOURBE($A$27,_xlfn.CONCAT("THEME5=",$B45),SCENARIOS!$A$2,SCENARIOS!$B$2,1,YIELDS!L$1)</f>
        <v>25.9</v>
      </c>
      <c r="M45" cm="1">
        <f t="array" ref="M45">_xll.VALEURCOURBE($A$27,_xlfn.CONCAT("THEME5=",$B45),SCENARIOS!$A$2,SCENARIOS!$B$2,1,YIELDS!M$1)</f>
        <v>30.58</v>
      </c>
      <c r="N45" cm="1">
        <f t="array" ref="N45">_xll.VALEURCOURBE($A$27,_xlfn.CONCAT("THEME5=",$B45),SCENARIOS!$A$2,SCENARIOS!$B$2,1,YIELDS!N$1)</f>
        <v>34.9</v>
      </c>
      <c r="O45" cm="1">
        <f t="array" ref="O45">_xll.VALEURCOURBE($A$27,_xlfn.CONCAT("THEME5=",$B45),SCENARIOS!$A$2,SCENARIOS!$B$2,1,YIELDS!O$1)</f>
        <v>38.770000000000003</v>
      </c>
      <c r="P45" cm="1">
        <f t="array" ref="P45">_xll.VALEURCOURBE($A$27,_xlfn.CONCAT("THEME5=",$B45),SCENARIOS!$A$2,SCENARIOS!$B$2,1,YIELDS!P$1)</f>
        <v>42.12</v>
      </c>
      <c r="Q45" cm="1">
        <f t="array" ref="Q45">_xll.VALEURCOURBE($A$27,_xlfn.CONCAT("THEME5=",$B45),SCENARIOS!$A$2,SCENARIOS!$B$2,1,YIELDS!Q$1)</f>
        <v>44.92</v>
      </c>
      <c r="R45" cm="1">
        <f t="array" ref="R45">_xll.VALEURCOURBE($A$27,_xlfn.CONCAT("THEME5=",$B45),SCENARIOS!$A$2,SCENARIOS!$B$2,1,YIELDS!R$1)</f>
        <v>47.16</v>
      </c>
      <c r="S45" cm="1">
        <f t="array" ref="S45">_xll.VALEURCOURBE($A$27,_xlfn.CONCAT("THEME5=",$B45),SCENARIOS!$A$2,SCENARIOS!$B$2,1,YIELDS!S$1)</f>
        <v>48.86</v>
      </c>
      <c r="T45" cm="1">
        <f t="array" ref="T45">_xll.VALEURCOURBE($A$27,_xlfn.CONCAT("THEME5=",$B45),SCENARIOS!$A$2,SCENARIOS!$B$2,1,YIELDS!T$1)</f>
        <v>50.05</v>
      </c>
      <c r="U45" cm="1">
        <f t="array" ref="U45">_xll.VALEURCOURBE($A$27,_xlfn.CONCAT("THEME5=",$B45),SCENARIOS!$A$2,SCENARIOS!$B$2,1,YIELDS!U$1)</f>
        <v>50.78</v>
      </c>
      <c r="V45" cm="1">
        <f t="array" ref="V45">_xll.VALEURCOURBE($A$27,_xlfn.CONCAT("THEME5=",$B45),SCENARIOS!$A$2,SCENARIOS!$B$2,1,YIELDS!V$1)</f>
        <v>51.08</v>
      </c>
    </row>
    <row r="46" spans="1:22" x14ac:dyDescent="0.25">
      <c r="A46" t="str">
        <v>YG_G_GR</v>
      </c>
      <c r="B46" t="str">
        <v>FC4339</v>
      </c>
      <c r="C46" cm="1">
        <f t="array" ref="C46">_xll.VALEURCOURBE($A$27,_xlfn.CONCAT("THEME5=",$B46),SCENARIOS!$A$2,SCENARIOS!$B$2,1,YIELDS!C$1)</f>
        <v>0</v>
      </c>
      <c r="D46" cm="1">
        <f t="array" ref="D46">_xll.VALEURCOURBE($A$27,_xlfn.CONCAT("THEME5=",$B46),SCENARIOS!$A$2,SCENARIOS!$B$2,1,YIELDS!D$1)</f>
        <v>0</v>
      </c>
      <c r="E46" cm="1">
        <f t="array" ref="E46">_xll.VALEURCOURBE($A$27,_xlfn.CONCAT("THEME5=",$B46),SCENARIOS!$A$2,SCENARIOS!$B$2,1,YIELDS!E$1)</f>
        <v>0</v>
      </c>
      <c r="F46" cm="1">
        <f t="array" ref="F46">_xll.VALEURCOURBE($A$27,_xlfn.CONCAT("THEME5=",$B46),SCENARIOS!$A$2,SCENARIOS!$B$2,1,YIELDS!F$1)</f>
        <v>3.18</v>
      </c>
      <c r="G46" cm="1">
        <f t="array" ref="G46">_xll.VALEURCOURBE($A$27,_xlfn.CONCAT("THEME5=",$B46),SCENARIOS!$A$2,SCENARIOS!$B$2,1,YIELDS!G$1)</f>
        <v>7.71</v>
      </c>
      <c r="H46" cm="1">
        <f t="array" ref="H46">_xll.VALEURCOURBE($A$27,_xlfn.CONCAT("THEME5=",$B46),SCENARIOS!$A$2,SCENARIOS!$B$2,1,YIELDS!H$1)</f>
        <v>14.06</v>
      </c>
      <c r="I46" cm="1">
        <f t="array" ref="I46">_xll.VALEURCOURBE($A$27,_xlfn.CONCAT("THEME5=",$B46),SCENARIOS!$A$2,SCENARIOS!$B$2,1,YIELDS!I$1)</f>
        <v>21.55</v>
      </c>
      <c r="J46" cm="1">
        <f t="array" ref="J46">_xll.VALEURCOURBE($A$27,_xlfn.CONCAT("THEME5=",$B46),SCENARIOS!$A$2,SCENARIOS!$B$2,1,YIELDS!J$1)</f>
        <v>29.62</v>
      </c>
      <c r="K46" cm="1">
        <f t="array" ref="K46">_xll.VALEURCOURBE($A$27,_xlfn.CONCAT("THEME5=",$B46),SCENARIOS!$A$2,SCENARIOS!$B$2,1,YIELDS!K$1)</f>
        <v>37.82</v>
      </c>
      <c r="L46" cm="1">
        <f t="array" ref="L46">_xll.VALEURCOURBE($A$27,_xlfn.CONCAT("THEME5=",$B46),SCENARIOS!$A$2,SCENARIOS!$B$2,1,YIELDS!L$1)</f>
        <v>45.8</v>
      </c>
      <c r="M46" cm="1">
        <f t="array" ref="M46">_xll.VALEURCOURBE($A$27,_xlfn.CONCAT("THEME5=",$B46),SCENARIOS!$A$2,SCENARIOS!$B$2,1,YIELDS!M$1)</f>
        <v>53.28</v>
      </c>
      <c r="N46" cm="1">
        <f t="array" ref="N46">_xll.VALEURCOURBE($A$27,_xlfn.CONCAT("THEME5=",$B46),SCENARIOS!$A$2,SCENARIOS!$B$2,1,YIELDS!N$1)</f>
        <v>60.08</v>
      </c>
      <c r="O46" cm="1">
        <f t="array" ref="O46">_xll.VALEURCOURBE($A$27,_xlfn.CONCAT("THEME5=",$B46),SCENARIOS!$A$2,SCENARIOS!$B$2,1,YIELDS!O$1)</f>
        <v>66.069999999999993</v>
      </c>
      <c r="P46" cm="1">
        <f t="array" ref="P46">_xll.VALEURCOURBE($A$27,_xlfn.CONCAT("THEME5=",$B46),SCENARIOS!$A$2,SCENARIOS!$B$2,1,YIELDS!P$1)</f>
        <v>71.180000000000007</v>
      </c>
      <c r="Q46" cm="1">
        <f t="array" ref="Q46">_xll.VALEURCOURBE($A$27,_xlfn.CONCAT("THEME5=",$B46),SCENARIOS!$A$2,SCENARIOS!$B$2,1,YIELDS!Q$1)</f>
        <v>75.38</v>
      </c>
      <c r="R46" cm="1">
        <f t="array" ref="R46">_xll.VALEURCOURBE($A$27,_xlfn.CONCAT("THEME5=",$B46),SCENARIOS!$A$2,SCENARIOS!$B$2,1,YIELDS!R$1)</f>
        <v>78.67</v>
      </c>
      <c r="S46" cm="1">
        <f t="array" ref="S46">_xll.VALEURCOURBE($A$27,_xlfn.CONCAT("THEME5=",$B46),SCENARIOS!$A$2,SCENARIOS!$B$2,1,YIELDS!S$1)</f>
        <v>81.099999999999994</v>
      </c>
      <c r="T46" cm="1">
        <f t="array" ref="T46">_xll.VALEURCOURBE($A$27,_xlfn.CONCAT("THEME5=",$B46),SCENARIOS!$A$2,SCENARIOS!$B$2,1,YIELDS!T$1)</f>
        <v>82.73</v>
      </c>
      <c r="U46" cm="1">
        <f t="array" ref="U46">_xll.VALEURCOURBE($A$27,_xlfn.CONCAT("THEME5=",$B46),SCENARIOS!$A$2,SCENARIOS!$B$2,1,YIELDS!U$1)</f>
        <v>83.63</v>
      </c>
      <c r="V46" cm="1">
        <f t="array" ref="V46">_xll.VALEURCOURBE($A$27,_xlfn.CONCAT("THEME5=",$B46),SCENARIOS!$A$2,SCENARIOS!$B$2,1,YIELDS!V$1)</f>
        <v>83.89</v>
      </c>
    </row>
    <row r="47" spans="1:22" x14ac:dyDescent="0.25">
      <c r="A47" t="str">
        <v>YG_G_GSEPM</v>
      </c>
      <c r="B47" t="str">
        <v>FC4343</v>
      </c>
      <c r="C47" cm="1">
        <f t="array" ref="C47">_xll.VALEURCOURBE($A$27,_xlfn.CONCAT("THEME5=",$B47),SCENARIOS!$A$2,SCENARIOS!$B$2,1,YIELDS!C$1)</f>
        <v>0</v>
      </c>
      <c r="D47" cm="1">
        <f t="array" ref="D47">_xll.VALEURCOURBE($A$27,_xlfn.CONCAT("THEME5=",$B47),SCENARIOS!$A$2,SCENARIOS!$B$2,1,YIELDS!D$1)</f>
        <v>0</v>
      </c>
      <c r="E47" cm="1">
        <f t="array" ref="E47">_xll.VALEURCOURBE($A$27,_xlfn.CONCAT("THEME5=",$B47),SCENARIOS!$A$2,SCENARIOS!$B$2,1,YIELDS!E$1)</f>
        <v>4.0599999999999996</v>
      </c>
      <c r="F47" cm="1">
        <f t="array" ref="F47">_xll.VALEURCOURBE($A$27,_xlfn.CONCAT("THEME5=",$B47),SCENARIOS!$A$2,SCENARIOS!$B$2,1,YIELDS!F$1)</f>
        <v>8.34</v>
      </c>
      <c r="G47" cm="1">
        <f t="array" ref="G47">_xll.VALEURCOURBE($A$27,_xlfn.CONCAT("THEME5=",$B47),SCENARIOS!$A$2,SCENARIOS!$B$2,1,YIELDS!G$1)</f>
        <v>15.47</v>
      </c>
      <c r="H47" cm="1">
        <f t="array" ref="H47">_xll.VALEURCOURBE($A$27,_xlfn.CONCAT("THEME5=",$B47),SCENARIOS!$A$2,SCENARIOS!$B$2,1,YIELDS!H$1)</f>
        <v>24.25</v>
      </c>
      <c r="I47" cm="1">
        <f t="array" ref="I47">_xll.VALEURCOURBE($A$27,_xlfn.CONCAT("THEME5=",$B47),SCENARIOS!$A$2,SCENARIOS!$B$2,1,YIELDS!I$1)</f>
        <v>33.950000000000003</v>
      </c>
      <c r="J47" cm="1">
        <f t="array" ref="J47">_xll.VALEURCOURBE($A$27,_xlfn.CONCAT("THEME5=",$B47),SCENARIOS!$A$2,SCENARIOS!$B$2,1,YIELDS!J$1)</f>
        <v>43.85</v>
      </c>
      <c r="K47" cm="1">
        <f t="array" ref="K47">_xll.VALEURCOURBE($A$27,_xlfn.CONCAT("THEME5=",$B47),SCENARIOS!$A$2,SCENARIOS!$B$2,1,YIELDS!K$1)</f>
        <v>53.38</v>
      </c>
      <c r="L47" cm="1">
        <f t="array" ref="L47">_xll.VALEURCOURBE($A$27,_xlfn.CONCAT("THEME5=",$B47),SCENARIOS!$A$2,SCENARIOS!$B$2,1,YIELDS!L$1)</f>
        <v>62.16</v>
      </c>
      <c r="M47" cm="1">
        <f t="array" ref="M47">_xll.VALEURCOURBE($A$27,_xlfn.CONCAT("THEME5=",$B47),SCENARIOS!$A$2,SCENARIOS!$B$2,1,YIELDS!M$1)</f>
        <v>69.89</v>
      </c>
      <c r="N47" cm="1">
        <f t="array" ref="N47">_xll.VALEURCOURBE($A$27,_xlfn.CONCAT("THEME5=",$B47),SCENARIOS!$A$2,SCENARIOS!$B$2,1,YIELDS!N$1)</f>
        <v>76.41</v>
      </c>
      <c r="O47" cm="1">
        <f t="array" ref="O47">_xll.VALEURCOURBE($A$27,_xlfn.CONCAT("THEME5=",$B47),SCENARIOS!$A$2,SCENARIOS!$B$2,1,YIELDS!O$1)</f>
        <v>81.62</v>
      </c>
      <c r="P47" cm="1">
        <f t="array" ref="P47">_xll.VALEURCOURBE($A$27,_xlfn.CONCAT("THEME5=",$B47),SCENARIOS!$A$2,SCENARIOS!$B$2,1,YIELDS!P$1)</f>
        <v>85.54</v>
      </c>
      <c r="Q47" cm="1">
        <f t="array" ref="Q47">_xll.VALEURCOURBE($A$27,_xlfn.CONCAT("THEME5=",$B47),SCENARIOS!$A$2,SCENARIOS!$B$2,1,YIELDS!Q$1)</f>
        <v>88.2</v>
      </c>
      <c r="R47" cm="1">
        <f t="array" ref="R47">_xll.VALEURCOURBE($A$27,_xlfn.CONCAT("THEME5=",$B47),SCENARIOS!$A$2,SCENARIOS!$B$2,1,YIELDS!R$1)</f>
        <v>89.71</v>
      </c>
      <c r="S47" cm="1">
        <f t="array" ref="S47">_xll.VALEURCOURBE($A$27,_xlfn.CONCAT("THEME5=",$B47),SCENARIOS!$A$2,SCENARIOS!$B$2,1,YIELDS!S$1)</f>
        <v>90.2</v>
      </c>
      <c r="T47" cm="1">
        <f t="array" ref="T47">_xll.VALEURCOURBE($A$27,_xlfn.CONCAT("THEME5=",$B47),SCENARIOS!$A$2,SCENARIOS!$B$2,1,YIELDS!T$1)</f>
        <v>89.8</v>
      </c>
      <c r="U47" cm="1">
        <f t="array" ref="U47">_xll.VALEURCOURBE($A$27,_xlfn.CONCAT("THEME5=",$B47),SCENARIOS!$A$2,SCENARIOS!$B$2,1,YIELDS!U$1)</f>
        <v>88.68</v>
      </c>
      <c r="V47" cm="1">
        <f t="array" ref="V47">_xll.VALEURCOURBE($A$27,_xlfn.CONCAT("THEME5=",$B47),SCENARIOS!$A$2,SCENARIOS!$B$2,1,YIELDS!V$1)</f>
        <v>86.99</v>
      </c>
    </row>
    <row r="48" spans="1:22" x14ac:dyDescent="0.25">
      <c r="A48" t="str">
        <v>YG_S</v>
      </c>
      <c r="B48" t="str">
        <v>FC6380</v>
      </c>
      <c r="C48" cm="1">
        <f t="array" ref="C48">_xll.VALEURCOURBE($A$27,_xlfn.CONCAT("THEME5=",$B48),SCENARIOS!$A$2,SCENARIOS!$B$2,1,YIELDS!C$1)</f>
        <v>0</v>
      </c>
      <c r="D48" cm="1">
        <f t="array" ref="D48">_xll.VALEURCOURBE($A$27,_xlfn.CONCAT("THEME5=",$B48),SCENARIOS!$A$2,SCENARIOS!$B$2,1,YIELDS!D$1)</f>
        <v>0</v>
      </c>
      <c r="E48" cm="1">
        <f t="array" ref="E48">_xll.VALEURCOURBE($A$27,_xlfn.CONCAT("THEME5=",$B48),SCENARIOS!$A$2,SCENARIOS!$B$2,1,YIELDS!E$1)</f>
        <v>0</v>
      </c>
      <c r="F48" cm="1">
        <f t="array" ref="F48">_xll.VALEURCOURBE($A$27,_xlfn.CONCAT("THEME5=",$B48),SCENARIOS!$A$2,SCENARIOS!$B$2,1,YIELDS!F$1)</f>
        <v>0</v>
      </c>
      <c r="G48" cm="1">
        <f t="array" ref="G48">_xll.VALEURCOURBE($A$27,_xlfn.CONCAT("THEME5=",$B48),SCENARIOS!$A$2,SCENARIOS!$B$2,1,YIELDS!G$1)</f>
        <v>0</v>
      </c>
      <c r="H48" cm="1">
        <f t="array" ref="H48">_xll.VALEURCOURBE($A$27,_xlfn.CONCAT("THEME5=",$B48),SCENARIOS!$A$2,SCENARIOS!$B$2,1,YIELDS!H$1)</f>
        <v>0</v>
      </c>
      <c r="I48" cm="1">
        <f t="array" ref="I48">_xll.VALEURCOURBE($A$27,_xlfn.CONCAT("THEME5=",$B48),SCENARIOS!$A$2,SCENARIOS!$B$2,1,YIELDS!I$1)</f>
        <v>0</v>
      </c>
      <c r="J48" cm="1">
        <f t="array" ref="J48">_xll.VALEURCOURBE($A$27,_xlfn.CONCAT("THEME5=",$B48),SCENARIOS!$A$2,SCENARIOS!$B$2,1,YIELDS!J$1)</f>
        <v>2.94</v>
      </c>
      <c r="K48" cm="1">
        <f t="array" ref="K48">_xll.VALEURCOURBE($A$27,_xlfn.CONCAT("THEME5=",$B48),SCENARIOS!$A$2,SCENARIOS!$B$2,1,YIELDS!K$1)</f>
        <v>7.66</v>
      </c>
      <c r="L48" cm="1">
        <f t="array" ref="L48">_xll.VALEURCOURBE($A$27,_xlfn.CONCAT("THEME5=",$B48),SCENARIOS!$A$2,SCENARIOS!$B$2,1,YIELDS!L$1)</f>
        <v>12.37</v>
      </c>
      <c r="M48" cm="1">
        <f t="array" ref="M48">_xll.VALEURCOURBE($A$27,_xlfn.CONCAT("THEME5=",$B48),SCENARIOS!$A$2,SCENARIOS!$B$2,1,YIELDS!M$1)</f>
        <v>16.97</v>
      </c>
      <c r="N48" cm="1">
        <f t="array" ref="N48">_xll.VALEURCOURBE($A$27,_xlfn.CONCAT("THEME5=",$B48),SCENARIOS!$A$2,SCENARIOS!$B$2,1,YIELDS!N$1)</f>
        <v>21.38</v>
      </c>
      <c r="O48" cm="1">
        <f t="array" ref="O48">_xll.VALEURCOURBE($A$27,_xlfn.CONCAT("THEME5=",$B48),SCENARIOS!$A$2,SCENARIOS!$B$2,1,YIELDS!O$1)</f>
        <v>25.5</v>
      </c>
      <c r="P48" cm="1">
        <f t="array" ref="P48">_xll.VALEURCOURBE($A$27,_xlfn.CONCAT("THEME5=",$B48),SCENARIOS!$A$2,SCENARIOS!$B$2,1,YIELDS!P$1)</f>
        <v>29.32</v>
      </c>
      <c r="Q48" cm="1">
        <f t="array" ref="Q48">_xll.VALEURCOURBE($A$27,_xlfn.CONCAT("THEME5=",$B48),SCENARIOS!$A$2,SCENARIOS!$B$2,1,YIELDS!Q$1)</f>
        <v>32.78</v>
      </c>
      <c r="R48" cm="1">
        <f t="array" ref="R48">_xll.VALEURCOURBE($A$27,_xlfn.CONCAT("THEME5=",$B48),SCENARIOS!$A$2,SCENARIOS!$B$2,1,YIELDS!R$1)</f>
        <v>35.869999999999997</v>
      </c>
      <c r="S48" cm="1">
        <f t="array" ref="S48">_xll.VALEURCOURBE($A$27,_xlfn.CONCAT("THEME5=",$B48),SCENARIOS!$A$2,SCENARIOS!$B$2,1,YIELDS!S$1)</f>
        <v>38.590000000000003</v>
      </c>
      <c r="T48" cm="1">
        <f t="array" ref="T48">_xll.VALEURCOURBE($A$27,_xlfn.CONCAT("THEME5=",$B48),SCENARIOS!$A$2,SCENARIOS!$B$2,1,YIELDS!T$1)</f>
        <v>40.92</v>
      </c>
      <c r="U48" cm="1">
        <f t="array" ref="U48">_xll.VALEURCOURBE($A$27,_xlfn.CONCAT("THEME5=",$B48),SCENARIOS!$A$2,SCENARIOS!$B$2,1,YIELDS!U$1)</f>
        <v>42.89</v>
      </c>
      <c r="V48" cm="1">
        <f t="array" ref="V48">_xll.VALEURCOURBE($A$27,_xlfn.CONCAT("THEME5=",$B48),SCENARIOS!$A$2,SCENARIOS!$B$2,1,YIELDS!V$1)</f>
        <v>44.5</v>
      </c>
    </row>
    <row r="49" spans="1:22" x14ac:dyDescent="0.25">
      <c r="A49" t="str">
        <v>YN_G_GSEPM</v>
      </c>
      <c r="B49" t="str">
        <v>FC6508</v>
      </c>
      <c r="C49" cm="1">
        <f t="array" ref="C49">_xll.VALEURCOURBE($A$27,_xlfn.CONCAT("THEME5=",$B49),SCENARIOS!$A$2,SCENARIOS!$B$2,1,YIELDS!C$1)</f>
        <v>0</v>
      </c>
      <c r="D49" cm="1">
        <f t="array" ref="D49">_xll.VALEURCOURBE($A$27,_xlfn.CONCAT("THEME5=",$B49),SCENARIOS!$A$2,SCENARIOS!$B$2,1,YIELDS!D$1)</f>
        <v>0</v>
      </c>
      <c r="E49" cm="1">
        <f t="array" ref="E49">_xll.VALEURCOURBE($A$27,_xlfn.CONCAT("THEME5=",$B49),SCENARIOS!$A$2,SCENARIOS!$B$2,1,YIELDS!E$1)</f>
        <v>0</v>
      </c>
      <c r="F49" cm="1">
        <f t="array" ref="F49">_xll.VALEURCOURBE($A$27,_xlfn.CONCAT("THEME5=",$B49),SCENARIOS!$A$2,SCENARIOS!$B$2,1,YIELDS!F$1)</f>
        <v>0</v>
      </c>
      <c r="G49" cm="1">
        <f t="array" ref="G49">_xll.VALEURCOURBE($A$27,_xlfn.CONCAT("THEME5=",$B49),SCENARIOS!$A$2,SCENARIOS!$B$2,1,YIELDS!G$1)</f>
        <v>0</v>
      </c>
      <c r="H49" cm="1">
        <f t="array" ref="H49">_xll.VALEURCOURBE($A$27,_xlfn.CONCAT("THEME5=",$B49),SCENARIOS!$A$2,SCENARIOS!$B$2,1,YIELDS!H$1)</f>
        <v>0</v>
      </c>
      <c r="I49" cm="1">
        <f t="array" ref="I49">_xll.VALEURCOURBE($A$27,_xlfn.CONCAT("THEME5=",$B49),SCENARIOS!$A$2,SCENARIOS!$B$2,1,YIELDS!I$1)</f>
        <v>0</v>
      </c>
      <c r="J49" cm="1">
        <f t="array" ref="J49">_xll.VALEURCOURBE($A$27,_xlfn.CONCAT("THEME5=",$B49),SCENARIOS!$A$2,SCENARIOS!$B$2,1,YIELDS!J$1)</f>
        <v>0</v>
      </c>
      <c r="K49" cm="1">
        <f t="array" ref="K49">_xll.VALEURCOURBE($A$27,_xlfn.CONCAT("THEME5=",$B49),SCENARIOS!$A$2,SCENARIOS!$B$2,1,YIELDS!K$1)</f>
        <v>0</v>
      </c>
      <c r="L49" cm="1">
        <f t="array" ref="L49">_xll.VALEURCOURBE($A$27,_xlfn.CONCAT("THEME5=",$B49),SCENARIOS!$A$2,SCENARIOS!$B$2,1,YIELDS!L$1)</f>
        <v>0</v>
      </c>
      <c r="M49" cm="1">
        <f t="array" ref="M49">_xll.VALEURCOURBE($A$27,_xlfn.CONCAT("THEME5=",$B49),SCENARIOS!$A$2,SCENARIOS!$B$2,1,YIELDS!M$1)</f>
        <v>0</v>
      </c>
      <c r="N49" cm="1">
        <f t="array" ref="N49">_xll.VALEURCOURBE($A$27,_xlfn.CONCAT("THEME5=",$B49),SCENARIOS!$A$2,SCENARIOS!$B$2,1,YIELDS!N$1)</f>
        <v>0.17</v>
      </c>
      <c r="O49" cm="1">
        <f t="array" ref="O49">_xll.VALEURCOURBE($A$27,_xlfn.CONCAT("THEME5=",$B49),SCENARIOS!$A$2,SCENARIOS!$B$2,1,YIELDS!O$1)</f>
        <v>5.7</v>
      </c>
      <c r="P49" cm="1">
        <f t="array" ref="P49">_xll.VALEURCOURBE($A$27,_xlfn.CONCAT("THEME5=",$B49),SCENARIOS!$A$2,SCENARIOS!$B$2,1,YIELDS!P$1)</f>
        <v>12.88</v>
      </c>
      <c r="Q49" cm="1">
        <f t="array" ref="Q49">_xll.VALEURCOURBE($A$27,_xlfn.CONCAT("THEME5=",$B49),SCENARIOS!$A$2,SCENARIOS!$B$2,1,YIELDS!Q$1)</f>
        <v>20.329999999999998</v>
      </c>
      <c r="R49" cm="1">
        <f t="array" ref="R49">_xll.VALEURCOURBE($A$27,_xlfn.CONCAT("THEME5=",$B49),SCENARIOS!$A$2,SCENARIOS!$B$2,1,YIELDS!R$1)</f>
        <v>27.69</v>
      </c>
      <c r="S49" cm="1">
        <f t="array" ref="S49">_xll.VALEURCOURBE($A$27,_xlfn.CONCAT("THEME5=",$B49),SCENARIOS!$A$2,SCENARIOS!$B$2,1,YIELDS!S$1)</f>
        <v>34.49</v>
      </c>
      <c r="T49" cm="1">
        <f t="array" ref="T49">_xll.VALEURCOURBE($A$27,_xlfn.CONCAT("THEME5=",$B49),SCENARIOS!$A$2,SCENARIOS!$B$2,1,YIELDS!T$1)</f>
        <v>40.909999999999997</v>
      </c>
      <c r="U49" cm="1">
        <f t="array" ref="U49">_xll.VALEURCOURBE($A$27,_xlfn.CONCAT("THEME5=",$B49),SCENARIOS!$A$2,SCENARIOS!$B$2,1,YIELDS!U$1)</f>
        <v>46.86</v>
      </c>
      <c r="V49" cm="1">
        <f t="array" ref="V49">_xll.VALEURCOURBE($A$27,_xlfn.CONCAT("THEME5=",$B49),SCENARIOS!$A$2,SCENARIOS!$B$2,1,YIELDS!V$1)</f>
        <v>52.31</v>
      </c>
    </row>
    <row r="50" spans="1:22" x14ac:dyDescent="0.25">
      <c r="A50" t="str">
        <v>YV_E_SAB</v>
      </c>
      <c r="B50" t="str">
        <v>FC6516</v>
      </c>
      <c r="C50" cm="1">
        <f t="array" ref="C50">_xll.VALEURCOURBE($A$27,_xlfn.CONCAT("THEME5=",$B50),SCENARIOS!$A$2,SCENARIOS!$B$2,1,YIELDS!C$1)</f>
        <v>0</v>
      </c>
      <c r="D50" cm="1">
        <f t="array" ref="D50">_xll.VALEURCOURBE($A$27,_xlfn.CONCAT("THEME5=",$B50),SCENARIOS!$A$2,SCENARIOS!$B$2,1,YIELDS!D$1)</f>
        <v>0</v>
      </c>
      <c r="E50" cm="1">
        <f t="array" ref="E50">_xll.VALEURCOURBE($A$27,_xlfn.CONCAT("THEME5=",$B50),SCENARIOS!$A$2,SCENARIOS!$B$2,1,YIELDS!E$1)</f>
        <v>0</v>
      </c>
      <c r="F50" cm="1">
        <f t="array" ref="F50">_xll.VALEURCOURBE($A$27,_xlfn.CONCAT("THEME5=",$B50),SCENARIOS!$A$2,SCENARIOS!$B$2,1,YIELDS!F$1)</f>
        <v>0</v>
      </c>
      <c r="G50" cm="1">
        <f t="array" ref="G50">_xll.VALEURCOURBE($A$27,_xlfn.CONCAT("THEME5=",$B50),SCENARIOS!$A$2,SCENARIOS!$B$2,1,YIELDS!G$1)</f>
        <v>0</v>
      </c>
      <c r="H50" cm="1">
        <f t="array" ref="H50">_xll.VALEURCOURBE($A$27,_xlfn.CONCAT("THEME5=",$B50),SCENARIOS!$A$2,SCENARIOS!$B$2,1,YIELDS!H$1)</f>
        <v>0</v>
      </c>
      <c r="I50" cm="1">
        <f t="array" ref="I50">_xll.VALEURCOURBE($A$27,_xlfn.CONCAT("THEME5=",$B50),SCENARIOS!$A$2,SCENARIOS!$B$2,1,YIELDS!I$1)</f>
        <v>0</v>
      </c>
      <c r="J50" cm="1">
        <f t="array" ref="J50">_xll.VALEURCOURBE($A$27,_xlfn.CONCAT("THEME5=",$B50),SCENARIOS!$A$2,SCENARIOS!$B$2,1,YIELDS!J$1)</f>
        <v>0</v>
      </c>
      <c r="K50" cm="1">
        <f t="array" ref="K50">_xll.VALEURCOURBE($A$27,_xlfn.CONCAT("THEME5=",$B50),SCENARIOS!$A$2,SCENARIOS!$B$2,1,YIELDS!K$1)</f>
        <v>0</v>
      </c>
      <c r="L50" cm="1">
        <f t="array" ref="L50">_xll.VALEURCOURBE($A$27,_xlfn.CONCAT("THEME5=",$B50),SCENARIOS!$A$2,SCENARIOS!$B$2,1,YIELDS!L$1)</f>
        <v>2.97</v>
      </c>
      <c r="M50" cm="1">
        <f t="array" ref="M50">_xll.VALEURCOURBE($A$27,_xlfn.CONCAT("THEME5=",$B50),SCENARIOS!$A$2,SCENARIOS!$B$2,1,YIELDS!M$1)</f>
        <v>11.59</v>
      </c>
      <c r="N50" cm="1">
        <f t="array" ref="N50">_xll.VALEURCOURBE($A$27,_xlfn.CONCAT("THEME5=",$B50),SCENARIOS!$A$2,SCENARIOS!$B$2,1,YIELDS!N$1)</f>
        <v>21</v>
      </c>
      <c r="O50" cm="1">
        <f t="array" ref="O50">_xll.VALEURCOURBE($A$27,_xlfn.CONCAT("THEME5=",$B50),SCENARIOS!$A$2,SCENARIOS!$B$2,1,YIELDS!O$1)</f>
        <v>30.34</v>
      </c>
      <c r="P50" cm="1">
        <f t="array" ref="P50">_xll.VALEURCOURBE($A$27,_xlfn.CONCAT("THEME5=",$B50),SCENARIOS!$A$2,SCENARIOS!$B$2,1,YIELDS!P$1)</f>
        <v>38.909999999999997</v>
      </c>
      <c r="Q50" cm="1">
        <f t="array" ref="Q50">_xll.VALEURCOURBE($A$27,_xlfn.CONCAT("THEME5=",$B50),SCENARIOS!$A$2,SCENARIOS!$B$2,1,YIELDS!Q$1)</f>
        <v>46.95</v>
      </c>
      <c r="R50" cm="1">
        <f t="array" ref="R50">_xll.VALEURCOURBE($A$27,_xlfn.CONCAT("THEME5=",$B50),SCENARIOS!$A$2,SCENARIOS!$B$2,1,YIELDS!R$1)</f>
        <v>54.35</v>
      </c>
      <c r="S50" cm="1">
        <f t="array" ref="S50">_xll.VALEURCOURBE($A$27,_xlfn.CONCAT("THEME5=",$B50),SCENARIOS!$A$2,SCENARIOS!$B$2,1,YIELDS!S$1)</f>
        <v>60.79</v>
      </c>
      <c r="T50" cm="1">
        <f t="array" ref="T50">_xll.VALEURCOURBE($A$27,_xlfn.CONCAT("THEME5=",$B50),SCENARIOS!$A$2,SCENARIOS!$B$2,1,YIELDS!T$1)</f>
        <v>66.48</v>
      </c>
      <c r="U50" cm="1">
        <f t="array" ref="U50">_xll.VALEURCOURBE($A$27,_xlfn.CONCAT("THEME5=",$B50),SCENARIOS!$A$2,SCENARIOS!$B$2,1,YIELDS!U$1)</f>
        <v>71.45</v>
      </c>
      <c r="V50" cm="1">
        <f t="array" ref="V50">_xll.VALEURCOURBE($A$27,_xlfn.CONCAT("THEME5=",$B50),SCENARIOS!$A$2,SCENARIOS!$B$2,1,YIELDS!V$1)</f>
        <v>75.709999999999994</v>
      </c>
    </row>
    <row r="51" spans="1:22" x14ac:dyDescent="0.25">
      <c r="A51" t="str">
        <v>YV_E_THO</v>
      </c>
      <c r="B51" t="str">
        <v>FC6541</v>
      </c>
      <c r="C51" cm="1">
        <f t="array" ref="C51">_xll.VALEURCOURBE($A$27,_xlfn.CONCAT("THEME5=",$B51),SCENARIOS!$A$2,SCENARIOS!$B$2,1,YIELDS!C$1)</f>
        <v>0</v>
      </c>
      <c r="D51" cm="1">
        <f t="array" ref="D51">_xll.VALEURCOURBE($A$27,_xlfn.CONCAT("THEME5=",$B51),SCENARIOS!$A$2,SCENARIOS!$B$2,1,YIELDS!D$1)</f>
        <v>0</v>
      </c>
      <c r="E51" cm="1">
        <f t="array" ref="E51">_xll.VALEURCOURBE($A$27,_xlfn.CONCAT("THEME5=",$B51),SCENARIOS!$A$2,SCENARIOS!$B$2,1,YIELDS!E$1)</f>
        <v>0</v>
      </c>
      <c r="F51" cm="1">
        <f t="array" ref="F51">_xll.VALEURCOURBE($A$27,_xlfn.CONCAT("THEME5=",$B51),SCENARIOS!$A$2,SCENARIOS!$B$2,1,YIELDS!F$1)</f>
        <v>0</v>
      </c>
      <c r="G51" cm="1">
        <f t="array" ref="G51">_xll.VALEURCOURBE($A$27,_xlfn.CONCAT("THEME5=",$B51),SCENARIOS!$A$2,SCENARIOS!$B$2,1,YIELDS!G$1)</f>
        <v>10.23</v>
      </c>
      <c r="H51" cm="1">
        <f t="array" ref="H51">_xll.VALEURCOURBE($A$27,_xlfn.CONCAT("THEME5=",$B51),SCENARIOS!$A$2,SCENARIOS!$B$2,1,YIELDS!H$1)</f>
        <v>20.45</v>
      </c>
      <c r="I51" cm="1">
        <f t="array" ref="I51">_xll.VALEURCOURBE($A$27,_xlfn.CONCAT("THEME5=",$B51),SCENARIOS!$A$2,SCENARIOS!$B$2,1,YIELDS!I$1)</f>
        <v>30.68</v>
      </c>
      <c r="J51" cm="1">
        <f t="array" ref="J51">_xll.VALEURCOURBE($A$27,_xlfn.CONCAT("THEME5=",$B51),SCENARIOS!$A$2,SCENARIOS!$B$2,1,YIELDS!J$1)</f>
        <v>40.9</v>
      </c>
      <c r="K51" cm="1">
        <f t="array" ref="K51">_xll.VALEURCOURBE($A$27,_xlfn.CONCAT("THEME5=",$B51),SCENARIOS!$A$2,SCENARIOS!$B$2,1,YIELDS!K$1)</f>
        <v>51.13</v>
      </c>
      <c r="L51" cm="1">
        <f t="array" ref="L51">_xll.VALEURCOURBE($A$27,_xlfn.CONCAT("THEME5=",$B51),SCENARIOS!$A$2,SCENARIOS!$B$2,1,YIELDS!L$1)</f>
        <v>61.36</v>
      </c>
      <c r="M51" cm="1">
        <f t="array" ref="M51">_xll.VALEURCOURBE($A$27,_xlfn.CONCAT("THEME5=",$B51),SCENARIOS!$A$2,SCENARIOS!$B$2,1,YIELDS!M$1)</f>
        <v>82.46</v>
      </c>
      <c r="N51" cm="1">
        <f t="array" ref="N51">_xll.VALEURCOURBE($A$27,_xlfn.CONCAT("THEME5=",$B51),SCENARIOS!$A$2,SCENARIOS!$B$2,1,YIELDS!N$1)</f>
        <v>97.73</v>
      </c>
      <c r="O51" cm="1">
        <f t="array" ref="O51">_xll.VALEURCOURBE($A$27,_xlfn.CONCAT("THEME5=",$B51),SCENARIOS!$A$2,SCENARIOS!$B$2,1,YIELDS!O$1)</f>
        <v>108.97</v>
      </c>
      <c r="P51" cm="1">
        <f t="array" ref="P51">_xll.VALEURCOURBE($A$27,_xlfn.CONCAT("THEME5=",$B51),SCENARIOS!$A$2,SCENARIOS!$B$2,1,YIELDS!P$1)</f>
        <v>118.11</v>
      </c>
      <c r="Q51" cm="1">
        <f t="array" ref="Q51">_xll.VALEURCOURBE($A$27,_xlfn.CONCAT("THEME5=",$B51),SCENARIOS!$A$2,SCENARIOS!$B$2,1,YIELDS!Q$1)</f>
        <v>125.3</v>
      </c>
      <c r="R51" cm="1">
        <f t="array" ref="R51">_xll.VALEURCOURBE($A$27,_xlfn.CONCAT("THEME5=",$B51),SCENARIOS!$A$2,SCENARIOS!$B$2,1,YIELDS!R$1)</f>
        <v>130.69</v>
      </c>
      <c r="S51" cm="1">
        <f t="array" ref="S51">_xll.VALEURCOURBE($A$27,_xlfn.CONCAT("THEME5=",$B51),SCENARIOS!$A$2,SCENARIOS!$B$2,1,YIELDS!S$1)</f>
        <v>134.44999999999999</v>
      </c>
      <c r="T51" cm="1">
        <f t="array" ref="T51">_xll.VALEURCOURBE($A$27,_xlfn.CONCAT("THEME5=",$B51),SCENARIOS!$A$2,SCENARIOS!$B$2,1,YIELDS!T$1)</f>
        <v>136.75</v>
      </c>
      <c r="U51" cm="1">
        <f t="array" ref="U51">_xll.VALEURCOURBE($A$27,_xlfn.CONCAT("THEME5=",$B51),SCENARIOS!$A$2,SCENARIOS!$B$2,1,YIELDS!U$1)</f>
        <v>137.74</v>
      </c>
      <c r="V51" cm="1">
        <f t="array" ref="V51">_xll.VALEURCOURBE($A$27,_xlfn.CONCAT("THEME5=",$B51),SCENARIOS!$A$2,SCENARIOS!$B$2,1,YIELDS!V$1)</f>
        <v>137.59</v>
      </c>
    </row>
    <row r="52" spans="1:22" x14ac:dyDescent="0.25">
      <c r="A52" t="str">
        <v>YH_S</v>
      </c>
      <c r="B52" t="str">
        <v>FC6560</v>
      </c>
      <c r="C52" cm="1">
        <f t="array" ref="C52">_xll.VALEURCOURBE($A$27,_xlfn.CONCAT("THEME5=",$B52),SCENARIOS!$A$2,SCENARIOS!$B$2,1,YIELDS!C$1)</f>
        <v>0</v>
      </c>
      <c r="D52" cm="1">
        <f t="array" ref="D52">_xll.VALEURCOURBE($A$27,_xlfn.CONCAT("THEME5=",$B52),SCENARIOS!$A$2,SCENARIOS!$B$2,1,YIELDS!D$1)</f>
        <v>0</v>
      </c>
      <c r="E52" cm="1">
        <f t="array" ref="E52">_xll.VALEURCOURBE($A$27,_xlfn.CONCAT("THEME5=",$B52),SCENARIOS!$A$2,SCENARIOS!$B$2,1,YIELDS!E$1)</f>
        <v>0</v>
      </c>
      <c r="F52" cm="1">
        <f t="array" ref="F52">_xll.VALEURCOURBE($A$27,_xlfn.CONCAT("THEME5=",$B52),SCENARIOS!$A$2,SCENARIOS!$B$2,1,YIELDS!F$1)</f>
        <v>0</v>
      </c>
      <c r="G52" cm="1">
        <f t="array" ref="G52">_xll.VALEURCOURBE($A$27,_xlfn.CONCAT("THEME5=",$B52),SCENARIOS!$A$2,SCENARIOS!$B$2,1,YIELDS!G$1)</f>
        <v>0</v>
      </c>
      <c r="H52" cm="1">
        <f t="array" ref="H52">_xll.VALEURCOURBE($A$27,_xlfn.CONCAT("THEME5=",$B52),SCENARIOS!$A$2,SCENARIOS!$B$2,1,YIELDS!H$1)</f>
        <v>0</v>
      </c>
      <c r="I52" cm="1">
        <f t="array" ref="I52">_xll.VALEURCOURBE($A$27,_xlfn.CONCAT("THEME5=",$B52),SCENARIOS!$A$2,SCENARIOS!$B$2,1,YIELDS!I$1)</f>
        <v>17.71</v>
      </c>
      <c r="J52" cm="1">
        <f t="array" ref="J52">_xll.VALEURCOURBE($A$27,_xlfn.CONCAT("THEME5=",$B52),SCENARIOS!$A$2,SCENARIOS!$B$2,1,YIELDS!J$1)</f>
        <v>39.31</v>
      </c>
      <c r="K52" cm="1">
        <f t="array" ref="K52">_xll.VALEURCOURBE($A$27,_xlfn.CONCAT("THEME5=",$B52),SCENARIOS!$A$2,SCENARIOS!$B$2,1,YIELDS!K$1)</f>
        <v>58.55</v>
      </c>
      <c r="L52" cm="1">
        <f t="array" ref="L52">_xll.VALEURCOURBE($A$27,_xlfn.CONCAT("THEME5=",$B52),SCENARIOS!$A$2,SCENARIOS!$B$2,1,YIELDS!L$1)</f>
        <v>74.98</v>
      </c>
      <c r="M52" cm="1">
        <f t="array" ref="M52">_xll.VALEURCOURBE($A$27,_xlfn.CONCAT("THEME5=",$B52),SCENARIOS!$A$2,SCENARIOS!$B$2,1,YIELDS!M$1)</f>
        <v>89.1</v>
      </c>
      <c r="N52" cm="1">
        <f t="array" ref="N52">_xll.VALEURCOURBE($A$27,_xlfn.CONCAT("THEME5=",$B52),SCENARIOS!$A$2,SCENARIOS!$B$2,1,YIELDS!N$1)</f>
        <v>101.25</v>
      </c>
      <c r="O52" cm="1">
        <f t="array" ref="O52">_xll.VALEURCOURBE($A$27,_xlfn.CONCAT("THEME5=",$B52),SCENARIOS!$A$2,SCENARIOS!$B$2,1,YIELDS!O$1)</f>
        <v>111.48</v>
      </c>
      <c r="P52" cm="1">
        <f t="array" ref="P52">_xll.VALEURCOURBE($A$27,_xlfn.CONCAT("THEME5=",$B52),SCENARIOS!$A$2,SCENARIOS!$B$2,1,YIELDS!P$1)</f>
        <v>119.94</v>
      </c>
      <c r="Q52" cm="1">
        <f t="array" ref="Q52">_xll.VALEURCOURBE($A$27,_xlfn.CONCAT("THEME5=",$B52),SCENARIOS!$A$2,SCENARIOS!$B$2,1,YIELDS!Q$1)</f>
        <v>126.76</v>
      </c>
      <c r="R52" cm="1">
        <f t="array" ref="R52">_xll.VALEURCOURBE($A$27,_xlfn.CONCAT("THEME5=",$B52),SCENARIOS!$A$2,SCENARIOS!$B$2,1,YIELDS!R$1)</f>
        <v>132.04</v>
      </c>
      <c r="S52" cm="1">
        <f t="array" ref="S52">_xll.VALEURCOURBE($A$27,_xlfn.CONCAT("THEME5=",$B52),SCENARIOS!$A$2,SCENARIOS!$B$2,1,YIELDS!S$1)</f>
        <v>135.96</v>
      </c>
      <c r="T52" cm="1">
        <f t="array" ref="T52">_xll.VALEURCOURBE($A$27,_xlfn.CONCAT("THEME5=",$B52),SCENARIOS!$A$2,SCENARIOS!$B$2,1,YIELDS!T$1)</f>
        <v>138.62</v>
      </c>
      <c r="U52" cm="1">
        <f t="array" ref="U52">_xll.VALEURCOURBE($A$27,_xlfn.CONCAT("THEME5=",$B52),SCENARIOS!$A$2,SCENARIOS!$B$2,1,YIELDS!U$1)</f>
        <v>140.16</v>
      </c>
      <c r="V52" cm="1">
        <f t="array" ref="V52">_xll.VALEURCOURBE($A$27,_xlfn.CONCAT("THEME5=",$B52),SCENARIOS!$A$2,SCENARIOS!$B$2,1,YIELDS!V$1)</f>
        <v>140.71</v>
      </c>
    </row>
    <row r="53" spans="1:22" x14ac:dyDescent="0.25">
      <c r="A53" t="str">
        <v>YN_E_BOP</v>
      </c>
      <c r="B53" t="str">
        <v>FC6859</v>
      </c>
      <c r="C53" cm="1">
        <f t="array" ref="C53">_xll.VALEURCOURBE($A$27,_xlfn.CONCAT("THEME5=",$B53),SCENARIOS!$A$2,SCENARIOS!$B$2,1,YIELDS!C$1)</f>
        <v>0</v>
      </c>
      <c r="D53" cm="1">
        <f t="array" ref="D53">_xll.VALEURCOURBE($A$27,_xlfn.CONCAT("THEME5=",$B53),SCENARIOS!$A$2,SCENARIOS!$B$2,1,YIELDS!D$1)</f>
        <v>0</v>
      </c>
      <c r="E53" cm="1">
        <f t="array" ref="E53">_xll.VALEURCOURBE($A$27,_xlfn.CONCAT("THEME5=",$B53),SCENARIOS!$A$2,SCENARIOS!$B$2,1,YIELDS!E$1)</f>
        <v>0</v>
      </c>
      <c r="F53" cm="1">
        <f t="array" ref="F53">_xll.VALEURCOURBE($A$27,_xlfn.CONCAT("THEME5=",$B53),SCENARIOS!$A$2,SCENARIOS!$B$2,1,YIELDS!F$1)</f>
        <v>0</v>
      </c>
      <c r="G53" cm="1">
        <f t="array" ref="G53">_xll.VALEURCOURBE($A$27,_xlfn.CONCAT("THEME5=",$B53),SCENARIOS!$A$2,SCENARIOS!$B$2,1,YIELDS!G$1)</f>
        <v>0</v>
      </c>
      <c r="H53" cm="1">
        <f t="array" ref="H53">_xll.VALEURCOURBE($A$27,_xlfn.CONCAT("THEME5=",$B53),SCENARIOS!$A$2,SCENARIOS!$B$2,1,YIELDS!H$1)</f>
        <v>1.55</v>
      </c>
      <c r="I53" cm="1">
        <f t="array" ref="I53">_xll.VALEURCOURBE($A$27,_xlfn.CONCAT("THEME5=",$B53),SCENARIOS!$A$2,SCENARIOS!$B$2,1,YIELDS!I$1)</f>
        <v>3.98</v>
      </c>
      <c r="J53" cm="1">
        <f t="array" ref="J53">_xll.VALEURCOURBE($A$27,_xlfn.CONCAT("THEME5=",$B53),SCENARIOS!$A$2,SCENARIOS!$B$2,1,YIELDS!J$1)</f>
        <v>6.49</v>
      </c>
      <c r="K53" cm="1">
        <f t="array" ref="K53">_xll.VALEURCOURBE($A$27,_xlfn.CONCAT("THEME5=",$B53),SCENARIOS!$A$2,SCENARIOS!$B$2,1,YIELDS!K$1)</f>
        <v>9.02</v>
      </c>
      <c r="L53" cm="1">
        <f t="array" ref="L53">_xll.VALEURCOURBE($A$27,_xlfn.CONCAT("THEME5=",$B53),SCENARIOS!$A$2,SCENARIOS!$B$2,1,YIELDS!L$1)</f>
        <v>11.51</v>
      </c>
      <c r="M53" cm="1">
        <f t="array" ref="M53">_xll.VALEURCOURBE($A$27,_xlfn.CONCAT("THEME5=",$B53),SCENARIOS!$A$2,SCENARIOS!$B$2,1,YIELDS!M$1)</f>
        <v>13.93</v>
      </c>
      <c r="N53" cm="1">
        <f t="array" ref="N53">_xll.VALEURCOURBE($A$27,_xlfn.CONCAT("THEME5=",$B53),SCENARIOS!$A$2,SCENARIOS!$B$2,1,YIELDS!N$1)</f>
        <v>16.239999999999998</v>
      </c>
      <c r="O53" cm="1">
        <f t="array" ref="O53">_xll.VALEURCOURBE($A$27,_xlfn.CONCAT("THEME5=",$B53),SCENARIOS!$A$2,SCENARIOS!$B$2,1,YIELDS!O$1)</f>
        <v>18.39</v>
      </c>
      <c r="P53" cm="1">
        <f t="array" ref="P53">_xll.VALEURCOURBE($A$27,_xlfn.CONCAT("THEME5=",$B53),SCENARIOS!$A$2,SCENARIOS!$B$2,1,YIELDS!P$1)</f>
        <v>20.38</v>
      </c>
      <c r="Q53" cm="1">
        <f t="array" ref="Q53">_xll.VALEURCOURBE($A$27,_xlfn.CONCAT("THEME5=",$B53),SCENARIOS!$A$2,SCENARIOS!$B$2,1,YIELDS!Q$1)</f>
        <v>22.18</v>
      </c>
      <c r="R53" cm="1">
        <f t="array" ref="R53">_xll.VALEURCOURBE($A$27,_xlfn.CONCAT("THEME5=",$B53),SCENARIOS!$A$2,SCENARIOS!$B$2,1,YIELDS!R$1)</f>
        <v>23.8</v>
      </c>
      <c r="S53" cm="1">
        <f t="array" ref="S53">_xll.VALEURCOURBE($A$27,_xlfn.CONCAT("THEME5=",$B53),SCENARIOS!$A$2,SCENARIOS!$B$2,1,YIELDS!S$1)</f>
        <v>25.22</v>
      </c>
      <c r="T53" cm="1">
        <f t="array" ref="T53">_xll.VALEURCOURBE($A$27,_xlfn.CONCAT("THEME5=",$B53),SCENARIOS!$A$2,SCENARIOS!$B$2,1,YIELDS!T$1)</f>
        <v>26.45</v>
      </c>
      <c r="U53" cm="1">
        <f t="array" ref="U53">_xll.VALEURCOURBE($A$27,_xlfn.CONCAT("THEME5=",$B53),SCENARIOS!$A$2,SCENARIOS!$B$2,1,YIELDS!U$1)</f>
        <v>27.47</v>
      </c>
      <c r="V53" cm="1">
        <f t="array" ref="V53">_xll.VALEURCOURBE($A$27,_xlfn.CONCAT("THEME5=",$B53),SCENARIOS!$A$2,SCENARIOS!$B$2,1,YIELDS!V$1)</f>
        <v>28.31</v>
      </c>
    </row>
    <row r="54" spans="1:22" x14ac:dyDescent="0.25">
      <c r="A54" t="str">
        <v>YVBO_E_BOJ</v>
      </c>
      <c r="B54" t="str">
        <v>FC6900</v>
      </c>
      <c r="C54" cm="1">
        <f t="array" ref="C54">_xll.VALEURCOURBE($A$27,_xlfn.CONCAT("THEME5=",$B54),SCENARIOS!$A$2,SCENARIOS!$B$2,1,YIELDS!C$1)</f>
        <v>0</v>
      </c>
      <c r="D54" cm="1">
        <f t="array" ref="D54">_xll.VALEURCOURBE($A$27,_xlfn.CONCAT("THEME5=",$B54),SCENARIOS!$A$2,SCENARIOS!$B$2,1,YIELDS!D$1)</f>
        <v>0</v>
      </c>
      <c r="E54" cm="1">
        <f t="array" ref="E54">_xll.VALEURCOURBE($A$27,_xlfn.CONCAT("THEME5=",$B54),SCENARIOS!$A$2,SCENARIOS!$B$2,1,YIELDS!E$1)</f>
        <v>0</v>
      </c>
      <c r="F54" cm="1">
        <f t="array" ref="F54">_xll.VALEURCOURBE($A$27,_xlfn.CONCAT("THEME5=",$B54),SCENARIOS!$A$2,SCENARIOS!$B$2,1,YIELDS!F$1)</f>
        <v>0</v>
      </c>
      <c r="G54" cm="1">
        <f t="array" ref="G54">_xll.VALEURCOURBE($A$27,_xlfn.CONCAT("THEME5=",$B54),SCENARIOS!$A$2,SCENARIOS!$B$2,1,YIELDS!G$1)</f>
        <v>0</v>
      </c>
      <c r="H54" cm="1">
        <f t="array" ref="H54">_xll.VALEURCOURBE($A$27,_xlfn.CONCAT("THEME5=",$B54),SCENARIOS!$A$2,SCENARIOS!$B$2,1,YIELDS!H$1)</f>
        <v>0</v>
      </c>
      <c r="I54" cm="1">
        <f t="array" ref="I54">_xll.VALEURCOURBE($A$27,_xlfn.CONCAT("THEME5=",$B54),SCENARIOS!$A$2,SCENARIOS!$B$2,1,YIELDS!I$1)</f>
        <v>0</v>
      </c>
      <c r="J54" cm="1">
        <f t="array" ref="J54">_xll.VALEURCOURBE($A$27,_xlfn.CONCAT("THEME5=",$B54),SCENARIOS!$A$2,SCENARIOS!$B$2,1,YIELDS!J$1)</f>
        <v>0</v>
      </c>
      <c r="K54" cm="1">
        <f t="array" ref="K54">_xll.VALEURCOURBE($A$27,_xlfn.CONCAT("THEME5=",$B54),SCENARIOS!$A$2,SCENARIOS!$B$2,1,YIELDS!K$1)</f>
        <v>1.78</v>
      </c>
      <c r="L54" cm="1">
        <f t="array" ref="L54">_xll.VALEURCOURBE($A$27,_xlfn.CONCAT("THEME5=",$B54),SCENARIOS!$A$2,SCENARIOS!$B$2,1,YIELDS!L$1)</f>
        <v>5.45</v>
      </c>
      <c r="M54" cm="1">
        <f t="array" ref="M54">_xll.VALEURCOURBE($A$27,_xlfn.CONCAT("THEME5=",$B54),SCENARIOS!$A$2,SCENARIOS!$B$2,1,YIELDS!M$1)</f>
        <v>9.08</v>
      </c>
      <c r="N54" cm="1">
        <f t="array" ref="N54">_xll.VALEURCOURBE($A$27,_xlfn.CONCAT("THEME5=",$B54),SCENARIOS!$A$2,SCENARIOS!$B$2,1,YIELDS!N$1)</f>
        <v>12.6</v>
      </c>
      <c r="O54" cm="1">
        <f t="array" ref="O54">_xll.VALEURCOURBE($A$27,_xlfn.CONCAT("THEME5=",$B54),SCENARIOS!$A$2,SCENARIOS!$B$2,1,YIELDS!O$1)</f>
        <v>15.95</v>
      </c>
      <c r="P54" cm="1">
        <f t="array" ref="P54">_xll.VALEURCOURBE($A$27,_xlfn.CONCAT("THEME5=",$B54),SCENARIOS!$A$2,SCENARIOS!$B$2,1,YIELDS!P$1)</f>
        <v>19.14</v>
      </c>
      <c r="Q54" cm="1">
        <f t="array" ref="Q54">_xll.VALEURCOURBE($A$27,_xlfn.CONCAT("THEME5=",$B54),SCENARIOS!$A$2,SCENARIOS!$B$2,1,YIELDS!Q$1)</f>
        <v>22.1</v>
      </c>
      <c r="R54" cm="1">
        <f t="array" ref="R54">_xll.VALEURCOURBE($A$27,_xlfn.CONCAT("THEME5=",$B54),SCENARIOS!$A$2,SCENARIOS!$B$2,1,YIELDS!R$1)</f>
        <v>24.81</v>
      </c>
      <c r="S54" cm="1">
        <f t="array" ref="S54">_xll.VALEURCOURBE($A$27,_xlfn.CONCAT("THEME5=",$B54),SCENARIOS!$A$2,SCENARIOS!$B$2,1,YIELDS!S$1)</f>
        <v>27.3</v>
      </c>
      <c r="T54" cm="1">
        <f t="array" ref="T54">_xll.VALEURCOURBE($A$27,_xlfn.CONCAT("THEME5=",$B54),SCENARIOS!$A$2,SCENARIOS!$B$2,1,YIELDS!T$1)</f>
        <v>29.51</v>
      </c>
      <c r="U54" cm="1">
        <f t="array" ref="U54">_xll.VALEURCOURBE($A$27,_xlfn.CONCAT("THEME5=",$B54),SCENARIOS!$A$2,SCENARIOS!$B$2,1,YIELDS!U$1)</f>
        <v>31.46</v>
      </c>
      <c r="V54" cm="1">
        <f t="array" ref="V54">_xll.VALEURCOURBE($A$27,_xlfn.CONCAT("THEME5=",$B54),SCENARIOS!$A$2,SCENARIOS!$B$2,1,YIELDS!V$1)</f>
        <v>33.159999999999997</v>
      </c>
    </row>
    <row r="55" spans="1:22" x14ac:dyDescent="0.25">
      <c r="A55" t="str">
        <v>YV_G_ECHCE</v>
      </c>
      <c r="B55" t="str">
        <v>FC6923</v>
      </c>
      <c r="C55" cm="1">
        <f t="array" ref="C55">_xll.VALEURCOURBE($A$27,_xlfn.CONCAT("THEME5=",$B55),SCENARIOS!$A$2,SCENARIOS!$B$2,1,YIELDS!C$1)</f>
        <v>0</v>
      </c>
      <c r="D55" cm="1">
        <f t="array" ref="D55">_xll.VALEURCOURBE($A$27,_xlfn.CONCAT("THEME5=",$B55),SCENARIOS!$A$2,SCENARIOS!$B$2,1,YIELDS!D$1)</f>
        <v>0</v>
      </c>
      <c r="E55" cm="1">
        <f t="array" ref="E55">_xll.VALEURCOURBE($A$27,_xlfn.CONCAT("THEME5=",$B55),SCENARIOS!$A$2,SCENARIOS!$B$2,1,YIELDS!E$1)</f>
        <v>0</v>
      </c>
      <c r="F55" cm="1">
        <f t="array" ref="F55">_xll.VALEURCOURBE($A$27,_xlfn.CONCAT("THEME5=",$B55),SCENARIOS!$A$2,SCENARIOS!$B$2,1,YIELDS!F$1)</f>
        <v>0</v>
      </c>
      <c r="G55" cm="1">
        <f t="array" ref="G55">_xll.VALEURCOURBE($A$27,_xlfn.CONCAT("THEME5=",$B55),SCENARIOS!$A$2,SCENARIOS!$B$2,1,YIELDS!G$1)</f>
        <v>0</v>
      </c>
      <c r="H55" cm="1">
        <f t="array" ref="H55">_xll.VALEURCOURBE($A$27,_xlfn.CONCAT("THEME5=",$B55),SCENARIOS!$A$2,SCENARIOS!$B$2,1,YIELDS!H$1)</f>
        <v>0</v>
      </c>
      <c r="I55" cm="1">
        <f t="array" ref="I55">_xll.VALEURCOURBE($A$27,_xlfn.CONCAT("THEME5=",$B55),SCENARIOS!$A$2,SCENARIOS!$B$2,1,YIELDS!I$1)</f>
        <v>0</v>
      </c>
      <c r="J55" cm="1">
        <f t="array" ref="J55">_xll.VALEURCOURBE($A$27,_xlfn.CONCAT("THEME5=",$B55),SCENARIOS!$A$2,SCENARIOS!$B$2,1,YIELDS!J$1)</f>
        <v>0</v>
      </c>
      <c r="K55" cm="1">
        <f t="array" ref="K55">_xll.VALEURCOURBE($A$27,_xlfn.CONCAT("THEME5=",$B55),SCENARIOS!$A$2,SCENARIOS!$B$2,1,YIELDS!K$1)</f>
        <v>0</v>
      </c>
      <c r="L55" cm="1">
        <f t="array" ref="L55">_xll.VALEURCOURBE($A$27,_xlfn.CONCAT("THEME5=",$B55),SCENARIOS!$A$2,SCENARIOS!$B$2,1,YIELDS!L$1)</f>
        <v>0</v>
      </c>
      <c r="M55" cm="1">
        <f t="array" ref="M55">_xll.VALEURCOURBE($A$27,_xlfn.CONCAT("THEME5=",$B55),SCENARIOS!$A$2,SCENARIOS!$B$2,1,YIELDS!M$1)</f>
        <v>3.98</v>
      </c>
      <c r="N55" cm="1">
        <f t="array" ref="N55">_xll.VALEURCOURBE($A$27,_xlfn.CONCAT("THEME5=",$B55),SCENARIOS!$A$2,SCENARIOS!$B$2,1,YIELDS!N$1)</f>
        <v>9.8000000000000007</v>
      </c>
      <c r="O55" cm="1">
        <f t="array" ref="O55">_xll.VALEURCOURBE($A$27,_xlfn.CONCAT("THEME5=",$B55),SCENARIOS!$A$2,SCENARIOS!$B$2,1,YIELDS!O$1)</f>
        <v>15.03</v>
      </c>
      <c r="P55" cm="1">
        <f t="array" ref="P55">_xll.VALEURCOURBE($A$27,_xlfn.CONCAT("THEME5=",$B55),SCENARIOS!$A$2,SCENARIOS!$B$2,1,YIELDS!P$1)</f>
        <v>19.73</v>
      </c>
      <c r="Q55" cm="1">
        <f t="array" ref="Q55">_xll.VALEURCOURBE($A$27,_xlfn.CONCAT("THEME5=",$B55),SCENARIOS!$A$2,SCENARIOS!$B$2,1,YIELDS!Q$1)</f>
        <v>23.95</v>
      </c>
      <c r="R55" cm="1">
        <f t="array" ref="R55">_xll.VALEURCOURBE($A$27,_xlfn.CONCAT("THEME5=",$B55),SCENARIOS!$A$2,SCENARIOS!$B$2,1,YIELDS!R$1)</f>
        <v>27.71</v>
      </c>
      <c r="S55" cm="1">
        <f t="array" ref="S55">_xll.VALEURCOURBE($A$27,_xlfn.CONCAT("THEME5=",$B55),SCENARIOS!$A$2,SCENARIOS!$B$2,1,YIELDS!S$1)</f>
        <v>31.09</v>
      </c>
      <c r="T55" cm="1">
        <f t="array" ref="T55">_xll.VALEURCOURBE($A$27,_xlfn.CONCAT("THEME5=",$B55),SCENARIOS!$A$2,SCENARIOS!$B$2,1,YIELDS!T$1)</f>
        <v>34.1</v>
      </c>
      <c r="U55" cm="1">
        <f t="array" ref="U55">_xll.VALEURCOURBE($A$27,_xlfn.CONCAT("THEME5=",$B55),SCENARIOS!$A$2,SCENARIOS!$B$2,1,YIELDS!U$1)</f>
        <v>36.76</v>
      </c>
      <c r="V55" cm="1">
        <f t="array" ref="V55">_xll.VALEURCOURBE($A$27,_xlfn.CONCAT("THEME5=",$B55),SCENARIOS!$A$2,SCENARIOS!$B$2,1,YIELDS!V$1)</f>
        <v>39.11</v>
      </c>
    </row>
    <row r="56" spans="1:22" x14ac:dyDescent="0.25">
      <c r="A56" t="str">
        <v>YV_G_GHEG</v>
      </c>
      <c r="B56" t="str">
        <v>FC6945</v>
      </c>
      <c r="C56" cm="1">
        <f t="array" ref="C56">_xll.VALEURCOURBE($A$27,_xlfn.CONCAT("THEME5=",$B56),SCENARIOS!$A$2,SCENARIOS!$B$2,1,YIELDS!C$1)</f>
        <v>0</v>
      </c>
      <c r="D56" cm="1">
        <f t="array" ref="D56">_xll.VALEURCOURBE($A$27,_xlfn.CONCAT("THEME5=",$B56),SCENARIOS!$A$2,SCENARIOS!$B$2,1,YIELDS!D$1)</f>
        <v>0</v>
      </c>
      <c r="E56" cm="1">
        <f t="array" ref="E56">_xll.VALEURCOURBE($A$27,_xlfn.CONCAT("THEME5=",$B56),SCENARIOS!$A$2,SCENARIOS!$B$2,1,YIELDS!E$1)</f>
        <v>0.09</v>
      </c>
      <c r="F56" cm="1">
        <f t="array" ref="F56">_xll.VALEURCOURBE($A$27,_xlfn.CONCAT("THEME5=",$B56),SCENARIOS!$A$2,SCENARIOS!$B$2,1,YIELDS!F$1)</f>
        <v>0.18</v>
      </c>
      <c r="G56" cm="1">
        <f t="array" ref="G56">_xll.VALEURCOURBE($A$27,_xlfn.CONCAT("THEME5=",$B56),SCENARIOS!$A$2,SCENARIOS!$B$2,1,YIELDS!G$1)</f>
        <v>0.3</v>
      </c>
      <c r="H56" cm="1">
        <f t="array" ref="H56">_xll.VALEURCOURBE($A$27,_xlfn.CONCAT("THEME5=",$B56),SCENARIOS!$A$2,SCENARIOS!$B$2,1,YIELDS!H$1)</f>
        <v>2.1800000000000002</v>
      </c>
      <c r="I56" cm="1">
        <f t="array" ref="I56">_xll.VALEURCOURBE($A$27,_xlfn.CONCAT("THEME5=",$B56),SCENARIOS!$A$2,SCENARIOS!$B$2,1,YIELDS!I$1)</f>
        <v>4.37</v>
      </c>
      <c r="J56" cm="1">
        <f t="array" ref="J56">_xll.VALEURCOURBE($A$27,_xlfn.CONCAT("THEME5=",$B56),SCENARIOS!$A$2,SCENARIOS!$B$2,1,YIELDS!J$1)</f>
        <v>6.75</v>
      </c>
      <c r="K56" cm="1">
        <f t="array" ref="K56">_xll.VALEURCOURBE($A$27,_xlfn.CONCAT("THEME5=",$B56),SCENARIOS!$A$2,SCENARIOS!$B$2,1,YIELDS!K$1)</f>
        <v>9.1999999999999993</v>
      </c>
      <c r="L56" cm="1">
        <f t="array" ref="L56">_xll.VALEURCOURBE($A$27,_xlfn.CONCAT("THEME5=",$B56),SCENARIOS!$A$2,SCENARIOS!$B$2,1,YIELDS!L$1)</f>
        <v>11.68</v>
      </c>
      <c r="M56" cm="1">
        <f t="array" ref="M56">_xll.VALEURCOURBE($A$27,_xlfn.CONCAT("THEME5=",$B56),SCENARIOS!$A$2,SCENARIOS!$B$2,1,YIELDS!M$1)</f>
        <v>14.08</v>
      </c>
      <c r="N56" cm="1">
        <f t="array" ref="N56">_xll.VALEURCOURBE($A$27,_xlfn.CONCAT("THEME5=",$B56),SCENARIOS!$A$2,SCENARIOS!$B$2,1,YIELDS!N$1)</f>
        <v>16.38</v>
      </c>
      <c r="O56" cm="1">
        <f t="array" ref="O56">_xll.VALEURCOURBE($A$27,_xlfn.CONCAT("THEME5=",$B56),SCENARIOS!$A$2,SCENARIOS!$B$2,1,YIELDS!O$1)</f>
        <v>18.53</v>
      </c>
      <c r="P56" cm="1">
        <f t="array" ref="P56">_xll.VALEURCOURBE($A$27,_xlfn.CONCAT("THEME5=",$B56),SCENARIOS!$A$2,SCENARIOS!$B$2,1,YIELDS!P$1)</f>
        <v>20.48</v>
      </c>
      <c r="Q56" cm="1">
        <f t="array" ref="Q56">_xll.VALEURCOURBE($A$27,_xlfn.CONCAT("THEME5=",$B56),SCENARIOS!$A$2,SCENARIOS!$B$2,1,YIELDS!Q$1)</f>
        <v>22.24</v>
      </c>
      <c r="R56" cm="1">
        <f t="array" ref="R56">_xll.VALEURCOURBE($A$27,_xlfn.CONCAT("THEME5=",$B56),SCENARIOS!$A$2,SCENARIOS!$B$2,1,YIELDS!R$1)</f>
        <v>23.81</v>
      </c>
      <c r="S56" cm="1">
        <f t="array" ref="S56">_xll.VALEURCOURBE($A$27,_xlfn.CONCAT("THEME5=",$B56),SCENARIOS!$A$2,SCENARIOS!$B$2,1,YIELDS!S$1)</f>
        <v>25.13</v>
      </c>
      <c r="T56" cm="1">
        <f t="array" ref="T56">_xll.VALEURCOURBE($A$27,_xlfn.CONCAT("THEME5=",$B56),SCENARIOS!$A$2,SCENARIOS!$B$2,1,YIELDS!T$1)</f>
        <v>26.25</v>
      </c>
      <c r="U56" cm="1">
        <f t="array" ref="U56">_xll.VALEURCOURBE($A$27,_xlfn.CONCAT("THEME5=",$B56),SCENARIOS!$A$2,SCENARIOS!$B$2,1,YIELDS!U$1)</f>
        <v>27.18</v>
      </c>
      <c r="V56" cm="1">
        <f t="array" ref="V56">_xll.VALEURCOURBE($A$27,_xlfn.CONCAT("THEME5=",$B56),SCENARIOS!$A$2,SCENARIOS!$B$2,1,YIELDS!V$1)</f>
        <v>27.9</v>
      </c>
    </row>
    <row r="57" spans="1:22" x14ac:dyDescent="0.25">
      <c r="A57" t="str">
        <v>YG_E_ERS</v>
      </c>
      <c r="B57" t="str">
        <v>FC6967</v>
      </c>
      <c r="C57" cm="1">
        <f t="array" ref="C57">_xll.VALEURCOURBE($A$27,_xlfn.CONCAT("THEME5=",$B57),SCENARIOS!$A$2,SCENARIOS!$B$2,1,YIELDS!C$1)</f>
        <v>0</v>
      </c>
      <c r="D57" cm="1">
        <f t="array" ref="D57">_xll.VALEURCOURBE($A$27,_xlfn.CONCAT("THEME5=",$B57),SCENARIOS!$A$2,SCENARIOS!$B$2,1,YIELDS!D$1)</f>
        <v>0</v>
      </c>
      <c r="E57" cm="1">
        <f t="array" ref="E57">_xll.VALEURCOURBE($A$27,_xlfn.CONCAT("THEME5=",$B57),SCENARIOS!$A$2,SCENARIOS!$B$2,1,YIELDS!E$1)</f>
        <v>0</v>
      </c>
      <c r="F57" cm="1">
        <f t="array" ref="F57">_xll.VALEURCOURBE($A$27,_xlfn.CONCAT("THEME5=",$B57),SCENARIOS!$A$2,SCENARIOS!$B$2,1,YIELDS!F$1)</f>
        <v>0</v>
      </c>
      <c r="G57" cm="1">
        <f t="array" ref="G57">_xll.VALEURCOURBE($A$27,_xlfn.CONCAT("THEME5=",$B57),SCENARIOS!$A$2,SCENARIOS!$B$2,1,YIELDS!G$1)</f>
        <v>0</v>
      </c>
      <c r="H57" cm="1">
        <f t="array" ref="H57">_xll.VALEURCOURBE($A$27,_xlfn.CONCAT("THEME5=",$B57),SCENARIOS!$A$2,SCENARIOS!$B$2,1,YIELDS!H$1)</f>
        <v>0</v>
      </c>
      <c r="I57" cm="1">
        <f t="array" ref="I57">_xll.VALEURCOURBE($A$27,_xlfn.CONCAT("THEME5=",$B57),SCENARIOS!$A$2,SCENARIOS!$B$2,1,YIELDS!I$1)</f>
        <v>0</v>
      </c>
      <c r="J57" cm="1">
        <f t="array" ref="J57">_xll.VALEURCOURBE($A$27,_xlfn.CONCAT("THEME5=",$B57),SCENARIOS!$A$2,SCENARIOS!$B$2,1,YIELDS!J$1)</f>
        <v>2.2799999999999998</v>
      </c>
      <c r="K57" cm="1">
        <f t="array" ref="K57">_xll.VALEURCOURBE($A$27,_xlfn.CONCAT("THEME5=",$B57),SCENARIOS!$A$2,SCENARIOS!$B$2,1,YIELDS!K$1)</f>
        <v>6.2</v>
      </c>
      <c r="L57" cm="1">
        <f t="array" ref="L57">_xll.VALEURCOURBE($A$27,_xlfn.CONCAT("THEME5=",$B57),SCENARIOS!$A$2,SCENARIOS!$B$2,1,YIELDS!L$1)</f>
        <v>10.02</v>
      </c>
      <c r="M57" cm="1">
        <f t="array" ref="M57">_xll.VALEURCOURBE($A$27,_xlfn.CONCAT("THEME5=",$B57),SCENARIOS!$A$2,SCENARIOS!$B$2,1,YIELDS!M$1)</f>
        <v>13.72</v>
      </c>
      <c r="N57" cm="1">
        <f t="array" ref="N57">_xll.VALEURCOURBE($A$27,_xlfn.CONCAT("THEME5=",$B57),SCENARIOS!$A$2,SCENARIOS!$B$2,1,YIELDS!N$1)</f>
        <v>17.190000000000001</v>
      </c>
      <c r="O57" cm="1">
        <f t="array" ref="O57">_xll.VALEURCOURBE($A$27,_xlfn.CONCAT("THEME5=",$B57),SCENARIOS!$A$2,SCENARIOS!$B$2,1,YIELDS!O$1)</f>
        <v>20.45</v>
      </c>
      <c r="P57" cm="1">
        <f t="array" ref="P57">_xll.VALEURCOURBE($A$27,_xlfn.CONCAT("THEME5=",$B57),SCENARIOS!$A$2,SCENARIOS!$B$2,1,YIELDS!P$1)</f>
        <v>23.44</v>
      </c>
      <c r="Q57" cm="1">
        <f t="array" ref="Q57">_xll.VALEURCOURBE($A$27,_xlfn.CONCAT("THEME5=",$B57),SCENARIOS!$A$2,SCENARIOS!$B$2,1,YIELDS!Q$1)</f>
        <v>26.15</v>
      </c>
      <c r="R57" cm="1">
        <f t="array" ref="R57">_xll.VALEURCOURBE($A$27,_xlfn.CONCAT("THEME5=",$B57),SCENARIOS!$A$2,SCENARIOS!$B$2,1,YIELDS!R$1)</f>
        <v>28.57</v>
      </c>
      <c r="S57" cm="1">
        <f t="array" ref="S57">_xll.VALEURCOURBE($A$27,_xlfn.CONCAT("THEME5=",$B57),SCENARIOS!$A$2,SCENARIOS!$B$2,1,YIELDS!S$1)</f>
        <v>30.7</v>
      </c>
      <c r="T57" cm="1">
        <f t="array" ref="T57">_xll.VALEURCOURBE($A$27,_xlfn.CONCAT("THEME5=",$B57),SCENARIOS!$A$2,SCENARIOS!$B$2,1,YIELDS!T$1)</f>
        <v>32.53</v>
      </c>
      <c r="U57" cm="1">
        <f t="array" ref="U57">_xll.VALEURCOURBE($A$27,_xlfn.CONCAT("THEME5=",$B57),SCENARIOS!$A$2,SCENARIOS!$B$2,1,YIELDS!U$1)</f>
        <v>34.08</v>
      </c>
      <c r="V57" cm="1">
        <f t="array" ref="V57">_xll.VALEURCOURBE($A$27,_xlfn.CONCAT("THEME5=",$B57),SCENARIOS!$A$2,SCENARIOS!$B$2,1,YIELDS!V$1)</f>
        <v>35.36</v>
      </c>
    </row>
    <row r="58" spans="1:22" x14ac:dyDescent="0.25">
      <c r="A58" t="str">
        <v>YG_E_PRU</v>
      </c>
      <c r="B58" t="str">
        <v>FC6970</v>
      </c>
      <c r="C58" cm="1">
        <f t="array" ref="C58">_xll.VALEURCOURBE($A$27,_xlfn.CONCAT("THEME5=",$B58),SCENARIOS!$A$2,SCENARIOS!$B$2,1,YIELDS!C$1)</f>
        <v>0</v>
      </c>
      <c r="D58" cm="1">
        <f t="array" ref="D58">_xll.VALEURCOURBE($A$27,_xlfn.CONCAT("THEME5=",$B58),SCENARIOS!$A$2,SCENARIOS!$B$2,1,YIELDS!D$1)</f>
        <v>0</v>
      </c>
      <c r="E58" cm="1">
        <f t="array" ref="E58">_xll.VALEURCOURBE($A$27,_xlfn.CONCAT("THEME5=",$B58),SCENARIOS!$A$2,SCENARIOS!$B$2,1,YIELDS!E$1)</f>
        <v>0</v>
      </c>
      <c r="F58" cm="1">
        <f t="array" ref="F58">_xll.VALEURCOURBE($A$27,_xlfn.CONCAT("THEME5=",$B58),SCENARIOS!$A$2,SCENARIOS!$B$2,1,YIELDS!F$1)</f>
        <v>0</v>
      </c>
      <c r="G58" cm="1">
        <f t="array" ref="G58">_xll.VALEURCOURBE($A$27,_xlfn.CONCAT("THEME5=",$B58),SCENARIOS!$A$2,SCENARIOS!$B$2,1,YIELDS!G$1)</f>
        <v>0</v>
      </c>
      <c r="H58" cm="1">
        <f t="array" ref="H58">_xll.VALEURCOURBE($A$27,_xlfn.CONCAT("THEME5=",$B58),SCENARIOS!$A$2,SCENARIOS!$B$2,1,YIELDS!H$1)</f>
        <v>0</v>
      </c>
      <c r="I58" cm="1">
        <f t="array" ref="I58">_xll.VALEURCOURBE($A$27,_xlfn.CONCAT("THEME5=",$B58),SCENARIOS!$A$2,SCENARIOS!$B$2,1,YIELDS!I$1)</f>
        <v>0</v>
      </c>
      <c r="J58" cm="1">
        <f t="array" ref="J58">_xll.VALEURCOURBE($A$27,_xlfn.CONCAT("THEME5=",$B58),SCENARIOS!$A$2,SCENARIOS!$B$2,1,YIELDS!J$1)</f>
        <v>2.2799999999999998</v>
      </c>
      <c r="K58" cm="1">
        <f t="array" ref="K58">_xll.VALEURCOURBE($A$27,_xlfn.CONCAT("THEME5=",$B58),SCENARIOS!$A$2,SCENARIOS!$B$2,1,YIELDS!K$1)</f>
        <v>6.2</v>
      </c>
      <c r="L58" cm="1">
        <f t="array" ref="L58">_xll.VALEURCOURBE($A$27,_xlfn.CONCAT("THEME5=",$B58),SCENARIOS!$A$2,SCENARIOS!$B$2,1,YIELDS!L$1)</f>
        <v>10.02</v>
      </c>
      <c r="M58" cm="1">
        <f t="array" ref="M58">_xll.VALEURCOURBE($A$27,_xlfn.CONCAT("THEME5=",$B58),SCENARIOS!$A$2,SCENARIOS!$B$2,1,YIELDS!M$1)</f>
        <v>13.72</v>
      </c>
      <c r="N58" cm="1">
        <f t="array" ref="N58">_xll.VALEURCOURBE($A$27,_xlfn.CONCAT("THEME5=",$B58),SCENARIOS!$A$2,SCENARIOS!$B$2,1,YIELDS!N$1)</f>
        <v>17.190000000000001</v>
      </c>
      <c r="O58" cm="1">
        <f t="array" ref="O58">_xll.VALEURCOURBE($A$27,_xlfn.CONCAT("THEME5=",$B58),SCENARIOS!$A$2,SCENARIOS!$B$2,1,YIELDS!O$1)</f>
        <v>20.45</v>
      </c>
      <c r="P58" cm="1">
        <f t="array" ref="P58">_xll.VALEURCOURBE($A$27,_xlfn.CONCAT("THEME5=",$B58),SCENARIOS!$A$2,SCENARIOS!$B$2,1,YIELDS!P$1)</f>
        <v>23.44</v>
      </c>
      <c r="Q58" cm="1">
        <f t="array" ref="Q58">_xll.VALEURCOURBE($A$27,_xlfn.CONCAT("THEME5=",$B58),SCENARIOS!$A$2,SCENARIOS!$B$2,1,YIELDS!Q$1)</f>
        <v>26.15</v>
      </c>
      <c r="R58" cm="1">
        <f t="array" ref="R58">_xll.VALEURCOURBE($A$27,_xlfn.CONCAT("THEME5=",$B58),SCENARIOS!$A$2,SCENARIOS!$B$2,1,YIELDS!R$1)</f>
        <v>28.57</v>
      </c>
      <c r="S58" cm="1">
        <f t="array" ref="S58">_xll.VALEURCOURBE($A$27,_xlfn.CONCAT("THEME5=",$B58),SCENARIOS!$A$2,SCENARIOS!$B$2,1,YIELDS!S$1)</f>
        <v>30.7</v>
      </c>
      <c r="T58" cm="1">
        <f t="array" ref="T58">_xll.VALEURCOURBE($A$27,_xlfn.CONCAT("THEME5=",$B58),SCENARIOS!$A$2,SCENARIOS!$B$2,1,YIELDS!T$1)</f>
        <v>32.53</v>
      </c>
      <c r="U58" cm="1">
        <f t="array" ref="U58">_xll.VALEURCOURBE($A$27,_xlfn.CONCAT("THEME5=",$B58),SCENARIOS!$A$2,SCENARIOS!$B$2,1,YIELDS!U$1)</f>
        <v>34.08</v>
      </c>
      <c r="V58" cm="1">
        <f t="array" ref="V58">_xll.VALEURCOURBE($A$27,_xlfn.CONCAT("THEME5=",$B58),SCENARIOS!$A$2,SCENARIOS!$B$2,1,YIELDS!V$1)</f>
        <v>35.36</v>
      </c>
    </row>
    <row r="59" spans="1:22" x14ac:dyDescent="0.25">
      <c r="A59" t="str">
        <v>YG_G_GHEG</v>
      </c>
      <c r="B59" t="str">
        <v>FC7050</v>
      </c>
      <c r="C59" cm="1">
        <f t="array" ref="C59">_xll.VALEURCOURBE($A$27,_xlfn.CONCAT("THEME5=",$B59),SCENARIOS!$A$2,SCENARIOS!$B$2,1,YIELDS!C$1)</f>
        <v>0</v>
      </c>
      <c r="D59" cm="1">
        <f t="array" ref="D59">_xll.VALEURCOURBE($A$27,_xlfn.CONCAT("THEME5=",$B59),SCENARIOS!$A$2,SCENARIOS!$B$2,1,YIELDS!D$1)</f>
        <v>0</v>
      </c>
      <c r="E59" cm="1">
        <f t="array" ref="E59">_xll.VALEURCOURBE($A$27,_xlfn.CONCAT("THEME5=",$B59),SCENARIOS!$A$2,SCENARIOS!$B$2,1,YIELDS!E$1)</f>
        <v>0</v>
      </c>
      <c r="F59" cm="1">
        <f t="array" ref="F59">_xll.VALEURCOURBE($A$27,_xlfn.CONCAT("THEME5=",$B59),SCENARIOS!$A$2,SCENARIOS!$B$2,1,YIELDS!F$1)</f>
        <v>0</v>
      </c>
      <c r="G59" cm="1">
        <f t="array" ref="G59">_xll.VALEURCOURBE($A$27,_xlfn.CONCAT("THEME5=",$B59),SCENARIOS!$A$2,SCENARIOS!$B$2,1,YIELDS!G$1)</f>
        <v>0</v>
      </c>
      <c r="H59" cm="1">
        <f t="array" ref="H59">_xll.VALEURCOURBE($A$27,_xlfn.CONCAT("THEME5=",$B59),SCENARIOS!$A$2,SCENARIOS!$B$2,1,YIELDS!H$1)</f>
        <v>0</v>
      </c>
      <c r="I59" cm="1">
        <f t="array" ref="I59">_xll.VALEURCOURBE($A$27,_xlfn.CONCAT("THEME5=",$B59),SCENARIOS!$A$2,SCENARIOS!$B$2,1,YIELDS!I$1)</f>
        <v>0</v>
      </c>
      <c r="J59" cm="1">
        <f t="array" ref="J59">_xll.VALEURCOURBE($A$27,_xlfn.CONCAT("THEME5=",$B59),SCENARIOS!$A$2,SCENARIOS!$B$2,1,YIELDS!J$1)</f>
        <v>8.48</v>
      </c>
      <c r="K59" cm="1">
        <f t="array" ref="K59">_xll.VALEURCOURBE($A$27,_xlfn.CONCAT("THEME5=",$B59),SCENARIOS!$A$2,SCENARIOS!$B$2,1,YIELDS!K$1)</f>
        <v>19.25</v>
      </c>
      <c r="L59" cm="1">
        <f t="array" ref="L59">_xll.VALEURCOURBE($A$27,_xlfn.CONCAT("THEME5=",$B59),SCENARIOS!$A$2,SCENARIOS!$B$2,1,YIELDS!L$1)</f>
        <v>28.34</v>
      </c>
      <c r="M59" cm="1">
        <f t="array" ref="M59">_xll.VALEURCOURBE($A$27,_xlfn.CONCAT("THEME5=",$B59),SCENARIOS!$A$2,SCENARIOS!$B$2,1,YIELDS!M$1)</f>
        <v>36.4</v>
      </c>
      <c r="N59" cm="1">
        <f t="array" ref="N59">_xll.VALEURCOURBE($A$27,_xlfn.CONCAT("THEME5=",$B59),SCENARIOS!$A$2,SCENARIOS!$B$2,1,YIELDS!N$1)</f>
        <v>43.51</v>
      </c>
      <c r="O59" cm="1">
        <f t="array" ref="O59">_xll.VALEURCOURBE($A$27,_xlfn.CONCAT("THEME5=",$B59),SCENARIOS!$A$2,SCENARIOS!$B$2,1,YIELDS!O$1)</f>
        <v>49.66</v>
      </c>
      <c r="P59" cm="1">
        <f t="array" ref="P59">_xll.VALEURCOURBE($A$27,_xlfn.CONCAT("THEME5=",$B59),SCENARIOS!$A$2,SCENARIOS!$B$2,1,YIELDS!P$1)</f>
        <v>54.9</v>
      </c>
      <c r="Q59" cm="1">
        <f t="array" ref="Q59">_xll.VALEURCOURBE($A$27,_xlfn.CONCAT("THEME5=",$B59),SCENARIOS!$A$2,SCENARIOS!$B$2,1,YIELDS!Q$1)</f>
        <v>59.25</v>
      </c>
      <c r="R59" cm="1">
        <f t="array" ref="R59">_xll.VALEURCOURBE($A$27,_xlfn.CONCAT("THEME5=",$B59),SCENARIOS!$A$2,SCENARIOS!$B$2,1,YIELDS!R$1)</f>
        <v>62.77</v>
      </c>
      <c r="S59" cm="1">
        <f t="array" ref="S59">_xll.VALEURCOURBE($A$27,_xlfn.CONCAT("THEME5=",$B59),SCENARIOS!$A$2,SCENARIOS!$B$2,1,YIELDS!S$1)</f>
        <v>65.510000000000005</v>
      </c>
      <c r="T59" cm="1">
        <f t="array" ref="T59">_xll.VALEURCOURBE($A$27,_xlfn.CONCAT("THEME5=",$B59),SCENARIOS!$A$2,SCENARIOS!$B$2,1,YIELDS!T$1)</f>
        <v>67.53</v>
      </c>
      <c r="U59" cm="1">
        <f t="array" ref="U59">_xll.VALEURCOURBE($A$27,_xlfn.CONCAT("THEME5=",$B59),SCENARIOS!$A$2,SCENARIOS!$B$2,1,YIELDS!U$1)</f>
        <v>68.900000000000006</v>
      </c>
      <c r="V59" cm="1">
        <f t="array" ref="V59">_xll.VALEURCOURBE($A$27,_xlfn.CONCAT("THEME5=",$B59),SCENARIOS!$A$2,SCENARIOS!$B$2,1,YIELDS!V$1)</f>
        <v>69.680000000000007</v>
      </c>
    </row>
    <row r="60" spans="1:22" x14ac:dyDescent="0.25">
      <c r="A60" t="str">
        <v>YV_E_ERS</v>
      </c>
      <c r="B60" t="str">
        <v>FC7065</v>
      </c>
      <c r="C60" cm="1">
        <f t="array" ref="C60">_xll.VALEURCOURBE($A$27,_xlfn.CONCAT("THEME5=",$B60),SCENARIOS!$A$2,SCENARIOS!$B$2,1,YIELDS!C$1)</f>
        <v>0</v>
      </c>
      <c r="D60" cm="1">
        <f t="array" ref="D60">_xll.VALEURCOURBE($A$27,_xlfn.CONCAT("THEME5=",$B60),SCENARIOS!$A$2,SCENARIOS!$B$2,1,YIELDS!D$1)</f>
        <v>0</v>
      </c>
      <c r="E60" cm="1">
        <f t="array" ref="E60">_xll.VALEURCOURBE($A$27,_xlfn.CONCAT("THEME5=",$B60),SCENARIOS!$A$2,SCENARIOS!$B$2,1,YIELDS!E$1)</f>
        <v>0</v>
      </c>
      <c r="F60" cm="1">
        <f t="array" ref="F60">_xll.VALEURCOURBE($A$27,_xlfn.CONCAT("THEME5=",$B60),SCENARIOS!$A$2,SCENARIOS!$B$2,1,YIELDS!F$1)</f>
        <v>0</v>
      </c>
      <c r="G60" cm="1">
        <f t="array" ref="G60">_xll.VALEURCOURBE($A$27,_xlfn.CONCAT("THEME5=",$B60),SCENARIOS!$A$2,SCENARIOS!$B$2,1,YIELDS!G$1)</f>
        <v>0</v>
      </c>
      <c r="H60" cm="1">
        <f t="array" ref="H60">_xll.VALEURCOURBE($A$27,_xlfn.CONCAT("THEME5=",$B60),SCENARIOS!$A$2,SCENARIOS!$B$2,1,YIELDS!H$1)</f>
        <v>0</v>
      </c>
      <c r="I60" cm="1">
        <f t="array" ref="I60">_xll.VALEURCOURBE($A$27,_xlfn.CONCAT("THEME5=",$B60),SCENARIOS!$A$2,SCENARIOS!$B$2,1,YIELDS!I$1)</f>
        <v>0</v>
      </c>
      <c r="J60" cm="1">
        <f t="array" ref="J60">_xll.VALEURCOURBE($A$27,_xlfn.CONCAT("THEME5=",$B60),SCENARIOS!$A$2,SCENARIOS!$B$2,1,YIELDS!J$1)</f>
        <v>0</v>
      </c>
      <c r="K60" cm="1">
        <f t="array" ref="K60">_xll.VALEURCOURBE($A$27,_xlfn.CONCAT("THEME5=",$B60),SCENARIOS!$A$2,SCENARIOS!$B$2,1,YIELDS!K$1)</f>
        <v>0</v>
      </c>
      <c r="L60" cm="1">
        <f t="array" ref="L60">_xll.VALEURCOURBE($A$27,_xlfn.CONCAT("THEME5=",$B60),SCENARIOS!$A$2,SCENARIOS!$B$2,1,YIELDS!L$1)</f>
        <v>0</v>
      </c>
      <c r="M60" cm="1">
        <f t="array" ref="M60">_xll.VALEURCOURBE($A$27,_xlfn.CONCAT("THEME5=",$B60),SCENARIOS!$A$2,SCENARIOS!$B$2,1,YIELDS!M$1)</f>
        <v>1.84</v>
      </c>
      <c r="N60" cm="1">
        <f t="array" ref="N60">_xll.VALEURCOURBE($A$27,_xlfn.CONCAT("THEME5=",$B60),SCENARIOS!$A$2,SCENARIOS!$B$2,1,YIELDS!N$1)</f>
        <v>10.06</v>
      </c>
      <c r="O60" cm="1">
        <f t="array" ref="O60">_xll.VALEURCOURBE($A$27,_xlfn.CONCAT("THEME5=",$B60),SCENARIOS!$A$2,SCENARIOS!$B$2,1,YIELDS!O$1)</f>
        <v>17.82</v>
      </c>
      <c r="P60" cm="1">
        <f t="array" ref="P60">_xll.VALEURCOURBE($A$27,_xlfn.CONCAT("THEME5=",$B60),SCENARIOS!$A$2,SCENARIOS!$B$2,1,YIELDS!P$1)</f>
        <v>25.03</v>
      </c>
      <c r="Q60" cm="1">
        <f t="array" ref="Q60">_xll.VALEURCOURBE($A$27,_xlfn.CONCAT("THEME5=",$B60),SCENARIOS!$A$2,SCENARIOS!$B$2,1,YIELDS!Q$1)</f>
        <v>31.65</v>
      </c>
      <c r="R60" cm="1">
        <f t="array" ref="R60">_xll.VALEURCOURBE($A$27,_xlfn.CONCAT("THEME5=",$B60),SCENARIOS!$A$2,SCENARIOS!$B$2,1,YIELDS!R$1)</f>
        <v>37.67</v>
      </c>
      <c r="S60" cm="1">
        <f t="array" ref="S60">_xll.VALEURCOURBE($A$27,_xlfn.CONCAT("THEME5=",$B60),SCENARIOS!$A$2,SCENARIOS!$B$2,1,YIELDS!S$1)</f>
        <v>43.12</v>
      </c>
      <c r="T60" cm="1">
        <f t="array" ref="T60">_xll.VALEURCOURBE($A$27,_xlfn.CONCAT("THEME5=",$B60),SCENARIOS!$A$2,SCENARIOS!$B$2,1,YIELDS!T$1)</f>
        <v>47.99</v>
      </c>
      <c r="U60" cm="1">
        <f t="array" ref="U60">_xll.VALEURCOURBE($A$27,_xlfn.CONCAT("THEME5=",$B60),SCENARIOS!$A$2,SCENARIOS!$B$2,1,YIELDS!U$1)</f>
        <v>52.33</v>
      </c>
      <c r="V60" cm="1">
        <f t="array" ref="V60">_xll.VALEURCOURBE($A$27,_xlfn.CONCAT("THEME5=",$B60),SCENARIOS!$A$2,SCENARIOS!$B$2,1,YIELDS!V$1)</f>
        <v>56.16</v>
      </c>
    </row>
    <row r="61" spans="1:22" x14ac:dyDescent="0.25">
      <c r="A61" t="str">
        <v>YV_E_PRU</v>
      </c>
      <c r="B61" t="str">
        <v>FC7073</v>
      </c>
      <c r="C61" cm="1">
        <f t="array" ref="C61">_xll.VALEURCOURBE($A$27,_xlfn.CONCAT("THEME5=",$B61),SCENARIOS!$A$2,SCENARIOS!$B$2,1,YIELDS!C$1)</f>
        <v>0</v>
      </c>
      <c r="D61" cm="1">
        <f t="array" ref="D61">_xll.VALEURCOURBE($A$27,_xlfn.CONCAT("THEME5=",$B61),SCENARIOS!$A$2,SCENARIOS!$B$2,1,YIELDS!D$1)</f>
        <v>0</v>
      </c>
      <c r="E61" cm="1">
        <f t="array" ref="E61">_xll.VALEURCOURBE($A$27,_xlfn.CONCAT("THEME5=",$B61),SCENARIOS!$A$2,SCENARIOS!$B$2,1,YIELDS!E$1)</f>
        <v>0</v>
      </c>
      <c r="F61" cm="1">
        <f t="array" ref="F61">_xll.VALEURCOURBE($A$27,_xlfn.CONCAT("THEME5=",$B61),SCENARIOS!$A$2,SCENARIOS!$B$2,1,YIELDS!F$1)</f>
        <v>0</v>
      </c>
      <c r="G61" cm="1">
        <f t="array" ref="G61">_xll.VALEURCOURBE($A$27,_xlfn.CONCAT("THEME5=",$B61),SCENARIOS!$A$2,SCENARIOS!$B$2,1,YIELDS!G$1)</f>
        <v>0</v>
      </c>
      <c r="H61" cm="1">
        <f t="array" ref="H61">_xll.VALEURCOURBE($A$27,_xlfn.CONCAT("THEME5=",$B61),SCENARIOS!$A$2,SCENARIOS!$B$2,1,YIELDS!H$1)</f>
        <v>0</v>
      </c>
      <c r="I61" cm="1">
        <f t="array" ref="I61">_xll.VALEURCOURBE($A$27,_xlfn.CONCAT("THEME5=",$B61),SCENARIOS!$A$2,SCENARIOS!$B$2,1,YIELDS!I$1)</f>
        <v>0</v>
      </c>
      <c r="J61" cm="1">
        <f t="array" ref="J61">_xll.VALEURCOURBE($A$27,_xlfn.CONCAT("THEME5=",$B61),SCENARIOS!$A$2,SCENARIOS!$B$2,1,YIELDS!J$1)</f>
        <v>0</v>
      </c>
      <c r="K61" cm="1">
        <f t="array" ref="K61">_xll.VALEURCOURBE($A$27,_xlfn.CONCAT("THEME5=",$B61),SCENARIOS!$A$2,SCENARIOS!$B$2,1,YIELDS!K$1)</f>
        <v>0</v>
      </c>
      <c r="L61" cm="1">
        <f t="array" ref="L61">_xll.VALEURCOURBE($A$27,_xlfn.CONCAT("THEME5=",$B61),SCENARIOS!$A$2,SCENARIOS!$B$2,1,YIELDS!L$1)</f>
        <v>10.7</v>
      </c>
      <c r="M61" cm="1">
        <f t="array" ref="M61">_xll.VALEURCOURBE($A$27,_xlfn.CONCAT("THEME5=",$B61),SCENARIOS!$A$2,SCENARIOS!$B$2,1,YIELDS!M$1)</f>
        <v>21.08</v>
      </c>
      <c r="N61" cm="1">
        <f t="array" ref="N61">_xll.VALEURCOURBE($A$27,_xlfn.CONCAT("THEME5=",$B61),SCENARIOS!$A$2,SCENARIOS!$B$2,1,YIELDS!N$1)</f>
        <v>30.11</v>
      </c>
      <c r="O61" cm="1">
        <f t="array" ref="O61">_xll.VALEURCOURBE($A$27,_xlfn.CONCAT("THEME5=",$B61),SCENARIOS!$A$2,SCENARIOS!$B$2,1,YIELDS!O$1)</f>
        <v>38.07</v>
      </c>
      <c r="P61" cm="1">
        <f t="array" ref="P61">_xll.VALEURCOURBE($A$27,_xlfn.CONCAT("THEME5=",$B61),SCENARIOS!$A$2,SCENARIOS!$B$2,1,YIELDS!P$1)</f>
        <v>45.09</v>
      </c>
      <c r="Q61" cm="1">
        <f t="array" ref="Q61">_xll.VALEURCOURBE($A$27,_xlfn.CONCAT("THEME5=",$B61),SCENARIOS!$A$2,SCENARIOS!$B$2,1,YIELDS!Q$1)</f>
        <v>51.16</v>
      </c>
      <c r="R61" cm="1">
        <f t="array" ref="R61">_xll.VALEURCOURBE($A$27,_xlfn.CONCAT("THEME5=",$B61),SCENARIOS!$A$2,SCENARIOS!$B$2,1,YIELDS!R$1)</f>
        <v>56.39</v>
      </c>
      <c r="S61" cm="1">
        <f t="array" ref="S61">_xll.VALEURCOURBE($A$27,_xlfn.CONCAT("THEME5=",$B61),SCENARIOS!$A$2,SCENARIOS!$B$2,1,YIELDS!S$1)</f>
        <v>60.81</v>
      </c>
      <c r="T61" cm="1">
        <f t="array" ref="T61">_xll.VALEURCOURBE($A$27,_xlfn.CONCAT("THEME5=",$B61),SCENARIOS!$A$2,SCENARIOS!$B$2,1,YIELDS!T$1)</f>
        <v>64.52</v>
      </c>
      <c r="U61" cm="1">
        <f t="array" ref="U61">_xll.VALEURCOURBE($A$27,_xlfn.CONCAT("THEME5=",$B61),SCENARIOS!$A$2,SCENARIOS!$B$2,1,YIELDS!U$1)</f>
        <v>67.569999999999993</v>
      </c>
      <c r="V61" cm="1">
        <f t="array" ref="V61">_xll.VALEURCOURBE($A$27,_xlfn.CONCAT("THEME5=",$B61),SCENARIOS!$A$2,SCENARIOS!$B$2,1,YIELDS!V$1)</f>
        <v>69.989999999999995</v>
      </c>
    </row>
    <row r="62" spans="1:22" x14ac:dyDescent="0.25">
      <c r="A62" t="str">
        <v>YVBO_E_ERS</v>
      </c>
      <c r="B62" t="str">
        <v>FC7079</v>
      </c>
      <c r="C62" cm="1">
        <f t="array" ref="C62">_xll.VALEURCOURBE($A$27,_xlfn.CONCAT("THEME5=",$B62),SCENARIOS!$A$2,SCENARIOS!$B$2,1,YIELDS!C$1)</f>
        <v>0</v>
      </c>
      <c r="D62" cm="1">
        <f t="array" ref="D62">_xll.VALEURCOURBE($A$27,_xlfn.CONCAT("THEME5=",$B62),SCENARIOS!$A$2,SCENARIOS!$B$2,1,YIELDS!D$1)</f>
        <v>0</v>
      </c>
      <c r="E62" cm="1">
        <f t="array" ref="E62">_xll.VALEURCOURBE($A$27,_xlfn.CONCAT("THEME5=",$B62),SCENARIOS!$A$2,SCENARIOS!$B$2,1,YIELDS!E$1)</f>
        <v>0</v>
      </c>
      <c r="F62" cm="1">
        <f t="array" ref="F62">_xll.VALEURCOURBE($A$27,_xlfn.CONCAT("THEME5=",$B62),SCENARIOS!$A$2,SCENARIOS!$B$2,1,YIELDS!F$1)</f>
        <v>0</v>
      </c>
      <c r="G62" cm="1">
        <f t="array" ref="G62">_xll.VALEURCOURBE($A$27,_xlfn.CONCAT("THEME5=",$B62),SCENARIOS!$A$2,SCENARIOS!$B$2,1,YIELDS!G$1)</f>
        <v>0</v>
      </c>
      <c r="H62" cm="1">
        <f t="array" ref="H62">_xll.VALEURCOURBE($A$27,_xlfn.CONCAT("THEME5=",$B62),SCENARIOS!$A$2,SCENARIOS!$B$2,1,YIELDS!H$1)</f>
        <v>0</v>
      </c>
      <c r="I62" cm="1">
        <f t="array" ref="I62">_xll.VALEURCOURBE($A$27,_xlfn.CONCAT("THEME5=",$B62),SCENARIOS!$A$2,SCENARIOS!$B$2,1,YIELDS!I$1)</f>
        <v>0</v>
      </c>
      <c r="J62" cm="1">
        <f t="array" ref="J62">_xll.VALEURCOURBE($A$27,_xlfn.CONCAT("THEME5=",$B62),SCENARIOS!$A$2,SCENARIOS!$B$2,1,YIELDS!J$1)</f>
        <v>0</v>
      </c>
      <c r="K62" cm="1">
        <f t="array" ref="K62">_xll.VALEURCOURBE($A$27,_xlfn.CONCAT("THEME5=",$B62),SCENARIOS!$A$2,SCENARIOS!$B$2,1,YIELDS!K$1)</f>
        <v>0</v>
      </c>
      <c r="L62" cm="1">
        <f t="array" ref="L62">_xll.VALEURCOURBE($A$27,_xlfn.CONCAT("THEME5=",$B62),SCENARIOS!$A$2,SCENARIOS!$B$2,1,YIELDS!L$1)</f>
        <v>0</v>
      </c>
      <c r="M62" cm="1">
        <f t="array" ref="M62">_xll.VALEURCOURBE($A$27,_xlfn.CONCAT("THEME5=",$B62),SCENARIOS!$A$2,SCENARIOS!$B$2,1,YIELDS!M$1)</f>
        <v>0</v>
      </c>
      <c r="N62" cm="1">
        <f t="array" ref="N62">_xll.VALEURCOURBE($A$27,_xlfn.CONCAT("THEME5=",$B62),SCENARIOS!$A$2,SCENARIOS!$B$2,1,YIELDS!N$1)</f>
        <v>0</v>
      </c>
      <c r="O62" cm="1">
        <f t="array" ref="O62">_xll.VALEURCOURBE($A$27,_xlfn.CONCAT("THEME5=",$B62),SCENARIOS!$A$2,SCENARIOS!$B$2,1,YIELDS!O$1)</f>
        <v>0</v>
      </c>
      <c r="P62" cm="1">
        <f t="array" ref="P62">_xll.VALEURCOURBE($A$27,_xlfn.CONCAT("THEME5=",$B62),SCENARIOS!$A$2,SCENARIOS!$B$2,1,YIELDS!P$1)</f>
        <v>0</v>
      </c>
      <c r="Q62" cm="1">
        <f t="array" ref="Q62">_xll.VALEURCOURBE($A$27,_xlfn.CONCAT("THEME5=",$B62),SCENARIOS!$A$2,SCENARIOS!$B$2,1,YIELDS!Q$1)</f>
        <v>5.75</v>
      </c>
      <c r="R62" cm="1">
        <f t="array" ref="R62">_xll.VALEURCOURBE($A$27,_xlfn.CONCAT("THEME5=",$B62),SCENARIOS!$A$2,SCENARIOS!$B$2,1,YIELDS!R$1)</f>
        <v>20.5</v>
      </c>
      <c r="S62" cm="1">
        <f t="array" ref="S62">_xll.VALEURCOURBE($A$27,_xlfn.CONCAT("THEME5=",$B62),SCENARIOS!$A$2,SCENARIOS!$B$2,1,YIELDS!S$1)</f>
        <v>32.869999999999997</v>
      </c>
      <c r="T62" cm="1">
        <f t="array" ref="T62">_xll.VALEURCOURBE($A$27,_xlfn.CONCAT("THEME5=",$B62),SCENARIOS!$A$2,SCENARIOS!$B$2,1,YIELDS!T$1)</f>
        <v>44.31</v>
      </c>
      <c r="U62" cm="1">
        <f t="array" ref="U62">_xll.VALEURCOURBE($A$27,_xlfn.CONCAT("THEME5=",$B62),SCENARIOS!$A$2,SCENARIOS!$B$2,1,YIELDS!U$1)</f>
        <v>54.92</v>
      </c>
      <c r="V62" cm="1">
        <f t="array" ref="V62">_xll.VALEURCOURBE($A$27,_xlfn.CONCAT("THEME5=",$B62),SCENARIOS!$A$2,SCENARIOS!$B$2,1,YIELDS!V$1)</f>
        <v>64.7</v>
      </c>
    </row>
    <row r="63" spans="1:22" x14ac:dyDescent="0.25">
      <c r="A63" t="str">
        <v>YHMOY</v>
      </c>
      <c r="B63" t="str">
        <v>FC7085</v>
      </c>
      <c r="C63" cm="1">
        <f t="array" ref="C63">_xll.VALEURCOURBE($A$27,_xlfn.CONCAT("THEME5=",$B63),SCENARIOS!$A$2,SCENARIOS!$B$2,1,YIELDS!C$1)</f>
        <v>0</v>
      </c>
      <c r="D63" cm="1">
        <f t="array" ref="D63">_xll.VALEURCOURBE($A$27,_xlfn.CONCAT("THEME5=",$B63),SCENARIOS!$A$2,SCENARIOS!$B$2,1,YIELDS!D$1)</f>
        <v>0</v>
      </c>
      <c r="E63" cm="1">
        <f t="array" ref="E63">_xll.VALEURCOURBE($A$27,_xlfn.CONCAT("THEME5=",$B63),SCENARIOS!$A$2,SCENARIOS!$B$2,1,YIELDS!E$1)</f>
        <v>0</v>
      </c>
      <c r="F63" cm="1">
        <f t="array" ref="F63">_xll.VALEURCOURBE($A$27,_xlfn.CONCAT("THEME5=",$B63),SCENARIOS!$A$2,SCENARIOS!$B$2,1,YIELDS!F$1)</f>
        <v>0</v>
      </c>
      <c r="G63" cm="1">
        <f t="array" ref="G63">_xll.VALEURCOURBE($A$27,_xlfn.CONCAT("THEME5=",$B63),SCENARIOS!$A$2,SCENARIOS!$B$2,1,YIELDS!G$1)</f>
        <v>0</v>
      </c>
      <c r="H63" cm="1">
        <f t="array" ref="H63">_xll.VALEURCOURBE($A$27,_xlfn.CONCAT("THEME5=",$B63),SCENARIOS!$A$2,SCENARIOS!$B$2,1,YIELDS!H$1)</f>
        <v>0</v>
      </c>
      <c r="I63" cm="1">
        <f t="array" ref="I63">_xll.VALEURCOURBE($A$27,_xlfn.CONCAT("THEME5=",$B63),SCENARIOS!$A$2,SCENARIOS!$B$2,1,YIELDS!I$1)</f>
        <v>0</v>
      </c>
      <c r="J63" cm="1">
        <f t="array" ref="J63">_xll.VALEURCOURBE($A$27,_xlfn.CONCAT("THEME5=",$B63),SCENARIOS!$A$2,SCENARIOS!$B$2,1,YIELDS!J$1)</f>
        <v>0</v>
      </c>
      <c r="K63" cm="1">
        <f t="array" ref="K63">_xll.VALEURCOURBE($A$27,_xlfn.CONCAT("THEME5=",$B63),SCENARIOS!$A$2,SCENARIOS!$B$2,1,YIELDS!K$1)</f>
        <v>0</v>
      </c>
      <c r="L63" cm="1">
        <f t="array" ref="L63">_xll.VALEURCOURBE($A$27,_xlfn.CONCAT("THEME5=",$B63),SCENARIOS!$A$2,SCENARIOS!$B$2,1,YIELDS!L$1)</f>
        <v>0</v>
      </c>
      <c r="M63" cm="1">
        <f t="array" ref="M63">_xll.VALEURCOURBE($A$27,_xlfn.CONCAT("THEME5=",$B63),SCENARIOS!$A$2,SCENARIOS!$B$2,1,YIELDS!M$1)</f>
        <v>0</v>
      </c>
      <c r="N63" cm="1">
        <f t="array" ref="N63">_xll.VALEURCOURBE($A$27,_xlfn.CONCAT("THEME5=",$B63),SCENARIOS!$A$2,SCENARIOS!$B$2,1,YIELDS!N$1)</f>
        <v>0</v>
      </c>
      <c r="O63" cm="1">
        <f t="array" ref="O63">_xll.VALEURCOURBE($A$27,_xlfn.CONCAT("THEME5=",$B63),SCENARIOS!$A$2,SCENARIOS!$B$2,1,YIELDS!O$1)</f>
        <v>0</v>
      </c>
      <c r="P63" cm="1">
        <f t="array" ref="P63">_xll.VALEURCOURBE($A$27,_xlfn.CONCAT("THEME5=",$B63),SCENARIOS!$A$2,SCENARIOS!$B$2,1,YIELDS!P$1)</f>
        <v>0</v>
      </c>
      <c r="Q63" cm="1">
        <f t="array" ref="Q63">_xll.VALEURCOURBE($A$27,_xlfn.CONCAT("THEME5=",$B63),SCENARIOS!$A$2,SCENARIOS!$B$2,1,YIELDS!Q$1)</f>
        <v>5.75</v>
      </c>
      <c r="R63" cm="1">
        <f t="array" ref="R63">_xll.VALEURCOURBE($A$27,_xlfn.CONCAT("THEME5=",$B63),SCENARIOS!$A$2,SCENARIOS!$B$2,1,YIELDS!R$1)</f>
        <v>20.5</v>
      </c>
      <c r="S63" cm="1">
        <f t="array" ref="S63">_xll.VALEURCOURBE($A$27,_xlfn.CONCAT("THEME5=",$B63),SCENARIOS!$A$2,SCENARIOS!$B$2,1,YIELDS!S$1)</f>
        <v>32.869999999999997</v>
      </c>
      <c r="T63" cm="1">
        <f t="array" ref="T63">_xll.VALEURCOURBE($A$27,_xlfn.CONCAT("THEME5=",$B63),SCENARIOS!$A$2,SCENARIOS!$B$2,1,YIELDS!T$1)</f>
        <v>44.31</v>
      </c>
      <c r="U63" cm="1">
        <f t="array" ref="U63">_xll.VALEURCOURBE($A$27,_xlfn.CONCAT("THEME5=",$B63),SCENARIOS!$A$2,SCENARIOS!$B$2,1,YIELDS!U$1)</f>
        <v>54.92</v>
      </c>
      <c r="V63" cm="1">
        <f t="array" ref="V63">_xll.VALEURCOURBE($A$27,_xlfn.CONCAT("THEME5=",$B63),SCENARIOS!$A$2,SCENARIOS!$B$2,1,YIELDS!V$1)</f>
        <v>64.7</v>
      </c>
    </row>
    <row r="64" spans="1:22" x14ac:dyDescent="0.25">
      <c r="A64" t="str">
        <v>YHMOYM3M</v>
      </c>
      <c r="B64" t="str">
        <v>FC7089</v>
      </c>
      <c r="C64" cm="1">
        <f t="array" ref="C64">_xll.VALEURCOURBE($A$27,_xlfn.CONCAT("THEME5=",$B64),SCENARIOS!$A$2,SCENARIOS!$B$2,1,YIELDS!C$1)</f>
        <v>0</v>
      </c>
      <c r="D64" cm="1">
        <f t="array" ref="D64">_xll.VALEURCOURBE($A$27,_xlfn.CONCAT("THEME5=",$B64),SCENARIOS!$A$2,SCENARIOS!$B$2,1,YIELDS!D$1)</f>
        <v>0</v>
      </c>
      <c r="E64" cm="1">
        <f t="array" ref="E64">_xll.VALEURCOURBE($A$27,_xlfn.CONCAT("THEME5=",$B64),SCENARIOS!$A$2,SCENARIOS!$B$2,1,YIELDS!E$1)</f>
        <v>0</v>
      </c>
      <c r="F64" cm="1">
        <f t="array" ref="F64">_xll.VALEURCOURBE($A$27,_xlfn.CONCAT("THEME5=",$B64),SCENARIOS!$A$2,SCENARIOS!$B$2,1,YIELDS!F$1)</f>
        <v>0</v>
      </c>
      <c r="G64" cm="1">
        <f t="array" ref="G64">_xll.VALEURCOURBE($A$27,_xlfn.CONCAT("THEME5=",$B64),SCENARIOS!$A$2,SCENARIOS!$B$2,1,YIELDS!G$1)</f>
        <v>0</v>
      </c>
      <c r="H64" cm="1">
        <f t="array" ref="H64">_xll.VALEURCOURBE($A$27,_xlfn.CONCAT("THEME5=",$B64),SCENARIOS!$A$2,SCENARIOS!$B$2,1,YIELDS!H$1)</f>
        <v>0</v>
      </c>
      <c r="I64" cm="1">
        <f t="array" ref="I64">_xll.VALEURCOURBE($A$27,_xlfn.CONCAT("THEME5=",$B64),SCENARIOS!$A$2,SCENARIOS!$B$2,1,YIELDS!I$1)</f>
        <v>0</v>
      </c>
      <c r="J64" cm="1">
        <f t="array" ref="J64">_xll.VALEURCOURBE($A$27,_xlfn.CONCAT("THEME5=",$B64),SCENARIOS!$A$2,SCENARIOS!$B$2,1,YIELDS!J$1)</f>
        <v>0</v>
      </c>
      <c r="K64" cm="1">
        <f t="array" ref="K64">_xll.VALEURCOURBE($A$27,_xlfn.CONCAT("THEME5=",$B64),SCENARIOS!$A$2,SCENARIOS!$B$2,1,YIELDS!K$1)</f>
        <v>0.17</v>
      </c>
      <c r="L64" cm="1">
        <f t="array" ref="L64">_xll.VALEURCOURBE($A$27,_xlfn.CONCAT("THEME5=",$B64),SCENARIOS!$A$2,SCENARIOS!$B$2,1,YIELDS!L$1)</f>
        <v>0.71</v>
      </c>
      <c r="M64" cm="1">
        <f t="array" ref="M64">_xll.VALEURCOURBE($A$27,_xlfn.CONCAT("THEME5=",$B64),SCENARIOS!$A$2,SCENARIOS!$B$2,1,YIELDS!M$1)</f>
        <v>1.29</v>
      </c>
      <c r="N64" cm="1">
        <f t="array" ref="N64">_xll.VALEURCOURBE($A$27,_xlfn.CONCAT("THEME5=",$B64),SCENARIOS!$A$2,SCENARIOS!$B$2,1,YIELDS!N$1)</f>
        <v>1.87</v>
      </c>
      <c r="O64" cm="1">
        <f t="array" ref="O64">_xll.VALEURCOURBE($A$27,_xlfn.CONCAT("THEME5=",$B64),SCENARIOS!$A$2,SCENARIOS!$B$2,1,YIELDS!O$1)</f>
        <v>2.46</v>
      </c>
      <c r="P64" cm="1">
        <f t="array" ref="P64">_xll.VALEURCOURBE($A$27,_xlfn.CONCAT("THEME5=",$B64),SCENARIOS!$A$2,SCENARIOS!$B$2,1,YIELDS!P$1)</f>
        <v>3.06</v>
      </c>
      <c r="Q64" cm="1">
        <f t="array" ref="Q64">_xll.VALEURCOURBE($A$27,_xlfn.CONCAT("THEME5=",$B64),SCENARIOS!$A$2,SCENARIOS!$B$2,1,YIELDS!Q$1)</f>
        <v>3.66</v>
      </c>
      <c r="R64" cm="1">
        <f t="array" ref="R64">_xll.VALEURCOURBE($A$27,_xlfn.CONCAT("THEME5=",$B64),SCENARIOS!$A$2,SCENARIOS!$B$2,1,YIELDS!R$1)</f>
        <v>4.25</v>
      </c>
      <c r="S64" cm="1">
        <f t="array" ref="S64">_xll.VALEURCOURBE($A$27,_xlfn.CONCAT("THEME5=",$B64),SCENARIOS!$A$2,SCENARIOS!$B$2,1,YIELDS!S$1)</f>
        <v>4.84</v>
      </c>
      <c r="T64" cm="1">
        <f t="array" ref="T64">_xll.VALEURCOURBE($A$27,_xlfn.CONCAT("THEME5=",$B64),SCENARIOS!$A$2,SCENARIOS!$B$2,1,YIELDS!T$1)</f>
        <v>5.42</v>
      </c>
      <c r="U64" cm="1">
        <f t="array" ref="U64">_xll.VALEURCOURBE($A$27,_xlfn.CONCAT("THEME5=",$B64),SCENARIOS!$A$2,SCENARIOS!$B$2,1,YIELDS!U$1)</f>
        <v>5.96</v>
      </c>
      <c r="V64" cm="1">
        <f t="array" ref="V64">_xll.VALEURCOURBE($A$27,_xlfn.CONCAT("THEME5=",$B64),SCENARIOS!$A$2,SCENARIOS!$B$2,1,YIELDS!V$1)</f>
        <v>6.49</v>
      </c>
    </row>
    <row r="65" spans="1:22" x14ac:dyDescent="0.25">
      <c r="A65" t="str">
        <v>YHMOYM4M</v>
      </c>
      <c r="B65" t="str">
        <v>FC7091</v>
      </c>
      <c r="C65" cm="1">
        <f t="array" ref="C65">_xll.VALEURCOURBE($A$27,_xlfn.CONCAT("THEME5=",$B65),SCENARIOS!$A$2,SCENARIOS!$B$2,1,YIELDS!C$1)</f>
        <v>0</v>
      </c>
      <c r="D65" cm="1">
        <f t="array" ref="D65">_xll.VALEURCOURBE($A$27,_xlfn.CONCAT("THEME5=",$B65),SCENARIOS!$A$2,SCENARIOS!$B$2,1,YIELDS!D$1)</f>
        <v>0</v>
      </c>
      <c r="E65" cm="1">
        <f t="array" ref="E65">_xll.VALEURCOURBE($A$27,_xlfn.CONCAT("THEME5=",$B65),SCENARIOS!$A$2,SCENARIOS!$B$2,1,YIELDS!E$1)</f>
        <v>0</v>
      </c>
      <c r="F65" cm="1">
        <f t="array" ref="F65">_xll.VALEURCOURBE($A$27,_xlfn.CONCAT("THEME5=",$B65),SCENARIOS!$A$2,SCENARIOS!$B$2,1,YIELDS!F$1)</f>
        <v>1.1100000000000001</v>
      </c>
      <c r="G65" cm="1">
        <f t="array" ref="G65">_xll.VALEURCOURBE($A$27,_xlfn.CONCAT("THEME5=",$B65),SCENARIOS!$A$2,SCENARIOS!$B$2,1,YIELDS!G$1)</f>
        <v>2.21</v>
      </c>
      <c r="H65" cm="1">
        <f t="array" ref="H65">_xll.VALEURCOURBE($A$27,_xlfn.CONCAT("THEME5=",$B65),SCENARIOS!$A$2,SCENARIOS!$B$2,1,YIELDS!H$1)</f>
        <v>3.31</v>
      </c>
      <c r="I65" cm="1">
        <f t="array" ref="I65">_xll.VALEURCOURBE($A$27,_xlfn.CONCAT("THEME5=",$B65),SCENARIOS!$A$2,SCENARIOS!$B$2,1,YIELDS!I$1)</f>
        <v>4.42</v>
      </c>
      <c r="J65" cm="1">
        <f t="array" ref="J65">_xll.VALEURCOURBE($A$27,_xlfn.CONCAT("THEME5=",$B65),SCENARIOS!$A$2,SCENARIOS!$B$2,1,YIELDS!J$1)</f>
        <v>5.53</v>
      </c>
      <c r="K65" cm="1">
        <f t="array" ref="K65">_xll.VALEURCOURBE($A$27,_xlfn.CONCAT("THEME5=",$B65),SCENARIOS!$A$2,SCENARIOS!$B$2,1,YIELDS!K$1)</f>
        <v>6.64</v>
      </c>
      <c r="L65" cm="1">
        <f t="array" ref="L65">_xll.VALEURCOURBE($A$27,_xlfn.CONCAT("THEME5=",$B65),SCENARIOS!$A$2,SCENARIOS!$B$2,1,YIELDS!L$1)</f>
        <v>6.86</v>
      </c>
      <c r="M65" cm="1">
        <f t="array" ref="M65">_xll.VALEURCOURBE($A$27,_xlfn.CONCAT("THEME5=",$B65),SCENARIOS!$A$2,SCENARIOS!$B$2,1,YIELDS!M$1)</f>
        <v>7.12</v>
      </c>
      <c r="N65" cm="1">
        <f t="array" ref="N65">_xll.VALEURCOURBE($A$27,_xlfn.CONCAT("THEME5=",$B65),SCENARIOS!$A$2,SCENARIOS!$B$2,1,YIELDS!N$1)</f>
        <v>7.44</v>
      </c>
      <c r="O65" cm="1">
        <f t="array" ref="O65">_xll.VALEURCOURBE($A$27,_xlfn.CONCAT("THEME5=",$B65),SCENARIOS!$A$2,SCENARIOS!$B$2,1,YIELDS!O$1)</f>
        <v>7.79</v>
      </c>
      <c r="P65" cm="1">
        <f t="array" ref="P65">_xll.VALEURCOURBE($A$27,_xlfn.CONCAT("THEME5=",$B65),SCENARIOS!$A$2,SCENARIOS!$B$2,1,YIELDS!P$1)</f>
        <v>8.1300000000000008</v>
      </c>
      <c r="Q65" cm="1">
        <f t="array" ref="Q65">_xll.VALEURCOURBE($A$27,_xlfn.CONCAT("THEME5=",$B65),SCENARIOS!$A$2,SCENARIOS!$B$2,1,YIELDS!Q$1)</f>
        <v>8.44</v>
      </c>
      <c r="R65" cm="1">
        <f t="array" ref="R65">_xll.VALEURCOURBE($A$27,_xlfn.CONCAT("THEME5=",$B65),SCENARIOS!$A$2,SCENARIOS!$B$2,1,YIELDS!R$1)</f>
        <v>8.73</v>
      </c>
      <c r="S65" cm="1">
        <f t="array" ref="S65">_xll.VALEURCOURBE($A$27,_xlfn.CONCAT("THEME5=",$B65),SCENARIOS!$A$2,SCENARIOS!$B$2,1,YIELDS!S$1)</f>
        <v>8.9600000000000009</v>
      </c>
      <c r="T65" cm="1">
        <f t="array" ref="T65">_xll.VALEURCOURBE($A$27,_xlfn.CONCAT("THEME5=",$B65),SCENARIOS!$A$2,SCENARIOS!$B$2,1,YIELDS!T$1)</f>
        <v>9.1300000000000008</v>
      </c>
      <c r="U65" cm="1">
        <f t="array" ref="U65">_xll.VALEURCOURBE($A$27,_xlfn.CONCAT("THEME5=",$B65),SCENARIOS!$A$2,SCENARIOS!$B$2,1,YIELDS!U$1)</f>
        <v>9.25</v>
      </c>
      <c r="V65" cm="1">
        <f t="array" ref="V65">_xll.VALEURCOURBE($A$27,_xlfn.CONCAT("THEME5=",$B65),SCENARIOS!$A$2,SCENARIOS!$B$2,1,YIELDS!V$1)</f>
        <v>9.3000000000000007</v>
      </c>
    </row>
    <row r="66" spans="1:22" x14ac:dyDescent="0.25">
      <c r="A66" t="str">
        <v>YHMOYM7M</v>
      </c>
      <c r="B66" t="str">
        <v>FC7096</v>
      </c>
      <c r="C66" cm="1">
        <f t="array" ref="C66">_xll.VALEURCOURBE($A$27,_xlfn.CONCAT("THEME5=",$B66),SCENARIOS!$A$2,SCENARIOS!$B$2,1,YIELDS!C$1)</f>
        <v>0</v>
      </c>
      <c r="D66" cm="1">
        <f t="array" ref="D66">_xll.VALEURCOURBE($A$27,_xlfn.CONCAT("THEME5=",$B66),SCENARIOS!$A$2,SCENARIOS!$B$2,1,YIELDS!D$1)</f>
        <v>0</v>
      </c>
      <c r="E66" cm="1">
        <f t="array" ref="E66">_xll.VALEURCOURBE($A$27,_xlfn.CONCAT("THEME5=",$B66),SCENARIOS!$A$2,SCENARIOS!$B$2,1,YIELDS!E$1)</f>
        <v>0</v>
      </c>
      <c r="F66" cm="1">
        <f t="array" ref="F66">_xll.VALEURCOURBE($A$27,_xlfn.CONCAT("THEME5=",$B66),SCENARIOS!$A$2,SCENARIOS!$B$2,1,YIELDS!F$1)</f>
        <v>1.82</v>
      </c>
      <c r="G66" cm="1">
        <f t="array" ref="G66">_xll.VALEURCOURBE($A$27,_xlfn.CONCAT("THEME5=",$B66),SCENARIOS!$A$2,SCENARIOS!$B$2,1,YIELDS!G$1)</f>
        <v>3.66</v>
      </c>
      <c r="H66" cm="1">
        <f t="array" ref="H66">_xll.VALEURCOURBE($A$27,_xlfn.CONCAT("THEME5=",$B66),SCENARIOS!$A$2,SCENARIOS!$B$2,1,YIELDS!H$1)</f>
        <v>5.48</v>
      </c>
      <c r="I66" cm="1">
        <f t="array" ref="I66">_xll.VALEURCOURBE($A$27,_xlfn.CONCAT("THEME5=",$B66),SCENARIOS!$A$2,SCENARIOS!$B$2,1,YIELDS!I$1)</f>
        <v>7.3</v>
      </c>
      <c r="J66" cm="1">
        <f t="array" ref="J66">_xll.VALEURCOURBE($A$27,_xlfn.CONCAT("THEME5=",$B66),SCENARIOS!$A$2,SCENARIOS!$B$2,1,YIELDS!J$1)</f>
        <v>9.1199999999999992</v>
      </c>
      <c r="K66" cm="1">
        <f t="array" ref="K66">_xll.VALEURCOURBE($A$27,_xlfn.CONCAT("THEME5=",$B66),SCENARIOS!$A$2,SCENARIOS!$B$2,1,YIELDS!K$1)</f>
        <v>10.95</v>
      </c>
      <c r="L66" cm="1">
        <f t="array" ref="L66">_xll.VALEURCOURBE($A$27,_xlfn.CONCAT("THEME5=",$B66),SCENARIOS!$A$2,SCENARIOS!$B$2,1,YIELDS!L$1)</f>
        <v>13.83</v>
      </c>
      <c r="M66" cm="1">
        <f t="array" ref="M66">_xll.VALEURCOURBE($A$27,_xlfn.CONCAT("THEME5=",$B66),SCENARIOS!$A$2,SCENARIOS!$B$2,1,YIELDS!M$1)</f>
        <v>16.54</v>
      </c>
      <c r="N66" cm="1">
        <f t="array" ref="N66">_xll.VALEURCOURBE($A$27,_xlfn.CONCAT("THEME5=",$B66),SCENARIOS!$A$2,SCENARIOS!$B$2,1,YIELDS!N$1)</f>
        <v>19.079999999999998</v>
      </c>
      <c r="O66" cm="1">
        <f t="array" ref="O66">_xll.VALEURCOURBE($A$27,_xlfn.CONCAT("THEME5=",$B66),SCENARIOS!$A$2,SCENARIOS!$B$2,1,YIELDS!O$1)</f>
        <v>21.4</v>
      </c>
      <c r="P66" cm="1">
        <f t="array" ref="P66">_xll.VALEURCOURBE($A$27,_xlfn.CONCAT("THEME5=",$B66),SCENARIOS!$A$2,SCENARIOS!$B$2,1,YIELDS!P$1)</f>
        <v>23.51</v>
      </c>
      <c r="Q66" cm="1">
        <f t="array" ref="Q66">_xll.VALEURCOURBE($A$27,_xlfn.CONCAT("THEME5=",$B66),SCENARIOS!$A$2,SCENARIOS!$B$2,1,YIELDS!Q$1)</f>
        <v>25.38</v>
      </c>
      <c r="R66" cm="1">
        <f t="array" ref="R66">_xll.VALEURCOURBE($A$27,_xlfn.CONCAT("THEME5=",$B66),SCENARIOS!$A$2,SCENARIOS!$B$2,1,YIELDS!R$1)</f>
        <v>27</v>
      </c>
      <c r="S66" cm="1">
        <f t="array" ref="S66">_xll.VALEURCOURBE($A$27,_xlfn.CONCAT("THEME5=",$B66),SCENARIOS!$A$2,SCENARIOS!$B$2,1,YIELDS!S$1)</f>
        <v>28.39</v>
      </c>
      <c r="T66" cm="1">
        <f t="array" ref="T66">_xll.VALEURCOURBE($A$27,_xlfn.CONCAT("THEME5=",$B66),SCENARIOS!$A$2,SCENARIOS!$B$2,1,YIELDS!T$1)</f>
        <v>29.54</v>
      </c>
      <c r="U66" cm="1">
        <f t="array" ref="U66">_xll.VALEURCOURBE($A$27,_xlfn.CONCAT("THEME5=",$B66),SCENARIOS!$A$2,SCENARIOS!$B$2,1,YIELDS!U$1)</f>
        <v>30.47</v>
      </c>
      <c r="V66" cm="1">
        <f t="array" ref="V66">_xll.VALEURCOURBE($A$27,_xlfn.CONCAT("THEME5=",$B66),SCENARIOS!$A$2,SCENARIOS!$B$2,1,YIELDS!V$1)</f>
        <v>31.19</v>
      </c>
    </row>
    <row r="67" spans="1:22" x14ac:dyDescent="0.25">
      <c r="A67" t="str">
        <v>YHMOYP12M</v>
      </c>
      <c r="B67" t="str">
        <v>FC7098</v>
      </c>
      <c r="C67" cm="1">
        <f t="array" ref="C67">_xll.VALEURCOURBE($A$27,_xlfn.CONCAT("THEME5=",$B67),SCENARIOS!$A$2,SCENARIOS!$B$2,1,YIELDS!C$1)</f>
        <v>0</v>
      </c>
      <c r="D67" cm="1">
        <f t="array" ref="D67">_xll.VALEURCOURBE($A$27,_xlfn.CONCAT("THEME5=",$B67),SCENARIOS!$A$2,SCENARIOS!$B$2,1,YIELDS!D$1)</f>
        <v>0</v>
      </c>
      <c r="E67" cm="1">
        <f t="array" ref="E67">_xll.VALEURCOURBE($A$27,_xlfn.CONCAT("THEME5=",$B67),SCENARIOS!$A$2,SCENARIOS!$B$2,1,YIELDS!E$1)</f>
        <v>0</v>
      </c>
      <c r="F67" cm="1">
        <f t="array" ref="F67">_xll.VALEURCOURBE($A$27,_xlfn.CONCAT("THEME5=",$B67),SCENARIOS!$A$2,SCENARIOS!$B$2,1,YIELDS!F$1)</f>
        <v>0</v>
      </c>
      <c r="G67" cm="1">
        <f t="array" ref="G67">_xll.VALEURCOURBE($A$27,_xlfn.CONCAT("THEME5=",$B67),SCENARIOS!$A$2,SCENARIOS!$B$2,1,YIELDS!G$1)</f>
        <v>0</v>
      </c>
      <c r="H67" cm="1">
        <f t="array" ref="H67">_xll.VALEURCOURBE($A$27,_xlfn.CONCAT("THEME5=",$B67),SCENARIOS!$A$2,SCENARIOS!$B$2,1,YIELDS!H$1)</f>
        <v>0</v>
      </c>
      <c r="I67" cm="1">
        <f t="array" ref="I67">_xll.VALEURCOURBE($A$27,_xlfn.CONCAT("THEME5=",$B67),SCENARIOS!$A$2,SCENARIOS!$B$2,1,YIELDS!I$1)</f>
        <v>0</v>
      </c>
      <c r="J67" cm="1">
        <f t="array" ref="J67">_xll.VALEURCOURBE($A$27,_xlfn.CONCAT("THEME5=",$B67),SCENARIOS!$A$2,SCENARIOS!$B$2,1,YIELDS!J$1)</f>
        <v>0.34</v>
      </c>
      <c r="K67" cm="1">
        <f t="array" ref="K67">_xll.VALEURCOURBE($A$27,_xlfn.CONCAT("THEME5=",$B67),SCENARIOS!$A$2,SCENARIOS!$B$2,1,YIELDS!K$1)</f>
        <v>4.7</v>
      </c>
      <c r="L67" cm="1">
        <f t="array" ref="L67">_xll.VALEURCOURBE($A$27,_xlfn.CONCAT("THEME5=",$B67),SCENARIOS!$A$2,SCENARIOS!$B$2,1,YIELDS!L$1)</f>
        <v>8.91</v>
      </c>
      <c r="M67" cm="1">
        <f t="array" ref="M67">_xll.VALEURCOURBE($A$27,_xlfn.CONCAT("THEME5=",$B67),SCENARIOS!$A$2,SCENARIOS!$B$2,1,YIELDS!M$1)</f>
        <v>12.93</v>
      </c>
      <c r="N67" cm="1">
        <f t="array" ref="N67">_xll.VALEURCOURBE($A$27,_xlfn.CONCAT("THEME5=",$B67),SCENARIOS!$A$2,SCENARIOS!$B$2,1,YIELDS!N$1)</f>
        <v>16.72</v>
      </c>
      <c r="O67" cm="1">
        <f t="array" ref="O67">_xll.VALEURCOURBE($A$27,_xlfn.CONCAT("THEME5=",$B67),SCENARIOS!$A$2,SCENARIOS!$B$2,1,YIELDS!O$1)</f>
        <v>20.27</v>
      </c>
      <c r="P67" cm="1">
        <f t="array" ref="P67">_xll.VALEURCOURBE($A$27,_xlfn.CONCAT("THEME5=",$B67),SCENARIOS!$A$2,SCENARIOS!$B$2,1,YIELDS!P$1)</f>
        <v>23.56</v>
      </c>
      <c r="Q67" cm="1">
        <f t="array" ref="Q67">_xll.VALEURCOURBE($A$27,_xlfn.CONCAT("THEME5=",$B67),SCENARIOS!$A$2,SCENARIOS!$B$2,1,YIELDS!Q$1)</f>
        <v>26.57</v>
      </c>
      <c r="R67" cm="1">
        <f t="array" ref="R67">_xll.VALEURCOURBE($A$27,_xlfn.CONCAT("THEME5=",$B67),SCENARIOS!$A$2,SCENARIOS!$B$2,1,YIELDS!R$1)</f>
        <v>29.31</v>
      </c>
      <c r="S67" cm="1">
        <f t="array" ref="S67">_xll.VALEURCOURBE($A$27,_xlfn.CONCAT("THEME5=",$B67),SCENARIOS!$A$2,SCENARIOS!$B$2,1,YIELDS!S$1)</f>
        <v>31.75</v>
      </c>
      <c r="T67" cm="1">
        <f t="array" ref="T67">_xll.VALEURCOURBE($A$27,_xlfn.CONCAT("THEME5=",$B67),SCENARIOS!$A$2,SCENARIOS!$B$2,1,YIELDS!T$1)</f>
        <v>33.92</v>
      </c>
      <c r="U67" cm="1">
        <f t="array" ref="U67">_xll.VALEURCOURBE($A$27,_xlfn.CONCAT("THEME5=",$B67),SCENARIOS!$A$2,SCENARIOS!$B$2,1,YIELDS!U$1)</f>
        <v>35.81</v>
      </c>
      <c r="V67" cm="1">
        <f t="array" ref="V67">_xll.VALEURCOURBE($A$27,_xlfn.CONCAT("THEME5=",$B67),SCENARIOS!$A$2,SCENARIOS!$B$2,1,YIELDS!V$1)</f>
        <v>37.43</v>
      </c>
    </row>
    <row r="68" spans="1:22" x14ac:dyDescent="0.25">
      <c r="A68" t="str">
        <v>YHMOYP7M</v>
      </c>
      <c r="B68" t="str">
        <v>FC7104</v>
      </c>
      <c r="C68" cm="1">
        <f t="array" ref="C68">_xll.VALEURCOURBE($A$27,_xlfn.CONCAT("THEME5=",$B68),SCENARIOS!$A$2,SCENARIOS!$B$2,1,YIELDS!C$1)</f>
        <v>0</v>
      </c>
      <c r="D68" cm="1">
        <f t="array" ref="D68">_xll.VALEURCOURBE($A$27,_xlfn.CONCAT("THEME5=",$B68),SCENARIOS!$A$2,SCENARIOS!$B$2,1,YIELDS!D$1)</f>
        <v>0</v>
      </c>
      <c r="E68" cm="1">
        <f t="array" ref="E68">_xll.VALEURCOURBE($A$27,_xlfn.CONCAT("THEME5=",$B68),SCENARIOS!$A$2,SCENARIOS!$B$2,1,YIELDS!E$1)</f>
        <v>0</v>
      </c>
      <c r="F68" cm="1">
        <f t="array" ref="F68">_xll.VALEURCOURBE($A$27,_xlfn.CONCAT("THEME5=",$B68),SCENARIOS!$A$2,SCENARIOS!$B$2,1,YIELDS!F$1)</f>
        <v>0</v>
      </c>
      <c r="G68" cm="1">
        <f t="array" ref="G68">_xll.VALEURCOURBE($A$27,_xlfn.CONCAT("THEME5=",$B68),SCENARIOS!$A$2,SCENARIOS!$B$2,1,YIELDS!G$1)</f>
        <v>0</v>
      </c>
      <c r="H68" cm="1">
        <f t="array" ref="H68">_xll.VALEURCOURBE($A$27,_xlfn.CONCAT("THEME5=",$B68),SCENARIOS!$A$2,SCENARIOS!$B$2,1,YIELDS!H$1)</f>
        <v>0</v>
      </c>
      <c r="I68" cm="1">
        <f t="array" ref="I68">_xll.VALEURCOURBE($A$27,_xlfn.CONCAT("THEME5=",$B68),SCENARIOS!$A$2,SCENARIOS!$B$2,1,YIELDS!I$1)</f>
        <v>0</v>
      </c>
      <c r="J68" cm="1">
        <f t="array" ref="J68">_xll.VALEURCOURBE($A$27,_xlfn.CONCAT("THEME5=",$B68),SCENARIOS!$A$2,SCENARIOS!$B$2,1,YIELDS!J$1)</f>
        <v>0</v>
      </c>
      <c r="K68" cm="1">
        <f t="array" ref="K68">_xll.VALEURCOURBE($A$27,_xlfn.CONCAT("THEME5=",$B68),SCENARIOS!$A$2,SCENARIOS!$B$2,1,YIELDS!K$1)</f>
        <v>2.8</v>
      </c>
      <c r="L68" cm="1">
        <f t="array" ref="L68">_xll.VALEURCOURBE($A$27,_xlfn.CONCAT("THEME5=",$B68),SCENARIOS!$A$2,SCENARIOS!$B$2,1,YIELDS!L$1)</f>
        <v>20.45</v>
      </c>
      <c r="M68" cm="1">
        <f t="array" ref="M68">_xll.VALEURCOURBE($A$27,_xlfn.CONCAT("THEME5=",$B68),SCENARIOS!$A$2,SCENARIOS!$B$2,1,YIELDS!M$1)</f>
        <v>37.049999999999997</v>
      </c>
      <c r="N68" cm="1">
        <f t="array" ref="N68">_xll.VALEURCOURBE($A$27,_xlfn.CONCAT("THEME5=",$B68),SCENARIOS!$A$2,SCENARIOS!$B$2,1,YIELDS!N$1)</f>
        <v>51.83</v>
      </c>
      <c r="O68" cm="1">
        <f t="array" ref="O68">_xll.VALEURCOURBE($A$27,_xlfn.CONCAT("THEME5=",$B68),SCENARIOS!$A$2,SCENARIOS!$B$2,1,YIELDS!O$1)</f>
        <v>64.959999999999994</v>
      </c>
      <c r="P68" cm="1">
        <f t="array" ref="P68">_xll.VALEURCOURBE($A$27,_xlfn.CONCAT("THEME5=",$B68),SCENARIOS!$A$2,SCENARIOS!$B$2,1,YIELDS!P$1)</f>
        <v>76.52</v>
      </c>
      <c r="Q68" cm="1">
        <f t="array" ref="Q68">_xll.VALEURCOURBE($A$27,_xlfn.CONCAT("THEME5=",$B68),SCENARIOS!$A$2,SCENARIOS!$B$2,1,YIELDS!Q$1)</f>
        <v>86.65</v>
      </c>
      <c r="R68" cm="1">
        <f t="array" ref="R68">_xll.VALEURCOURBE($A$27,_xlfn.CONCAT("THEME5=",$B68),SCENARIOS!$A$2,SCENARIOS!$B$2,1,YIELDS!R$1)</f>
        <v>95.4</v>
      </c>
      <c r="S68" cm="1">
        <f t="array" ref="S68">_xll.VALEURCOURBE($A$27,_xlfn.CONCAT("THEME5=",$B68),SCENARIOS!$A$2,SCENARIOS!$B$2,1,YIELDS!S$1)</f>
        <v>102.91</v>
      </c>
      <c r="T68" cm="1">
        <f t="array" ref="T68">_xll.VALEURCOURBE($A$27,_xlfn.CONCAT("THEME5=",$B68),SCENARIOS!$A$2,SCENARIOS!$B$2,1,YIELDS!T$1)</f>
        <v>109.2</v>
      </c>
      <c r="U68" cm="1">
        <f t="array" ref="U68">_xll.VALEURCOURBE($A$27,_xlfn.CONCAT("THEME5=",$B68),SCENARIOS!$A$2,SCENARIOS!$B$2,1,YIELDS!U$1)</f>
        <v>114.4</v>
      </c>
      <c r="V68" cm="1">
        <f t="array" ref="V68">_xll.VALEURCOURBE($A$27,_xlfn.CONCAT("THEME5=",$B68),SCENARIOS!$A$2,SCENARIOS!$B$2,1,YIELDS!V$1)</f>
        <v>118.59</v>
      </c>
    </row>
    <row r="69" spans="1:22" x14ac:dyDescent="0.25">
      <c r="A69" t="str">
        <v>YAGESENNEG</v>
      </c>
      <c r="B69" t="str">
        <v>FC7108</v>
      </c>
      <c r="C69" cm="1">
        <f t="array" ref="C69">_xll.VALEURCOURBE($A$27,_xlfn.CONCAT("THEME5=",$B69),SCENARIOS!$A$2,SCENARIOS!$B$2,1,YIELDS!C$1)</f>
        <v>0</v>
      </c>
      <c r="D69" cm="1">
        <f t="array" ref="D69">_xll.VALEURCOURBE($A$27,_xlfn.CONCAT("THEME5=",$B69),SCENARIOS!$A$2,SCENARIOS!$B$2,1,YIELDS!D$1)</f>
        <v>0</v>
      </c>
      <c r="E69" cm="1">
        <f t="array" ref="E69">_xll.VALEURCOURBE($A$27,_xlfn.CONCAT("THEME5=",$B69),SCENARIOS!$A$2,SCENARIOS!$B$2,1,YIELDS!E$1)</f>
        <v>0</v>
      </c>
      <c r="F69" cm="1">
        <f t="array" ref="F69">_xll.VALEURCOURBE($A$27,_xlfn.CONCAT("THEME5=",$B69),SCENARIOS!$A$2,SCENARIOS!$B$2,1,YIELDS!F$1)</f>
        <v>0</v>
      </c>
      <c r="G69" cm="1">
        <f t="array" ref="G69">_xll.VALEURCOURBE($A$27,_xlfn.CONCAT("THEME5=",$B69),SCENARIOS!$A$2,SCENARIOS!$B$2,1,YIELDS!G$1)</f>
        <v>0</v>
      </c>
      <c r="H69" cm="1">
        <f t="array" ref="H69">_xll.VALEURCOURBE($A$27,_xlfn.CONCAT("THEME5=",$B69),SCENARIOS!$A$2,SCENARIOS!$B$2,1,YIELDS!H$1)</f>
        <v>0</v>
      </c>
      <c r="I69" cm="1">
        <f t="array" ref="I69">_xll.VALEURCOURBE($A$27,_xlfn.CONCAT("THEME5=",$B69),SCENARIOS!$A$2,SCENARIOS!$B$2,1,YIELDS!I$1)</f>
        <v>0</v>
      </c>
      <c r="J69" cm="1">
        <f t="array" ref="J69">_xll.VALEURCOURBE($A$27,_xlfn.CONCAT("THEME5=",$B69),SCENARIOS!$A$2,SCENARIOS!$B$2,1,YIELDS!J$1)</f>
        <v>0</v>
      </c>
      <c r="K69" cm="1">
        <f t="array" ref="K69">_xll.VALEURCOURBE($A$27,_xlfn.CONCAT("THEME5=",$B69),SCENARIOS!$A$2,SCENARIOS!$B$2,1,YIELDS!K$1)</f>
        <v>0</v>
      </c>
      <c r="L69" cm="1">
        <f t="array" ref="L69">_xll.VALEURCOURBE($A$27,_xlfn.CONCAT("THEME5=",$B69),SCENARIOS!$A$2,SCENARIOS!$B$2,1,YIELDS!L$1)</f>
        <v>5.21</v>
      </c>
      <c r="M69" cm="1">
        <f t="array" ref="M69">_xll.VALEURCOURBE($A$27,_xlfn.CONCAT("THEME5=",$B69),SCENARIOS!$A$2,SCENARIOS!$B$2,1,YIELDS!M$1)</f>
        <v>15.57</v>
      </c>
      <c r="N69" cm="1">
        <f t="array" ref="N69">_xll.VALEURCOURBE($A$27,_xlfn.CONCAT("THEME5=",$B69),SCENARIOS!$A$2,SCENARIOS!$B$2,1,YIELDS!N$1)</f>
        <v>25.66</v>
      </c>
      <c r="O69" cm="1">
        <f t="array" ref="O69">_xll.VALEURCOURBE($A$27,_xlfn.CONCAT("THEME5=",$B69),SCENARIOS!$A$2,SCENARIOS!$B$2,1,YIELDS!O$1)</f>
        <v>35.1</v>
      </c>
      <c r="P69" cm="1">
        <f t="array" ref="P69">_xll.VALEURCOURBE($A$27,_xlfn.CONCAT("THEME5=",$B69),SCENARIOS!$A$2,SCENARIOS!$B$2,1,YIELDS!P$1)</f>
        <v>43.81</v>
      </c>
      <c r="Q69" cm="1">
        <f t="array" ref="Q69">_xll.VALEURCOURBE($A$27,_xlfn.CONCAT("THEME5=",$B69),SCENARIOS!$A$2,SCENARIOS!$B$2,1,YIELDS!Q$1)</f>
        <v>51.75</v>
      </c>
      <c r="R69" cm="1">
        <f t="array" ref="R69">_xll.VALEURCOURBE($A$27,_xlfn.CONCAT("THEME5=",$B69),SCENARIOS!$A$2,SCENARIOS!$B$2,1,YIELDS!R$1)</f>
        <v>58.86</v>
      </c>
      <c r="S69" cm="1">
        <f t="array" ref="S69">_xll.VALEURCOURBE($A$27,_xlfn.CONCAT("THEME5=",$B69),SCENARIOS!$A$2,SCENARIOS!$B$2,1,YIELDS!S$1)</f>
        <v>64.989999999999995</v>
      </c>
      <c r="T69" cm="1">
        <f t="array" ref="T69">_xll.VALEURCOURBE($A$27,_xlfn.CONCAT("THEME5=",$B69),SCENARIOS!$A$2,SCENARIOS!$B$2,1,YIELDS!T$1)</f>
        <v>70.23</v>
      </c>
      <c r="U69" cm="1">
        <f t="array" ref="U69">_xll.VALEURCOURBE($A$27,_xlfn.CONCAT("THEME5=",$B69),SCENARIOS!$A$2,SCENARIOS!$B$2,1,YIELDS!U$1)</f>
        <v>74.73</v>
      </c>
      <c r="V69" cm="1">
        <f t="array" ref="V69">_xll.VALEURCOURBE($A$27,_xlfn.CONCAT("THEME5=",$B69),SCENARIOS!$A$2,SCENARIOS!$B$2,1,YIELDS!V$1)</f>
        <v>78.489999999999995</v>
      </c>
    </row>
    <row r="70" spans="1:22" x14ac:dyDescent="0.25">
      <c r="A70" t="str">
        <v>YAGESEN</v>
      </c>
      <c r="B70" t="str">
        <v>FC7114</v>
      </c>
      <c r="C70" cm="1">
        <f t="array" ref="C70">_xll.VALEURCOURBE($A$27,_xlfn.CONCAT("THEME5=",$B70),SCENARIOS!$A$2,SCENARIOS!$B$2,1,YIELDS!C$1)</f>
        <v>0</v>
      </c>
      <c r="D70" cm="1">
        <f t="array" ref="D70">_xll.VALEURCOURBE($A$27,_xlfn.CONCAT("THEME5=",$B70),SCENARIOS!$A$2,SCENARIOS!$B$2,1,YIELDS!D$1)</f>
        <v>0</v>
      </c>
      <c r="E70" cm="1">
        <f t="array" ref="E70">_xll.VALEURCOURBE($A$27,_xlfn.CONCAT("THEME5=",$B70),SCENARIOS!$A$2,SCENARIOS!$B$2,1,YIELDS!E$1)</f>
        <v>0</v>
      </c>
      <c r="F70" cm="1">
        <f t="array" ref="F70">_xll.VALEURCOURBE($A$27,_xlfn.CONCAT("THEME5=",$B70),SCENARIOS!$A$2,SCENARIOS!$B$2,1,YIELDS!F$1)</f>
        <v>3.58</v>
      </c>
      <c r="G70" cm="1">
        <f t="array" ref="G70">_xll.VALEURCOURBE($A$27,_xlfn.CONCAT("THEME5=",$B70),SCENARIOS!$A$2,SCENARIOS!$B$2,1,YIELDS!G$1)</f>
        <v>7.15</v>
      </c>
      <c r="H70" cm="1">
        <f t="array" ref="H70">_xll.VALEURCOURBE($A$27,_xlfn.CONCAT("THEME5=",$B70),SCENARIOS!$A$2,SCENARIOS!$B$2,1,YIELDS!H$1)</f>
        <v>10.73</v>
      </c>
      <c r="I70" cm="1">
        <f t="array" ref="I70">_xll.VALEURCOURBE($A$27,_xlfn.CONCAT("THEME5=",$B70),SCENARIOS!$A$2,SCENARIOS!$B$2,1,YIELDS!I$1)</f>
        <v>14.3</v>
      </c>
      <c r="J70" cm="1">
        <f t="array" ref="J70">_xll.VALEURCOURBE($A$27,_xlfn.CONCAT("THEME5=",$B70),SCENARIOS!$A$2,SCENARIOS!$B$2,1,YIELDS!J$1)</f>
        <v>17.88</v>
      </c>
      <c r="K70" cm="1">
        <f t="array" ref="K70">_xll.VALEURCOURBE($A$27,_xlfn.CONCAT("THEME5=",$B70),SCENARIOS!$A$2,SCENARIOS!$B$2,1,YIELDS!K$1)</f>
        <v>21.46</v>
      </c>
      <c r="L70" cm="1">
        <f t="array" ref="L70">_xll.VALEURCOURBE($A$27,_xlfn.CONCAT("THEME5=",$B70),SCENARIOS!$A$2,SCENARIOS!$B$2,1,YIELDS!L$1)</f>
        <v>25.02</v>
      </c>
      <c r="M70" cm="1">
        <f t="array" ref="M70">_xll.VALEURCOURBE($A$27,_xlfn.CONCAT("THEME5=",$B70),SCENARIOS!$A$2,SCENARIOS!$B$2,1,YIELDS!M$1)</f>
        <v>28.6</v>
      </c>
      <c r="N70" cm="1">
        <f t="array" ref="N70">_xll.VALEURCOURBE($A$27,_xlfn.CONCAT("THEME5=",$B70),SCENARIOS!$A$2,SCENARIOS!$B$2,1,YIELDS!N$1)</f>
        <v>40.409999999999997</v>
      </c>
      <c r="O70" cm="1">
        <f t="array" ref="O70">_xll.VALEURCOURBE($A$27,_xlfn.CONCAT("THEME5=",$B70),SCENARIOS!$A$2,SCENARIOS!$B$2,1,YIELDS!O$1)</f>
        <v>50.78</v>
      </c>
      <c r="P70" cm="1">
        <f t="array" ref="P70">_xll.VALEURCOURBE($A$27,_xlfn.CONCAT("THEME5=",$B70),SCENARIOS!$A$2,SCENARIOS!$B$2,1,YIELDS!P$1)</f>
        <v>59.8</v>
      </c>
      <c r="Q70" cm="1">
        <f t="array" ref="Q70">_xll.VALEURCOURBE($A$27,_xlfn.CONCAT("THEME5=",$B70),SCENARIOS!$A$2,SCENARIOS!$B$2,1,YIELDS!Q$1)</f>
        <v>67.52</v>
      </c>
      <c r="R70" cm="1">
        <f t="array" ref="R70">_xll.VALEURCOURBE($A$27,_xlfn.CONCAT("THEME5=",$B70),SCENARIOS!$A$2,SCENARIOS!$B$2,1,YIELDS!R$1)</f>
        <v>74.02</v>
      </c>
      <c r="S70" cm="1">
        <f t="array" ref="S70">_xll.VALEURCOURBE($A$27,_xlfn.CONCAT("THEME5=",$B70),SCENARIOS!$A$2,SCENARIOS!$B$2,1,YIELDS!S$1)</f>
        <v>79.39</v>
      </c>
      <c r="T70" cm="1">
        <f t="array" ref="T70">_xll.VALEURCOURBE($A$27,_xlfn.CONCAT("THEME5=",$B70),SCENARIOS!$A$2,SCENARIOS!$B$2,1,YIELDS!T$1)</f>
        <v>83.74</v>
      </c>
      <c r="U70" cm="1">
        <f t="array" ref="U70">_xll.VALEURCOURBE($A$27,_xlfn.CONCAT("THEME5=",$B70),SCENARIOS!$A$2,SCENARIOS!$B$2,1,YIELDS!U$1)</f>
        <v>87.11</v>
      </c>
      <c r="V70" cm="1">
        <f t="array" ref="V70">_xll.VALEURCOURBE($A$27,_xlfn.CONCAT("THEME5=",$B70),SCENARIOS!$A$2,SCENARIOS!$B$2,1,YIELDS!V$1)</f>
        <v>89.6</v>
      </c>
    </row>
    <row r="71" spans="1:22" x14ac:dyDescent="0.25">
      <c r="A71" t="str">
        <v>YAAC</v>
      </c>
      <c r="B71" t="str">
        <v>FC7121</v>
      </c>
      <c r="C71" cm="1">
        <f t="array" ref="C71">_xll.VALEURCOURBE($A$27,_xlfn.CONCAT("THEME5=",$B71),SCENARIOS!$A$2,SCENARIOS!$B$2,1,YIELDS!C$1)</f>
        <v>0</v>
      </c>
      <c r="D71" cm="1">
        <f t="array" ref="D71">_xll.VALEURCOURBE($A$27,_xlfn.CONCAT("THEME5=",$B71),SCENARIOS!$A$2,SCENARIOS!$B$2,1,YIELDS!D$1)</f>
        <v>0</v>
      </c>
      <c r="E71" cm="1">
        <f t="array" ref="E71">_xll.VALEURCOURBE($A$27,_xlfn.CONCAT("THEME5=",$B71),SCENARIOS!$A$2,SCENARIOS!$B$2,1,YIELDS!E$1)</f>
        <v>0</v>
      </c>
      <c r="F71" cm="1">
        <f t="array" ref="F71">_xll.VALEURCOURBE($A$27,_xlfn.CONCAT("THEME5=",$B71),SCENARIOS!$A$2,SCENARIOS!$B$2,1,YIELDS!F$1)</f>
        <v>0</v>
      </c>
      <c r="G71" cm="1">
        <f t="array" ref="G71">_xll.VALEURCOURBE($A$27,_xlfn.CONCAT("THEME5=",$B71),SCENARIOS!$A$2,SCENARIOS!$B$2,1,YIELDS!G$1)</f>
        <v>0</v>
      </c>
      <c r="H71" cm="1">
        <f t="array" ref="H71">_xll.VALEURCOURBE($A$27,_xlfn.CONCAT("THEME5=",$B71),SCENARIOS!$A$2,SCENARIOS!$B$2,1,YIELDS!H$1)</f>
        <v>0</v>
      </c>
      <c r="I71" cm="1">
        <f t="array" ref="I71">_xll.VALEURCOURBE($A$27,_xlfn.CONCAT("THEME5=",$B71),SCENARIOS!$A$2,SCENARIOS!$B$2,1,YIELDS!I$1)</f>
        <v>0</v>
      </c>
      <c r="J71" cm="1">
        <f t="array" ref="J71">_xll.VALEURCOURBE($A$27,_xlfn.CONCAT("THEME5=",$B71),SCENARIOS!$A$2,SCENARIOS!$B$2,1,YIELDS!J$1)</f>
        <v>0</v>
      </c>
      <c r="K71" cm="1">
        <f t="array" ref="K71">_xll.VALEURCOURBE($A$27,_xlfn.CONCAT("THEME5=",$B71),SCENARIOS!$A$2,SCENARIOS!$B$2,1,YIELDS!K$1)</f>
        <v>1.56</v>
      </c>
      <c r="L71" cm="1">
        <f t="array" ref="L71">_xll.VALEURCOURBE($A$27,_xlfn.CONCAT("THEME5=",$B71),SCENARIOS!$A$2,SCENARIOS!$B$2,1,YIELDS!L$1)</f>
        <v>3.88</v>
      </c>
      <c r="M71" cm="1">
        <f t="array" ref="M71">_xll.VALEURCOURBE($A$27,_xlfn.CONCAT("THEME5=",$B71),SCENARIOS!$A$2,SCENARIOS!$B$2,1,YIELDS!M$1)</f>
        <v>6.31</v>
      </c>
      <c r="N71" cm="1">
        <f t="array" ref="N71">_xll.VALEURCOURBE($A$27,_xlfn.CONCAT("THEME5=",$B71),SCENARIOS!$A$2,SCENARIOS!$B$2,1,YIELDS!N$1)</f>
        <v>8.7899999999999991</v>
      </c>
      <c r="O71" cm="1">
        <f t="array" ref="O71">_xll.VALEURCOURBE($A$27,_xlfn.CONCAT("THEME5=",$B71),SCENARIOS!$A$2,SCENARIOS!$B$2,1,YIELDS!O$1)</f>
        <v>11.26</v>
      </c>
      <c r="P71" cm="1">
        <f t="array" ref="P71">_xll.VALEURCOURBE($A$27,_xlfn.CONCAT("THEME5=",$B71),SCENARIOS!$A$2,SCENARIOS!$B$2,1,YIELDS!P$1)</f>
        <v>13.68</v>
      </c>
      <c r="Q71" cm="1">
        <f t="array" ref="Q71">_xll.VALEURCOURBE($A$27,_xlfn.CONCAT("THEME5=",$B71),SCENARIOS!$A$2,SCENARIOS!$B$2,1,YIELDS!Q$1)</f>
        <v>16.010000000000002</v>
      </c>
      <c r="R71" cm="1">
        <f t="array" ref="R71">_xll.VALEURCOURBE($A$27,_xlfn.CONCAT("THEME5=",$B71),SCENARIOS!$A$2,SCENARIOS!$B$2,1,YIELDS!R$1)</f>
        <v>18.23</v>
      </c>
      <c r="S71" cm="1">
        <f t="array" ref="S71">_xll.VALEURCOURBE($A$27,_xlfn.CONCAT("THEME5=",$B71),SCENARIOS!$A$2,SCENARIOS!$B$2,1,YIELDS!S$1)</f>
        <v>20.29</v>
      </c>
      <c r="T71" cm="1">
        <f t="array" ref="T71">_xll.VALEURCOURBE($A$27,_xlfn.CONCAT("THEME5=",$B71),SCENARIOS!$A$2,SCENARIOS!$B$2,1,YIELDS!T$1)</f>
        <v>22.2</v>
      </c>
      <c r="U71" cm="1">
        <f t="array" ref="U71">_xll.VALEURCOURBE($A$27,_xlfn.CONCAT("THEME5=",$B71),SCENARIOS!$A$2,SCENARIOS!$B$2,1,YIELDS!U$1)</f>
        <v>23.94</v>
      </c>
      <c r="V71" cm="1">
        <f t="array" ref="V71">_xll.VALEURCOURBE($A$27,_xlfn.CONCAT("THEME5=",$B71),SCENARIOS!$A$2,SCENARIOS!$B$2,1,YIELDS!V$1)</f>
        <v>25.5</v>
      </c>
    </row>
    <row r="72" spans="1:22" x14ac:dyDescent="0.25">
      <c r="A72" t="str">
        <v>YAAM</v>
      </c>
      <c r="B72" t="str">
        <v>FC7124</v>
      </c>
      <c r="C72" cm="1">
        <f t="array" ref="C72">_xll.VALEURCOURBE($A$27,_xlfn.CONCAT("THEME5=",$B72),SCENARIOS!$A$2,SCENARIOS!$B$2,1,YIELDS!C$1)</f>
        <v>0</v>
      </c>
      <c r="D72" cm="1">
        <f t="array" ref="D72">_xll.VALEURCOURBE($A$27,_xlfn.CONCAT("THEME5=",$B72),SCENARIOS!$A$2,SCENARIOS!$B$2,1,YIELDS!D$1)</f>
        <v>0</v>
      </c>
      <c r="E72" cm="1">
        <f t="array" ref="E72">_xll.VALEURCOURBE($A$27,_xlfn.CONCAT("THEME5=",$B72),SCENARIOS!$A$2,SCENARIOS!$B$2,1,YIELDS!E$1)</f>
        <v>0</v>
      </c>
      <c r="F72" cm="1">
        <f t="array" ref="F72">_xll.VALEURCOURBE($A$27,_xlfn.CONCAT("THEME5=",$B72),SCENARIOS!$A$2,SCENARIOS!$B$2,1,YIELDS!F$1)</f>
        <v>0</v>
      </c>
      <c r="G72" cm="1">
        <f t="array" ref="G72">_xll.VALEURCOURBE($A$27,_xlfn.CONCAT("THEME5=",$B72),SCENARIOS!$A$2,SCENARIOS!$B$2,1,YIELDS!G$1)</f>
        <v>0</v>
      </c>
      <c r="H72" cm="1">
        <f t="array" ref="H72">_xll.VALEURCOURBE($A$27,_xlfn.CONCAT("THEME5=",$B72),SCENARIOS!$A$2,SCENARIOS!$B$2,1,YIELDS!H$1)</f>
        <v>0</v>
      </c>
      <c r="I72" cm="1">
        <f t="array" ref="I72">_xll.VALEURCOURBE($A$27,_xlfn.CONCAT("THEME5=",$B72),SCENARIOS!$A$2,SCENARIOS!$B$2,1,YIELDS!I$1)</f>
        <v>1.03</v>
      </c>
      <c r="J72" cm="1">
        <f t="array" ref="J72">_xll.VALEURCOURBE($A$27,_xlfn.CONCAT("THEME5=",$B72),SCENARIOS!$A$2,SCENARIOS!$B$2,1,YIELDS!J$1)</f>
        <v>4.8499999999999996</v>
      </c>
      <c r="K72" cm="1">
        <f t="array" ref="K72">_xll.VALEURCOURBE($A$27,_xlfn.CONCAT("THEME5=",$B72),SCENARIOS!$A$2,SCENARIOS!$B$2,1,YIELDS!K$1)</f>
        <v>8.8699999999999992</v>
      </c>
      <c r="L72" cm="1">
        <f t="array" ref="L72">_xll.VALEURCOURBE($A$27,_xlfn.CONCAT("THEME5=",$B72),SCENARIOS!$A$2,SCENARIOS!$B$2,1,YIELDS!L$1)</f>
        <v>13</v>
      </c>
      <c r="M72" cm="1">
        <f t="array" ref="M72">_xll.VALEURCOURBE($A$27,_xlfn.CONCAT("THEME5=",$B72),SCENARIOS!$A$2,SCENARIOS!$B$2,1,YIELDS!M$1)</f>
        <v>17.16</v>
      </c>
      <c r="N72" cm="1">
        <f t="array" ref="N72">_xll.VALEURCOURBE($A$27,_xlfn.CONCAT("THEME5=",$B72),SCENARIOS!$A$2,SCENARIOS!$B$2,1,YIELDS!N$1)</f>
        <v>21.29</v>
      </c>
      <c r="O72" cm="1">
        <f t="array" ref="O72">_xll.VALEURCOURBE($A$27,_xlfn.CONCAT("THEME5=",$B72),SCENARIOS!$A$2,SCENARIOS!$B$2,1,YIELDS!O$1)</f>
        <v>25.33</v>
      </c>
      <c r="P72" cm="1">
        <f t="array" ref="P72">_xll.VALEURCOURBE($A$27,_xlfn.CONCAT("THEME5=",$B72),SCENARIOS!$A$2,SCENARIOS!$B$2,1,YIELDS!P$1)</f>
        <v>29.24</v>
      </c>
      <c r="Q72" cm="1">
        <f t="array" ref="Q72">_xll.VALEURCOURBE($A$27,_xlfn.CONCAT("THEME5=",$B72),SCENARIOS!$A$2,SCENARIOS!$B$2,1,YIELDS!Q$1)</f>
        <v>32.979999999999997</v>
      </c>
      <c r="R72" cm="1">
        <f t="array" ref="R72">_xll.VALEURCOURBE($A$27,_xlfn.CONCAT("THEME5=",$B72),SCENARIOS!$A$2,SCENARIOS!$B$2,1,YIELDS!R$1)</f>
        <v>36.520000000000003</v>
      </c>
      <c r="S72" cm="1">
        <f t="array" ref="S72">_xll.VALEURCOURBE($A$27,_xlfn.CONCAT("THEME5=",$B72),SCENARIOS!$A$2,SCENARIOS!$B$2,1,YIELDS!S$1)</f>
        <v>39.85</v>
      </c>
      <c r="T72" cm="1">
        <f t="array" ref="T72">_xll.VALEURCOURBE($A$27,_xlfn.CONCAT("THEME5=",$B72),SCENARIOS!$A$2,SCENARIOS!$B$2,1,YIELDS!T$1)</f>
        <v>42.93</v>
      </c>
      <c r="U72" cm="1">
        <f t="array" ref="U72">_xll.VALEURCOURBE($A$27,_xlfn.CONCAT("THEME5=",$B72),SCENARIOS!$A$2,SCENARIOS!$B$2,1,YIELDS!U$1)</f>
        <v>45.77</v>
      </c>
      <c r="V72" cm="1">
        <f t="array" ref="V72">_xll.VALEURCOURBE($A$27,_xlfn.CONCAT("THEME5=",$B72),SCENARIOS!$A$2,SCENARIOS!$B$2,1,YIELDS!V$1)</f>
        <v>48.36</v>
      </c>
    </row>
    <row r="73" spans="1:22" x14ac:dyDescent="0.25">
      <c r="A73" t="str">
        <v>YPCTFFI</v>
      </c>
      <c r="B73" t="str">
        <v>FC7127</v>
      </c>
      <c r="C73" cm="1">
        <f t="array" ref="C73">_xll.VALEURCOURBE($A$27,_xlfn.CONCAT("THEME5=",$B73),SCENARIOS!$A$2,SCENARIOS!$B$2,1,YIELDS!C$1)</f>
        <v>0</v>
      </c>
      <c r="D73" cm="1">
        <f t="array" ref="D73">_xll.VALEURCOURBE($A$27,_xlfn.CONCAT("THEME5=",$B73),SCENARIOS!$A$2,SCENARIOS!$B$2,1,YIELDS!D$1)</f>
        <v>0</v>
      </c>
      <c r="E73" cm="1">
        <f t="array" ref="E73">_xll.VALEURCOURBE($A$27,_xlfn.CONCAT("THEME5=",$B73),SCENARIOS!$A$2,SCENARIOS!$B$2,1,YIELDS!E$1)</f>
        <v>0</v>
      </c>
      <c r="F73" cm="1">
        <f t="array" ref="F73">_xll.VALEURCOURBE($A$27,_xlfn.CONCAT("THEME5=",$B73),SCENARIOS!$A$2,SCENARIOS!$B$2,1,YIELDS!F$1)</f>
        <v>0</v>
      </c>
      <c r="G73" cm="1">
        <f t="array" ref="G73">_xll.VALEURCOURBE($A$27,_xlfn.CONCAT("THEME5=",$B73),SCENARIOS!$A$2,SCENARIOS!$B$2,1,YIELDS!G$1)</f>
        <v>0</v>
      </c>
      <c r="H73" cm="1">
        <f t="array" ref="H73">_xll.VALEURCOURBE($A$27,_xlfn.CONCAT("THEME5=",$B73),SCENARIOS!$A$2,SCENARIOS!$B$2,1,YIELDS!H$1)</f>
        <v>0</v>
      </c>
      <c r="I73" cm="1">
        <f t="array" ref="I73">_xll.VALEURCOURBE($A$27,_xlfn.CONCAT("THEME5=",$B73),SCENARIOS!$A$2,SCENARIOS!$B$2,1,YIELDS!I$1)</f>
        <v>1.27</v>
      </c>
      <c r="J73" cm="1">
        <f t="array" ref="J73">_xll.VALEURCOURBE($A$27,_xlfn.CONCAT("THEME5=",$B73),SCENARIOS!$A$2,SCENARIOS!$B$2,1,YIELDS!J$1)</f>
        <v>7.04</v>
      </c>
      <c r="K73" cm="1">
        <f t="array" ref="K73">_xll.VALEURCOURBE($A$27,_xlfn.CONCAT("THEME5=",$B73),SCENARIOS!$A$2,SCENARIOS!$B$2,1,YIELDS!K$1)</f>
        <v>13.2</v>
      </c>
      <c r="L73" cm="1">
        <f t="array" ref="L73">_xll.VALEURCOURBE($A$27,_xlfn.CONCAT("THEME5=",$B73),SCENARIOS!$A$2,SCENARIOS!$B$2,1,YIELDS!L$1)</f>
        <v>19.41</v>
      </c>
      <c r="M73" cm="1">
        <f t="array" ref="M73">_xll.VALEURCOURBE($A$27,_xlfn.CONCAT("THEME5=",$B73),SCENARIOS!$A$2,SCENARIOS!$B$2,1,YIELDS!M$1)</f>
        <v>25.46</v>
      </c>
      <c r="N73" cm="1">
        <f t="array" ref="N73">_xll.VALEURCOURBE($A$27,_xlfn.CONCAT("THEME5=",$B73),SCENARIOS!$A$2,SCENARIOS!$B$2,1,YIELDS!N$1)</f>
        <v>31.17</v>
      </c>
      <c r="O73" cm="1">
        <f t="array" ref="O73">_xll.VALEURCOURBE($A$27,_xlfn.CONCAT("THEME5=",$B73),SCENARIOS!$A$2,SCENARIOS!$B$2,1,YIELDS!O$1)</f>
        <v>36.43</v>
      </c>
      <c r="P73" cm="1">
        <f t="array" ref="P73">_xll.VALEURCOURBE($A$27,_xlfn.CONCAT("THEME5=",$B73),SCENARIOS!$A$2,SCENARIOS!$B$2,1,YIELDS!P$1)</f>
        <v>41.14</v>
      </c>
      <c r="Q73" cm="1">
        <f t="array" ref="Q73">_xll.VALEURCOURBE($A$27,_xlfn.CONCAT("THEME5=",$B73),SCENARIOS!$A$2,SCENARIOS!$B$2,1,YIELDS!Q$1)</f>
        <v>45.27</v>
      </c>
      <c r="R73" cm="1">
        <f t="array" ref="R73">_xll.VALEURCOURBE($A$27,_xlfn.CONCAT("THEME5=",$B73),SCENARIOS!$A$2,SCENARIOS!$B$2,1,YIELDS!R$1)</f>
        <v>48.76</v>
      </c>
      <c r="S73" cm="1">
        <f t="array" ref="S73">_xll.VALEURCOURBE($A$27,_xlfn.CONCAT("THEME5=",$B73),SCENARIOS!$A$2,SCENARIOS!$B$2,1,YIELDS!S$1)</f>
        <v>51.64</v>
      </c>
      <c r="T73" cm="1">
        <f t="array" ref="T73">_xll.VALEURCOURBE($A$27,_xlfn.CONCAT("THEME5=",$B73),SCENARIOS!$A$2,SCENARIOS!$B$2,1,YIELDS!T$1)</f>
        <v>53.92</v>
      </c>
      <c r="U73" cm="1">
        <f t="array" ref="U73">_xll.VALEURCOURBE($A$27,_xlfn.CONCAT("THEME5=",$B73),SCENARIOS!$A$2,SCENARIOS!$B$2,1,YIELDS!U$1)</f>
        <v>55.63</v>
      </c>
      <c r="V73" cm="1">
        <f t="array" ref="V73">_xll.VALEURCOURBE($A$27,_xlfn.CONCAT("THEME5=",$B73),SCENARIOS!$A$2,SCENARIOS!$B$2,1,YIELDS!V$1)</f>
        <v>56.83</v>
      </c>
    </row>
    <row r="74" spans="1:22" x14ac:dyDescent="0.25">
      <c r="A74" t="str">
        <v>YPCTRES</v>
      </c>
      <c r="B74" t="str">
        <v>FC7130</v>
      </c>
      <c r="C74" cm="1">
        <f t="array" ref="C74">_xll.VALEURCOURBE($A$27,_xlfn.CONCAT("THEME5=",$B74),SCENARIOS!$A$2,SCENARIOS!$B$2,1,YIELDS!C$1)</f>
        <v>0</v>
      </c>
      <c r="D74" cm="1">
        <f t="array" ref="D74">_xll.VALEURCOURBE($A$27,_xlfn.CONCAT("THEME5=",$B74),SCENARIOS!$A$2,SCENARIOS!$B$2,1,YIELDS!D$1)</f>
        <v>0</v>
      </c>
      <c r="E74" cm="1">
        <f t="array" ref="E74">_xll.VALEURCOURBE($A$27,_xlfn.CONCAT("THEME5=",$B74),SCENARIOS!$A$2,SCENARIOS!$B$2,1,YIELDS!E$1)</f>
        <v>0</v>
      </c>
      <c r="F74" cm="1">
        <f t="array" ref="F74">_xll.VALEURCOURBE($A$27,_xlfn.CONCAT("THEME5=",$B74),SCENARIOS!$A$2,SCENARIOS!$B$2,1,YIELDS!F$1)</f>
        <v>0</v>
      </c>
      <c r="G74" cm="1">
        <f t="array" ref="G74">_xll.VALEURCOURBE($A$27,_xlfn.CONCAT("THEME5=",$B74),SCENARIOS!$A$2,SCENARIOS!$B$2,1,YIELDS!G$1)</f>
        <v>0</v>
      </c>
      <c r="H74" cm="1">
        <f t="array" ref="H74">_xll.VALEURCOURBE($A$27,_xlfn.CONCAT("THEME5=",$B74),SCENARIOS!$A$2,SCENARIOS!$B$2,1,YIELDS!H$1)</f>
        <v>0</v>
      </c>
      <c r="I74" cm="1">
        <f t="array" ref="I74">_xll.VALEURCOURBE($A$27,_xlfn.CONCAT("THEME5=",$B74),SCENARIOS!$A$2,SCENARIOS!$B$2,1,YIELDS!I$1)</f>
        <v>5.35</v>
      </c>
      <c r="J74" cm="1">
        <f t="array" ref="J74">_xll.VALEURCOURBE($A$27,_xlfn.CONCAT("THEME5=",$B74),SCENARIOS!$A$2,SCENARIOS!$B$2,1,YIELDS!J$1)</f>
        <v>12.71</v>
      </c>
      <c r="K74" cm="1">
        <f t="array" ref="K74">_xll.VALEURCOURBE($A$27,_xlfn.CONCAT("THEME5=",$B74),SCENARIOS!$A$2,SCENARIOS!$B$2,1,YIELDS!K$1)</f>
        <v>20.36</v>
      </c>
      <c r="L74" cm="1">
        <f t="array" ref="L74">_xll.VALEURCOURBE($A$27,_xlfn.CONCAT("THEME5=",$B74),SCENARIOS!$A$2,SCENARIOS!$B$2,1,YIELDS!L$1)</f>
        <v>27.99</v>
      </c>
      <c r="M74" cm="1">
        <f t="array" ref="M74">_xll.VALEURCOURBE($A$27,_xlfn.CONCAT("THEME5=",$B74),SCENARIOS!$A$2,SCENARIOS!$B$2,1,YIELDS!M$1)</f>
        <v>35.409999999999997</v>
      </c>
      <c r="N74" cm="1">
        <f t="array" ref="N74">_xll.VALEURCOURBE($A$27,_xlfn.CONCAT("THEME5=",$B74),SCENARIOS!$A$2,SCENARIOS!$B$2,1,YIELDS!N$1)</f>
        <v>42.46</v>
      </c>
      <c r="O74" cm="1">
        <f t="array" ref="O74">_xll.VALEURCOURBE($A$27,_xlfn.CONCAT("THEME5=",$B74),SCENARIOS!$A$2,SCENARIOS!$B$2,1,YIELDS!O$1)</f>
        <v>49.01</v>
      </c>
      <c r="P74" cm="1">
        <f t="array" ref="P74">_xll.VALEURCOURBE($A$27,_xlfn.CONCAT("THEME5=",$B74),SCENARIOS!$A$2,SCENARIOS!$B$2,1,YIELDS!P$1)</f>
        <v>55.01</v>
      </c>
      <c r="Q74" cm="1">
        <f t="array" ref="Q74">_xll.VALEURCOURBE($A$27,_xlfn.CONCAT("THEME5=",$B74),SCENARIOS!$A$2,SCENARIOS!$B$2,1,YIELDS!Q$1)</f>
        <v>60.4</v>
      </c>
      <c r="R74" cm="1">
        <f t="array" ref="R74">_xll.VALEURCOURBE($A$27,_xlfn.CONCAT("THEME5=",$B74),SCENARIOS!$A$2,SCENARIOS!$B$2,1,YIELDS!R$1)</f>
        <v>65.13</v>
      </c>
      <c r="S74" cm="1">
        <f t="array" ref="S74">_xll.VALEURCOURBE($A$27,_xlfn.CONCAT("THEME5=",$B74),SCENARIOS!$A$2,SCENARIOS!$B$2,1,YIELDS!S$1)</f>
        <v>69.23</v>
      </c>
      <c r="T74" cm="1">
        <f t="array" ref="T74">_xll.VALEURCOURBE($A$27,_xlfn.CONCAT("THEME5=",$B74),SCENARIOS!$A$2,SCENARIOS!$B$2,1,YIELDS!T$1)</f>
        <v>72.709999999999994</v>
      </c>
      <c r="U74" cm="1">
        <f t="array" ref="U74">_xll.VALEURCOURBE($A$27,_xlfn.CONCAT("THEME5=",$B74),SCENARIOS!$A$2,SCENARIOS!$B$2,1,YIELDS!U$1)</f>
        <v>75.58</v>
      </c>
      <c r="V74" cm="1">
        <f t="array" ref="V74">_xll.VALEURCOURBE($A$27,_xlfn.CONCAT("THEME5=",$B74),SCENARIOS!$A$2,SCENARIOS!$B$2,1,YIELDS!V$1)</f>
        <v>77.92</v>
      </c>
    </row>
    <row r="75" spans="1:22" x14ac:dyDescent="0.25">
      <c r="A75" t="str">
        <v>YPCTSAB_R</v>
      </c>
      <c r="B75" t="str">
        <v>FC7133</v>
      </c>
      <c r="C75" cm="1">
        <f t="array" ref="C75">_xll.VALEURCOURBE($A$27,_xlfn.CONCAT("THEME5=",$B75),SCENARIOS!$A$2,SCENARIOS!$B$2,1,YIELDS!C$1)</f>
        <v>0</v>
      </c>
      <c r="D75" cm="1">
        <f t="array" ref="D75">_xll.VALEURCOURBE($A$27,_xlfn.CONCAT("THEME5=",$B75),SCENARIOS!$A$2,SCENARIOS!$B$2,1,YIELDS!D$1)</f>
        <v>0</v>
      </c>
      <c r="E75" cm="1">
        <f t="array" ref="E75">_xll.VALEURCOURBE($A$27,_xlfn.CONCAT("THEME5=",$B75),SCENARIOS!$A$2,SCENARIOS!$B$2,1,YIELDS!E$1)</f>
        <v>0</v>
      </c>
      <c r="F75" cm="1">
        <f t="array" ref="F75">_xll.VALEURCOURBE($A$27,_xlfn.CONCAT("THEME5=",$B75),SCENARIOS!$A$2,SCENARIOS!$B$2,1,YIELDS!F$1)</f>
        <v>0</v>
      </c>
      <c r="G75" cm="1">
        <f t="array" ref="G75">_xll.VALEURCOURBE($A$27,_xlfn.CONCAT("THEME5=",$B75),SCENARIOS!$A$2,SCENARIOS!$B$2,1,YIELDS!G$1)</f>
        <v>0</v>
      </c>
      <c r="H75" cm="1">
        <f t="array" ref="H75">_xll.VALEURCOURBE($A$27,_xlfn.CONCAT("THEME5=",$B75),SCENARIOS!$A$2,SCENARIOS!$B$2,1,YIELDS!H$1)</f>
        <v>0</v>
      </c>
      <c r="I75" cm="1">
        <f t="array" ref="I75">_xll.VALEURCOURBE($A$27,_xlfn.CONCAT("THEME5=",$B75),SCENARIOS!$A$2,SCENARIOS!$B$2,1,YIELDS!I$1)</f>
        <v>1.96</v>
      </c>
      <c r="J75" cm="1">
        <f t="array" ref="J75">_xll.VALEURCOURBE($A$27,_xlfn.CONCAT("THEME5=",$B75),SCENARIOS!$A$2,SCENARIOS!$B$2,1,YIELDS!J$1)</f>
        <v>4.7300000000000004</v>
      </c>
      <c r="K75" cm="1">
        <f t="array" ref="K75">_xll.VALEURCOURBE($A$27,_xlfn.CONCAT("THEME5=",$B75),SCENARIOS!$A$2,SCENARIOS!$B$2,1,YIELDS!K$1)</f>
        <v>7.5</v>
      </c>
      <c r="L75" cm="1">
        <f t="array" ref="L75">_xll.VALEURCOURBE($A$27,_xlfn.CONCAT("THEME5=",$B75),SCENARIOS!$A$2,SCENARIOS!$B$2,1,YIELDS!L$1)</f>
        <v>10.210000000000001</v>
      </c>
      <c r="M75" cm="1">
        <f t="array" ref="M75">_xll.VALEURCOURBE($A$27,_xlfn.CONCAT("THEME5=",$B75),SCENARIOS!$A$2,SCENARIOS!$B$2,1,YIELDS!M$1)</f>
        <v>12.8</v>
      </c>
      <c r="N75" cm="1">
        <f t="array" ref="N75">_xll.VALEURCOURBE($A$27,_xlfn.CONCAT("THEME5=",$B75),SCENARIOS!$A$2,SCENARIOS!$B$2,1,YIELDS!N$1)</f>
        <v>15.23</v>
      </c>
      <c r="O75" cm="1">
        <f t="array" ref="O75">_xll.VALEURCOURBE($A$27,_xlfn.CONCAT("THEME5=",$B75),SCENARIOS!$A$2,SCENARIOS!$B$2,1,YIELDS!O$1)</f>
        <v>17.47</v>
      </c>
      <c r="P75" cm="1">
        <f t="array" ref="P75">_xll.VALEURCOURBE($A$27,_xlfn.CONCAT("THEME5=",$B75),SCENARIOS!$A$2,SCENARIOS!$B$2,1,YIELDS!P$1)</f>
        <v>19.510000000000002</v>
      </c>
      <c r="Q75" cm="1">
        <f t="array" ref="Q75">_xll.VALEURCOURBE($A$27,_xlfn.CONCAT("THEME5=",$B75),SCENARIOS!$A$2,SCENARIOS!$B$2,1,YIELDS!Q$1)</f>
        <v>21.32</v>
      </c>
      <c r="R75" cm="1">
        <f t="array" ref="R75">_xll.VALEURCOURBE($A$27,_xlfn.CONCAT("THEME5=",$B75),SCENARIOS!$A$2,SCENARIOS!$B$2,1,YIELDS!R$1)</f>
        <v>22.91</v>
      </c>
      <c r="S75" cm="1">
        <f t="array" ref="S75">_xll.VALEURCOURBE($A$27,_xlfn.CONCAT("THEME5=",$B75),SCENARIOS!$A$2,SCENARIOS!$B$2,1,YIELDS!S$1)</f>
        <v>24.29</v>
      </c>
      <c r="T75" cm="1">
        <f t="array" ref="T75">_xll.VALEURCOURBE($A$27,_xlfn.CONCAT("THEME5=",$B75),SCENARIOS!$A$2,SCENARIOS!$B$2,1,YIELDS!T$1)</f>
        <v>25.45</v>
      </c>
      <c r="U75" cm="1">
        <f t="array" ref="U75">_xll.VALEURCOURBE($A$27,_xlfn.CONCAT("THEME5=",$B75),SCENARIOS!$A$2,SCENARIOS!$B$2,1,YIELDS!U$1)</f>
        <v>26.4</v>
      </c>
      <c r="V75" cm="1">
        <f t="array" ref="V75">_xll.VALEURCOURBE($A$27,_xlfn.CONCAT("THEME5=",$B75),SCENARIOS!$A$2,SCENARIOS!$B$2,1,YIELDS!V$1)</f>
        <v>27.15</v>
      </c>
    </row>
    <row r="76" spans="1:22" x14ac:dyDescent="0.25">
      <c r="A76" t="str">
        <v>YCOUVF</v>
      </c>
      <c r="B76" t="str">
        <v>FC7134</v>
      </c>
      <c r="C76" cm="1">
        <f t="array" ref="C76">_xll.VALEURCOURBE($A$27,_xlfn.CONCAT("THEME5=",$B76),SCENARIOS!$A$2,SCENARIOS!$B$2,1,YIELDS!C$1)</f>
        <v>0</v>
      </c>
      <c r="D76" cm="1">
        <f t="array" ref="D76">_xll.VALEURCOURBE($A$27,_xlfn.CONCAT("THEME5=",$B76),SCENARIOS!$A$2,SCENARIOS!$B$2,1,YIELDS!D$1)</f>
        <v>0</v>
      </c>
      <c r="E76" cm="1">
        <f t="array" ref="E76">_xll.VALEURCOURBE($A$27,_xlfn.CONCAT("THEME5=",$B76),SCENARIOS!$A$2,SCENARIOS!$B$2,1,YIELDS!E$1)</f>
        <v>0</v>
      </c>
      <c r="F76" cm="1">
        <f t="array" ref="F76">_xll.VALEURCOURBE($A$27,_xlfn.CONCAT("THEME5=",$B76),SCENARIOS!$A$2,SCENARIOS!$B$2,1,YIELDS!F$1)</f>
        <v>0</v>
      </c>
      <c r="G76" cm="1">
        <f t="array" ref="G76">_xll.VALEURCOURBE($A$27,_xlfn.CONCAT("THEME5=",$B76),SCENARIOS!$A$2,SCENARIOS!$B$2,1,YIELDS!G$1)</f>
        <v>0</v>
      </c>
      <c r="H76" cm="1">
        <f t="array" ref="H76">_xll.VALEURCOURBE($A$27,_xlfn.CONCAT("THEME5=",$B76),SCENARIOS!$A$2,SCENARIOS!$B$2,1,YIELDS!H$1)</f>
        <v>0</v>
      </c>
      <c r="I76" cm="1">
        <f t="array" ref="I76">_xll.VALEURCOURBE($A$27,_xlfn.CONCAT("THEME5=",$B76),SCENARIOS!$A$2,SCENARIOS!$B$2,1,YIELDS!I$1)</f>
        <v>0</v>
      </c>
      <c r="J76" cm="1">
        <f t="array" ref="J76">_xll.VALEURCOURBE($A$27,_xlfn.CONCAT("THEME5=",$B76),SCENARIOS!$A$2,SCENARIOS!$B$2,1,YIELDS!J$1)</f>
        <v>0.4</v>
      </c>
      <c r="K76" cm="1">
        <f t="array" ref="K76">_xll.VALEURCOURBE($A$27,_xlfn.CONCAT("THEME5=",$B76),SCENARIOS!$A$2,SCENARIOS!$B$2,1,YIELDS!K$1)</f>
        <v>4.5999999999999996</v>
      </c>
      <c r="L76" cm="1">
        <f t="array" ref="L76">_xll.VALEURCOURBE($A$27,_xlfn.CONCAT("THEME5=",$B76),SCENARIOS!$A$2,SCENARIOS!$B$2,1,YIELDS!L$1)</f>
        <v>8.66</v>
      </c>
      <c r="M76" cm="1">
        <f t="array" ref="M76">_xll.VALEURCOURBE($A$27,_xlfn.CONCAT("THEME5=",$B76),SCENARIOS!$A$2,SCENARIOS!$B$2,1,YIELDS!M$1)</f>
        <v>12.52</v>
      </c>
      <c r="N76" cm="1">
        <f t="array" ref="N76">_xll.VALEURCOURBE($A$27,_xlfn.CONCAT("THEME5=",$B76),SCENARIOS!$A$2,SCENARIOS!$B$2,1,YIELDS!N$1)</f>
        <v>16.14</v>
      </c>
      <c r="O76" cm="1">
        <f t="array" ref="O76">_xll.VALEURCOURBE($A$27,_xlfn.CONCAT("THEME5=",$B76),SCENARIOS!$A$2,SCENARIOS!$B$2,1,YIELDS!O$1)</f>
        <v>19.5</v>
      </c>
      <c r="P76" cm="1">
        <f t="array" ref="P76">_xll.VALEURCOURBE($A$27,_xlfn.CONCAT("THEME5=",$B76),SCENARIOS!$A$2,SCENARIOS!$B$2,1,YIELDS!P$1)</f>
        <v>22.57</v>
      </c>
      <c r="Q76" cm="1">
        <f t="array" ref="Q76">_xll.VALEURCOURBE($A$27,_xlfn.CONCAT("THEME5=",$B76),SCENARIOS!$A$2,SCENARIOS!$B$2,1,YIELDS!Q$1)</f>
        <v>25.34</v>
      </c>
      <c r="R76" cm="1">
        <f t="array" ref="R76">_xll.VALEURCOURBE($A$27,_xlfn.CONCAT("THEME5=",$B76),SCENARIOS!$A$2,SCENARIOS!$B$2,1,YIELDS!R$1)</f>
        <v>27.81</v>
      </c>
      <c r="S76" cm="1">
        <f t="array" ref="S76">_xll.VALEURCOURBE($A$27,_xlfn.CONCAT("THEME5=",$B76),SCENARIOS!$A$2,SCENARIOS!$B$2,1,YIELDS!S$1)</f>
        <v>29.96</v>
      </c>
      <c r="T76" cm="1">
        <f t="array" ref="T76">_xll.VALEURCOURBE($A$27,_xlfn.CONCAT("THEME5=",$B76),SCENARIOS!$A$2,SCENARIOS!$B$2,1,YIELDS!T$1)</f>
        <v>31.83</v>
      </c>
      <c r="U76" cm="1">
        <f t="array" ref="U76">_xll.VALEURCOURBE($A$27,_xlfn.CONCAT("THEME5=",$B76),SCENARIOS!$A$2,SCENARIOS!$B$2,1,YIELDS!U$1)</f>
        <v>33.4</v>
      </c>
      <c r="V76" cm="1">
        <f t="array" ref="V76">_xll.VALEURCOURBE($A$27,_xlfn.CONCAT("THEME5=",$B76),SCENARIOS!$A$2,SCENARIOS!$B$2,1,YIELDS!V$1)</f>
        <v>34.71</v>
      </c>
    </row>
    <row r="77" spans="1:22" x14ac:dyDescent="0.25">
      <c r="A77" t="str">
        <v>YCOUVFI</v>
      </c>
      <c r="B77" t="str">
        <v>FC7138</v>
      </c>
      <c r="C77" cm="1">
        <f t="array" ref="C77">_xll.VALEURCOURBE($A$27,_xlfn.CONCAT("THEME5=",$B77),SCENARIOS!$A$2,SCENARIOS!$B$2,1,YIELDS!C$1)</f>
        <v>0</v>
      </c>
      <c r="D77" cm="1">
        <f t="array" ref="D77">_xll.VALEURCOURBE($A$27,_xlfn.CONCAT("THEME5=",$B77),SCENARIOS!$A$2,SCENARIOS!$B$2,1,YIELDS!D$1)</f>
        <v>0</v>
      </c>
      <c r="E77" cm="1">
        <f t="array" ref="E77">_xll.VALEURCOURBE($A$27,_xlfn.CONCAT("THEME5=",$B77),SCENARIOS!$A$2,SCENARIOS!$B$2,1,YIELDS!E$1)</f>
        <v>0</v>
      </c>
      <c r="F77" cm="1">
        <f t="array" ref="F77">_xll.VALEURCOURBE($A$27,_xlfn.CONCAT("THEME5=",$B77),SCENARIOS!$A$2,SCENARIOS!$B$2,1,YIELDS!F$1)</f>
        <v>0</v>
      </c>
      <c r="G77" cm="1">
        <f t="array" ref="G77">_xll.VALEURCOURBE($A$27,_xlfn.CONCAT("THEME5=",$B77),SCENARIOS!$A$2,SCENARIOS!$B$2,1,YIELDS!G$1)</f>
        <v>0</v>
      </c>
      <c r="H77" cm="1">
        <f t="array" ref="H77">_xll.VALEURCOURBE($A$27,_xlfn.CONCAT("THEME5=",$B77),SCENARIOS!$A$2,SCENARIOS!$B$2,1,YIELDS!H$1)</f>
        <v>0</v>
      </c>
      <c r="I77" cm="1">
        <f t="array" ref="I77">_xll.VALEURCOURBE($A$27,_xlfn.CONCAT("THEME5=",$B77),SCENARIOS!$A$2,SCENARIOS!$B$2,1,YIELDS!I$1)</f>
        <v>0</v>
      </c>
      <c r="J77" cm="1">
        <f t="array" ref="J77">_xll.VALEURCOURBE($A$27,_xlfn.CONCAT("THEME5=",$B77),SCENARIOS!$A$2,SCENARIOS!$B$2,1,YIELDS!J$1)</f>
        <v>0</v>
      </c>
      <c r="K77" cm="1">
        <f t="array" ref="K77">_xll.VALEURCOURBE($A$27,_xlfn.CONCAT("THEME5=",$B77),SCENARIOS!$A$2,SCENARIOS!$B$2,1,YIELDS!K$1)</f>
        <v>2.67</v>
      </c>
      <c r="L77" cm="1">
        <f t="array" ref="L77">_xll.VALEURCOURBE($A$27,_xlfn.CONCAT("THEME5=",$B77),SCENARIOS!$A$2,SCENARIOS!$B$2,1,YIELDS!L$1)</f>
        <v>8.9499999999999993</v>
      </c>
      <c r="M77" cm="1">
        <f t="array" ref="M77">_xll.VALEURCOURBE($A$27,_xlfn.CONCAT("THEME5=",$B77),SCENARIOS!$A$2,SCENARIOS!$B$2,1,YIELDS!M$1)</f>
        <v>14.76</v>
      </c>
      <c r="N77" cm="1">
        <f t="array" ref="N77">_xll.VALEURCOURBE($A$27,_xlfn.CONCAT("THEME5=",$B77),SCENARIOS!$A$2,SCENARIOS!$B$2,1,YIELDS!N$1)</f>
        <v>20.079999999999998</v>
      </c>
      <c r="O77" cm="1">
        <f t="array" ref="O77">_xll.VALEURCOURBE($A$27,_xlfn.CONCAT("THEME5=",$B77),SCENARIOS!$A$2,SCENARIOS!$B$2,1,YIELDS!O$1)</f>
        <v>24.92</v>
      </c>
      <c r="P77" cm="1">
        <f t="array" ref="P77">_xll.VALEURCOURBE($A$27,_xlfn.CONCAT("THEME5=",$B77),SCENARIOS!$A$2,SCENARIOS!$B$2,1,YIELDS!P$1)</f>
        <v>29.25</v>
      </c>
      <c r="Q77" cm="1">
        <f t="array" ref="Q77">_xll.VALEURCOURBE($A$27,_xlfn.CONCAT("THEME5=",$B77),SCENARIOS!$A$2,SCENARIOS!$B$2,1,YIELDS!Q$1)</f>
        <v>33.11</v>
      </c>
      <c r="R77" cm="1">
        <f t="array" ref="R77">_xll.VALEURCOURBE($A$27,_xlfn.CONCAT("THEME5=",$B77),SCENARIOS!$A$2,SCENARIOS!$B$2,1,YIELDS!R$1)</f>
        <v>36.520000000000003</v>
      </c>
      <c r="S77" cm="1">
        <f t="array" ref="S77">_xll.VALEURCOURBE($A$27,_xlfn.CONCAT("THEME5=",$B77),SCENARIOS!$A$2,SCENARIOS!$B$2,1,YIELDS!S$1)</f>
        <v>39.49</v>
      </c>
      <c r="T77" cm="1">
        <f t="array" ref="T77">_xll.VALEURCOURBE($A$27,_xlfn.CONCAT("THEME5=",$B77),SCENARIOS!$A$2,SCENARIOS!$B$2,1,YIELDS!T$1)</f>
        <v>42.06</v>
      </c>
      <c r="U77" cm="1">
        <f t="array" ref="U77">_xll.VALEURCOURBE($A$27,_xlfn.CONCAT("THEME5=",$B77),SCENARIOS!$A$2,SCENARIOS!$B$2,1,YIELDS!U$1)</f>
        <v>44.28</v>
      </c>
      <c r="V77" cm="1">
        <f t="array" ref="V77">_xll.VALEURCOURBE($A$27,_xlfn.CONCAT("THEME5=",$B77),SCENARIOS!$A$2,SCENARIOS!$B$2,1,YIELDS!V$1)</f>
        <v>46.15</v>
      </c>
    </row>
    <row r="78" spans="1:22" x14ac:dyDescent="0.25">
      <c r="A78" t="str">
        <v>YCOUVFT</v>
      </c>
      <c r="B78" t="str">
        <v>FC7145</v>
      </c>
      <c r="C78" cm="1">
        <f t="array" ref="C78">_xll.VALEURCOURBE($A$27,_xlfn.CONCAT("THEME5=",$B78),SCENARIOS!$A$2,SCENARIOS!$B$2,1,YIELDS!C$1)</f>
        <v>0</v>
      </c>
      <c r="D78" cm="1">
        <f t="array" ref="D78">_xll.VALEURCOURBE($A$27,_xlfn.CONCAT("THEME5=",$B78),SCENARIOS!$A$2,SCENARIOS!$B$2,1,YIELDS!D$1)</f>
        <v>0</v>
      </c>
      <c r="E78" cm="1">
        <f t="array" ref="E78">_xll.VALEURCOURBE($A$27,_xlfn.CONCAT("THEME5=",$B78),SCENARIOS!$A$2,SCENARIOS!$B$2,1,YIELDS!E$1)</f>
        <v>0</v>
      </c>
      <c r="F78" cm="1">
        <f t="array" ref="F78">_xll.VALEURCOURBE($A$27,_xlfn.CONCAT("THEME5=",$B78),SCENARIOS!$A$2,SCENARIOS!$B$2,1,YIELDS!F$1)</f>
        <v>0</v>
      </c>
      <c r="G78" cm="1">
        <f t="array" ref="G78">_xll.VALEURCOURBE($A$27,_xlfn.CONCAT("THEME5=",$B78),SCENARIOS!$A$2,SCENARIOS!$B$2,1,YIELDS!G$1)</f>
        <v>0</v>
      </c>
      <c r="H78" cm="1">
        <f t="array" ref="H78">_xll.VALEURCOURBE($A$27,_xlfn.CONCAT("THEME5=",$B78),SCENARIOS!$A$2,SCENARIOS!$B$2,1,YIELDS!H$1)</f>
        <v>0</v>
      </c>
      <c r="I78" cm="1">
        <f t="array" ref="I78">_xll.VALEURCOURBE($A$27,_xlfn.CONCAT("THEME5=",$B78),SCENARIOS!$A$2,SCENARIOS!$B$2,1,YIELDS!I$1)</f>
        <v>0</v>
      </c>
      <c r="J78" cm="1">
        <f t="array" ref="J78">_xll.VALEURCOURBE($A$27,_xlfn.CONCAT("THEME5=",$B78),SCENARIOS!$A$2,SCENARIOS!$B$2,1,YIELDS!J$1)</f>
        <v>0</v>
      </c>
      <c r="K78" cm="1">
        <f t="array" ref="K78">_xll.VALEURCOURBE($A$27,_xlfn.CONCAT("THEME5=",$B78),SCENARIOS!$A$2,SCENARIOS!$B$2,1,YIELDS!K$1)</f>
        <v>0.84</v>
      </c>
      <c r="L78" cm="1">
        <f t="array" ref="L78">_xll.VALEURCOURBE($A$27,_xlfn.CONCAT("THEME5=",$B78),SCENARIOS!$A$2,SCENARIOS!$B$2,1,YIELDS!L$1)</f>
        <v>6.13</v>
      </c>
      <c r="M78" cm="1">
        <f t="array" ref="M78">_xll.VALEURCOURBE($A$27,_xlfn.CONCAT("THEME5=",$B78),SCENARIOS!$A$2,SCENARIOS!$B$2,1,YIELDS!M$1)</f>
        <v>11.13</v>
      </c>
      <c r="N78" cm="1">
        <f t="array" ref="N78">_xll.VALEURCOURBE($A$27,_xlfn.CONCAT("THEME5=",$B78),SCENARIOS!$A$2,SCENARIOS!$B$2,1,YIELDS!N$1)</f>
        <v>15.55</v>
      </c>
      <c r="O78" cm="1">
        <f t="array" ref="O78">_xll.VALEURCOURBE($A$27,_xlfn.CONCAT("THEME5=",$B78),SCENARIOS!$A$2,SCENARIOS!$B$2,1,YIELDS!O$1)</f>
        <v>19.48</v>
      </c>
      <c r="P78" cm="1">
        <f t="array" ref="P78">_xll.VALEURCOURBE($A$27,_xlfn.CONCAT("THEME5=",$B78),SCENARIOS!$A$2,SCENARIOS!$B$2,1,YIELDS!P$1)</f>
        <v>22.97</v>
      </c>
      <c r="Q78" cm="1">
        <f t="array" ref="Q78">_xll.VALEURCOURBE($A$27,_xlfn.CONCAT("THEME5=",$B78),SCENARIOS!$A$2,SCENARIOS!$B$2,1,YIELDS!Q$1)</f>
        <v>25.99</v>
      </c>
      <c r="R78" cm="1">
        <f t="array" ref="R78">_xll.VALEURCOURBE($A$27,_xlfn.CONCAT("THEME5=",$B78),SCENARIOS!$A$2,SCENARIOS!$B$2,1,YIELDS!R$1)</f>
        <v>28.63</v>
      </c>
      <c r="S78" cm="1">
        <f t="array" ref="S78">_xll.VALEURCOURBE($A$27,_xlfn.CONCAT("THEME5=",$B78),SCENARIOS!$A$2,SCENARIOS!$B$2,1,YIELDS!S$1)</f>
        <v>30.87</v>
      </c>
      <c r="T78" cm="1">
        <f t="array" ref="T78">_xll.VALEURCOURBE($A$27,_xlfn.CONCAT("THEME5=",$B78),SCENARIOS!$A$2,SCENARIOS!$B$2,1,YIELDS!T$1)</f>
        <v>32.76</v>
      </c>
      <c r="U78" cm="1">
        <f t="array" ref="U78">_xll.VALEURCOURBE($A$27,_xlfn.CONCAT("THEME5=",$B78),SCENARIOS!$A$2,SCENARIOS!$B$2,1,YIELDS!U$1)</f>
        <v>34.31</v>
      </c>
      <c r="V78" cm="1">
        <f t="array" ref="V78">_xll.VALEURCOURBE($A$27,_xlfn.CONCAT("THEME5=",$B78),SCENARIOS!$A$2,SCENARIOS!$B$2,1,YIELDS!V$1)</f>
        <v>35.57</v>
      </c>
    </row>
    <row r="79" spans="1:22" x14ac:dyDescent="0.25">
      <c r="A79" t="str">
        <v>YCOUVMF</v>
      </c>
      <c r="B79" t="str">
        <v>FC7161</v>
      </c>
      <c r="C79" cm="1">
        <f t="array" ref="C79">_xll.VALEURCOURBE($A$27,_xlfn.CONCAT("THEME5=",$B79),SCENARIOS!$A$2,SCENARIOS!$B$2,1,YIELDS!C$1)</f>
        <v>0</v>
      </c>
      <c r="D79" cm="1">
        <f t="array" ref="D79">_xll.VALEURCOURBE($A$27,_xlfn.CONCAT("THEME5=",$B79),SCENARIOS!$A$2,SCENARIOS!$B$2,1,YIELDS!D$1)</f>
        <v>0</v>
      </c>
      <c r="E79" cm="1">
        <f t="array" ref="E79">_xll.VALEURCOURBE($A$27,_xlfn.CONCAT("THEME5=",$B79),SCENARIOS!$A$2,SCENARIOS!$B$2,1,YIELDS!E$1)</f>
        <v>0</v>
      </c>
      <c r="F79" cm="1">
        <f t="array" ref="F79">_xll.VALEURCOURBE($A$27,_xlfn.CONCAT("THEME5=",$B79),SCENARIOS!$A$2,SCENARIOS!$B$2,1,YIELDS!F$1)</f>
        <v>0</v>
      </c>
      <c r="G79" cm="1">
        <f t="array" ref="G79">_xll.VALEURCOURBE($A$27,_xlfn.CONCAT("THEME5=",$B79),SCENARIOS!$A$2,SCENARIOS!$B$2,1,YIELDS!G$1)</f>
        <v>0</v>
      </c>
      <c r="H79" cm="1">
        <f t="array" ref="H79">_xll.VALEURCOURBE($A$27,_xlfn.CONCAT("THEME5=",$B79),SCENARIOS!$A$2,SCENARIOS!$B$2,1,YIELDS!H$1)</f>
        <v>0</v>
      </c>
      <c r="I79" cm="1">
        <f t="array" ref="I79">_xll.VALEURCOURBE($A$27,_xlfn.CONCAT("THEME5=",$B79),SCENARIOS!$A$2,SCENARIOS!$B$2,1,YIELDS!I$1)</f>
        <v>0</v>
      </c>
      <c r="J79" cm="1">
        <f t="array" ref="J79">_xll.VALEURCOURBE($A$27,_xlfn.CONCAT("THEME5=",$B79),SCENARIOS!$A$2,SCENARIOS!$B$2,1,YIELDS!J$1)</f>
        <v>0.99</v>
      </c>
      <c r="K79" cm="1">
        <f t="array" ref="K79">_xll.VALEURCOURBE($A$27,_xlfn.CONCAT("THEME5=",$B79),SCENARIOS!$A$2,SCENARIOS!$B$2,1,YIELDS!K$1)</f>
        <v>4.3899999999999997</v>
      </c>
      <c r="L79" cm="1">
        <f t="array" ref="L79">_xll.VALEURCOURBE($A$27,_xlfn.CONCAT("THEME5=",$B79),SCENARIOS!$A$2,SCENARIOS!$B$2,1,YIELDS!L$1)</f>
        <v>7.67</v>
      </c>
      <c r="M79" cm="1">
        <f t="array" ref="M79">_xll.VALEURCOURBE($A$27,_xlfn.CONCAT("THEME5=",$B79),SCENARIOS!$A$2,SCENARIOS!$B$2,1,YIELDS!M$1)</f>
        <v>10.78</v>
      </c>
      <c r="N79" cm="1">
        <f t="array" ref="N79">_xll.VALEURCOURBE($A$27,_xlfn.CONCAT("THEME5=",$B79),SCENARIOS!$A$2,SCENARIOS!$B$2,1,YIELDS!N$1)</f>
        <v>13.66</v>
      </c>
      <c r="O79" cm="1">
        <f t="array" ref="O79">_xll.VALEURCOURBE($A$27,_xlfn.CONCAT("THEME5=",$B79),SCENARIOS!$A$2,SCENARIOS!$B$2,1,YIELDS!O$1)</f>
        <v>16.3</v>
      </c>
      <c r="P79" cm="1">
        <f t="array" ref="P79">_xll.VALEURCOURBE($A$27,_xlfn.CONCAT("THEME5=",$B79),SCENARIOS!$A$2,SCENARIOS!$B$2,1,YIELDS!P$1)</f>
        <v>18.68</v>
      </c>
      <c r="Q79" cm="1">
        <f t="array" ref="Q79">_xll.VALEURCOURBE($A$27,_xlfn.CONCAT("THEME5=",$B79),SCENARIOS!$A$2,SCENARIOS!$B$2,1,YIELDS!Q$1)</f>
        <v>20.79</v>
      </c>
      <c r="R79" cm="1">
        <f t="array" ref="R79">_xll.VALEURCOURBE($A$27,_xlfn.CONCAT("THEME5=",$B79),SCENARIOS!$A$2,SCENARIOS!$B$2,1,YIELDS!R$1)</f>
        <v>22.62</v>
      </c>
      <c r="S79" cm="1">
        <f t="array" ref="S79">_xll.VALEURCOURBE($A$27,_xlfn.CONCAT("THEME5=",$B79),SCENARIOS!$A$2,SCENARIOS!$B$2,1,YIELDS!S$1)</f>
        <v>24.17</v>
      </c>
      <c r="T79" cm="1">
        <f t="array" ref="T79">_xll.VALEURCOURBE($A$27,_xlfn.CONCAT("THEME5=",$B79),SCENARIOS!$A$2,SCENARIOS!$B$2,1,YIELDS!T$1)</f>
        <v>25.48</v>
      </c>
      <c r="U79" cm="1">
        <f t="array" ref="U79">_xll.VALEURCOURBE($A$27,_xlfn.CONCAT("THEME5=",$B79),SCENARIOS!$A$2,SCENARIOS!$B$2,1,YIELDS!U$1)</f>
        <v>26.54</v>
      </c>
      <c r="V79" cm="1">
        <f t="array" ref="V79">_xll.VALEURCOURBE($A$27,_xlfn.CONCAT("THEME5=",$B79),SCENARIOS!$A$2,SCENARIOS!$B$2,1,YIELDS!V$1)</f>
        <v>27.36</v>
      </c>
    </row>
    <row r="80" spans="1:22" x14ac:dyDescent="0.25">
      <c r="A80" t="str">
        <v>YCOUVMFI</v>
      </c>
      <c r="B80" t="str">
        <v>FC7167</v>
      </c>
      <c r="C80" cm="1">
        <f t="array" ref="C80">_xll.VALEURCOURBE($A$27,_xlfn.CONCAT("THEME5=",$B80),SCENARIOS!$A$2,SCENARIOS!$B$2,1,YIELDS!C$1)</f>
        <v>0</v>
      </c>
      <c r="D80" cm="1">
        <f t="array" ref="D80">_xll.VALEURCOURBE($A$27,_xlfn.CONCAT("THEME5=",$B80),SCENARIOS!$A$2,SCENARIOS!$B$2,1,YIELDS!D$1)</f>
        <v>0</v>
      </c>
      <c r="E80" cm="1">
        <f t="array" ref="E80">_xll.VALEURCOURBE($A$27,_xlfn.CONCAT("THEME5=",$B80),SCENARIOS!$A$2,SCENARIOS!$B$2,1,YIELDS!E$1)</f>
        <v>0</v>
      </c>
      <c r="F80" cm="1">
        <f t="array" ref="F80">_xll.VALEURCOURBE($A$27,_xlfn.CONCAT("THEME5=",$B80),SCENARIOS!$A$2,SCENARIOS!$B$2,1,YIELDS!F$1)</f>
        <v>0</v>
      </c>
      <c r="G80" cm="1">
        <f t="array" ref="G80">_xll.VALEURCOURBE($A$27,_xlfn.CONCAT("THEME5=",$B80),SCENARIOS!$A$2,SCENARIOS!$B$2,1,YIELDS!G$1)</f>
        <v>0</v>
      </c>
      <c r="H80" cm="1">
        <f t="array" ref="H80">_xll.VALEURCOURBE($A$27,_xlfn.CONCAT("THEME5=",$B80),SCENARIOS!$A$2,SCENARIOS!$B$2,1,YIELDS!H$1)</f>
        <v>0</v>
      </c>
      <c r="I80" cm="1">
        <f t="array" ref="I80">_xll.VALEURCOURBE($A$27,_xlfn.CONCAT("THEME5=",$B80),SCENARIOS!$A$2,SCENARIOS!$B$2,1,YIELDS!I$1)</f>
        <v>0</v>
      </c>
      <c r="J80" cm="1">
        <f t="array" ref="J80">_xll.VALEURCOURBE($A$27,_xlfn.CONCAT("THEME5=",$B80),SCENARIOS!$A$2,SCENARIOS!$B$2,1,YIELDS!J$1)</f>
        <v>0</v>
      </c>
      <c r="K80" cm="1">
        <f t="array" ref="K80">_xll.VALEURCOURBE($A$27,_xlfn.CONCAT("THEME5=",$B80),SCENARIOS!$A$2,SCENARIOS!$B$2,1,YIELDS!K$1)</f>
        <v>0.81</v>
      </c>
      <c r="L80" cm="1">
        <f t="array" ref="L80">_xll.VALEURCOURBE($A$27,_xlfn.CONCAT("THEME5=",$B80),SCENARIOS!$A$2,SCENARIOS!$B$2,1,YIELDS!L$1)</f>
        <v>2.69</v>
      </c>
      <c r="M80" cm="1">
        <f t="array" ref="M80">_xll.VALEURCOURBE($A$27,_xlfn.CONCAT("THEME5=",$B80),SCENARIOS!$A$2,SCENARIOS!$B$2,1,YIELDS!M$1)</f>
        <v>4.4400000000000004</v>
      </c>
      <c r="N80" cm="1">
        <f t="array" ref="N80">_xll.VALEURCOURBE($A$27,_xlfn.CONCAT("THEME5=",$B80),SCENARIOS!$A$2,SCENARIOS!$B$2,1,YIELDS!N$1)</f>
        <v>6.02</v>
      </c>
      <c r="O80" cm="1">
        <f t="array" ref="O80">_xll.VALEURCOURBE($A$27,_xlfn.CONCAT("THEME5=",$B80),SCENARIOS!$A$2,SCENARIOS!$B$2,1,YIELDS!O$1)</f>
        <v>7.48</v>
      </c>
      <c r="P80" cm="1">
        <f t="array" ref="P80">_xll.VALEURCOURBE($A$27,_xlfn.CONCAT("THEME5=",$B80),SCENARIOS!$A$2,SCENARIOS!$B$2,1,YIELDS!P$1)</f>
        <v>8.7799999999999994</v>
      </c>
      <c r="Q80" cm="1">
        <f t="array" ref="Q80">_xll.VALEURCOURBE($A$27,_xlfn.CONCAT("THEME5=",$B80),SCENARIOS!$A$2,SCENARIOS!$B$2,1,YIELDS!Q$1)</f>
        <v>9.93</v>
      </c>
      <c r="R80" cm="1">
        <f t="array" ref="R80">_xll.VALEURCOURBE($A$27,_xlfn.CONCAT("THEME5=",$B80),SCENARIOS!$A$2,SCENARIOS!$B$2,1,YIELDS!R$1)</f>
        <v>10.96</v>
      </c>
      <c r="S80" cm="1">
        <f t="array" ref="S80">_xll.VALEURCOURBE($A$27,_xlfn.CONCAT("THEME5=",$B80),SCENARIOS!$A$2,SCENARIOS!$B$2,1,YIELDS!S$1)</f>
        <v>11.84</v>
      </c>
      <c r="T80" cm="1">
        <f t="array" ref="T80">_xll.VALEURCOURBE($A$27,_xlfn.CONCAT("THEME5=",$B80),SCENARIOS!$A$2,SCENARIOS!$B$2,1,YIELDS!T$1)</f>
        <v>12.62</v>
      </c>
      <c r="U80" cm="1">
        <f t="array" ref="U80">_xll.VALEURCOURBE($A$27,_xlfn.CONCAT("THEME5=",$B80),SCENARIOS!$A$2,SCENARIOS!$B$2,1,YIELDS!U$1)</f>
        <v>13.29</v>
      </c>
      <c r="V80" cm="1">
        <f t="array" ref="V80">_xll.VALEURCOURBE($A$27,_xlfn.CONCAT("THEME5=",$B80),SCENARIOS!$A$2,SCENARIOS!$B$2,1,YIELDS!V$1)</f>
        <v>13.85</v>
      </c>
    </row>
    <row r="81" spans="1:22" x14ac:dyDescent="0.25">
      <c r="A81" t="str">
        <v>YCOUVMFT</v>
      </c>
      <c r="B81" t="str">
        <v>FC7170</v>
      </c>
      <c r="C81" cm="1">
        <f t="array" ref="C81">_xll.VALEURCOURBE($A$27,_xlfn.CONCAT("THEME5=",$B81),SCENARIOS!$A$2,SCENARIOS!$B$2,1,YIELDS!C$1)</f>
        <v>0</v>
      </c>
      <c r="D81" cm="1">
        <f t="array" ref="D81">_xll.VALEURCOURBE($A$27,_xlfn.CONCAT("THEME5=",$B81),SCENARIOS!$A$2,SCENARIOS!$B$2,1,YIELDS!D$1)</f>
        <v>0</v>
      </c>
      <c r="E81" cm="1">
        <f t="array" ref="E81">_xll.VALEURCOURBE($A$27,_xlfn.CONCAT("THEME5=",$B81),SCENARIOS!$A$2,SCENARIOS!$B$2,1,YIELDS!E$1)</f>
        <v>0</v>
      </c>
      <c r="F81" cm="1">
        <f t="array" ref="F81">_xll.VALEURCOURBE($A$27,_xlfn.CONCAT("THEME5=",$B81),SCENARIOS!$A$2,SCENARIOS!$B$2,1,YIELDS!F$1)</f>
        <v>3.58</v>
      </c>
      <c r="G81" cm="1">
        <f t="array" ref="G81">_xll.VALEURCOURBE($A$27,_xlfn.CONCAT("THEME5=",$B81),SCENARIOS!$A$2,SCENARIOS!$B$2,1,YIELDS!G$1)</f>
        <v>7.15</v>
      </c>
      <c r="H81" cm="1">
        <f t="array" ref="H81">_xll.VALEURCOURBE($A$27,_xlfn.CONCAT("THEME5=",$B81),SCENARIOS!$A$2,SCENARIOS!$B$2,1,YIELDS!H$1)</f>
        <v>10.73</v>
      </c>
      <c r="I81" cm="1">
        <f t="array" ref="I81">_xll.VALEURCOURBE($A$27,_xlfn.CONCAT("THEME5=",$B81),SCENARIOS!$A$2,SCENARIOS!$B$2,1,YIELDS!I$1)</f>
        <v>14.3</v>
      </c>
      <c r="J81" cm="1">
        <f t="array" ref="J81">_xll.VALEURCOURBE($A$27,_xlfn.CONCAT("THEME5=",$B81),SCENARIOS!$A$2,SCENARIOS!$B$2,1,YIELDS!J$1)</f>
        <v>17.88</v>
      </c>
      <c r="K81" cm="1">
        <f t="array" ref="K81">_xll.VALEURCOURBE($A$27,_xlfn.CONCAT("THEME5=",$B81),SCENARIOS!$A$2,SCENARIOS!$B$2,1,YIELDS!K$1)</f>
        <v>21.46</v>
      </c>
      <c r="L81" cm="1">
        <f t="array" ref="L81">_xll.VALEURCOURBE($A$27,_xlfn.CONCAT("THEME5=",$B81),SCENARIOS!$A$2,SCENARIOS!$B$2,1,YIELDS!L$1)</f>
        <v>25.02</v>
      </c>
      <c r="M81" cm="1">
        <f t="array" ref="M81">_xll.VALEURCOURBE($A$27,_xlfn.CONCAT("THEME5=",$B81),SCENARIOS!$A$2,SCENARIOS!$B$2,1,YIELDS!M$1)</f>
        <v>28.6</v>
      </c>
      <c r="N81" cm="1">
        <f t="array" ref="N81">_xll.VALEURCOURBE($A$27,_xlfn.CONCAT("THEME5=",$B81),SCENARIOS!$A$2,SCENARIOS!$B$2,1,YIELDS!N$1)</f>
        <v>40.409999999999997</v>
      </c>
      <c r="O81" cm="1">
        <f t="array" ref="O81">_xll.VALEURCOURBE($A$27,_xlfn.CONCAT("THEME5=",$B81),SCENARIOS!$A$2,SCENARIOS!$B$2,1,YIELDS!O$1)</f>
        <v>50.78</v>
      </c>
      <c r="P81" cm="1">
        <f t="array" ref="P81">_xll.VALEURCOURBE($A$27,_xlfn.CONCAT("THEME5=",$B81),SCENARIOS!$A$2,SCENARIOS!$B$2,1,YIELDS!P$1)</f>
        <v>59.8</v>
      </c>
      <c r="Q81" cm="1">
        <f t="array" ref="Q81">_xll.VALEURCOURBE($A$27,_xlfn.CONCAT("THEME5=",$B81),SCENARIOS!$A$2,SCENARIOS!$B$2,1,YIELDS!Q$1)</f>
        <v>67.52</v>
      </c>
      <c r="R81" cm="1">
        <f t="array" ref="R81">_xll.VALEURCOURBE($A$27,_xlfn.CONCAT("THEME5=",$B81),SCENARIOS!$A$2,SCENARIOS!$B$2,1,YIELDS!R$1)</f>
        <v>74.02</v>
      </c>
      <c r="S81" cm="1">
        <f t="array" ref="S81">_xll.VALEURCOURBE($A$27,_xlfn.CONCAT("THEME5=",$B81),SCENARIOS!$A$2,SCENARIOS!$B$2,1,YIELDS!S$1)</f>
        <v>79.39</v>
      </c>
      <c r="T81" cm="1">
        <f t="array" ref="T81">_xll.VALEURCOURBE($A$27,_xlfn.CONCAT("THEME5=",$B81),SCENARIOS!$A$2,SCENARIOS!$B$2,1,YIELDS!T$1)</f>
        <v>83.74</v>
      </c>
      <c r="U81" cm="1">
        <f t="array" ref="U81">_xll.VALEURCOURBE($A$27,_xlfn.CONCAT("THEME5=",$B81),SCENARIOS!$A$2,SCENARIOS!$B$2,1,YIELDS!U$1)</f>
        <v>87.11</v>
      </c>
      <c r="V81" cm="1">
        <f t="array" ref="V81">_xll.VALEURCOURBE($A$27,_xlfn.CONCAT("THEME5=",$B81),SCENARIOS!$A$2,SCENARIOS!$B$2,1,YIELDS!V$1)</f>
        <v>89.6</v>
      </c>
    </row>
    <row r="82" spans="1:22" x14ac:dyDescent="0.25">
      <c r="A82" t="str">
        <v>YCOUVMR</v>
      </c>
      <c r="B82" t="str">
        <v>FC7175</v>
      </c>
      <c r="C82" cm="1">
        <f t="array" ref="C82">_xll.VALEURCOURBE($A$27,_xlfn.CONCAT("THEME5=",$B82),SCENARIOS!$A$2,SCENARIOS!$B$2,1,YIELDS!C$1)</f>
        <v>0</v>
      </c>
      <c r="D82" cm="1">
        <f t="array" ref="D82">_xll.VALEURCOURBE($A$27,_xlfn.CONCAT("THEME5=",$B82),SCENARIOS!$A$2,SCENARIOS!$B$2,1,YIELDS!D$1)</f>
        <v>0</v>
      </c>
      <c r="E82" cm="1">
        <f t="array" ref="E82">_xll.VALEURCOURBE($A$27,_xlfn.CONCAT("THEME5=",$B82),SCENARIOS!$A$2,SCENARIOS!$B$2,1,YIELDS!E$1)</f>
        <v>0</v>
      </c>
      <c r="F82" cm="1">
        <f t="array" ref="F82">_xll.VALEURCOURBE($A$27,_xlfn.CONCAT("THEME5=",$B82),SCENARIOS!$A$2,SCENARIOS!$B$2,1,YIELDS!F$1)</f>
        <v>0</v>
      </c>
      <c r="G82" cm="1">
        <f t="array" ref="G82">_xll.VALEURCOURBE($A$27,_xlfn.CONCAT("THEME5=",$B82),SCENARIOS!$A$2,SCENARIOS!$B$2,1,YIELDS!G$1)</f>
        <v>0</v>
      </c>
      <c r="H82" cm="1">
        <f t="array" ref="H82">_xll.VALEURCOURBE($A$27,_xlfn.CONCAT("THEME5=",$B82),SCENARIOS!$A$2,SCENARIOS!$B$2,1,YIELDS!H$1)</f>
        <v>11.84</v>
      </c>
      <c r="I82" cm="1">
        <f t="array" ref="I82">_xll.VALEURCOURBE($A$27,_xlfn.CONCAT("THEME5=",$B82),SCENARIOS!$A$2,SCENARIOS!$B$2,1,YIELDS!I$1)</f>
        <v>23.69</v>
      </c>
      <c r="J82" cm="1">
        <f t="array" ref="J82">_xll.VALEURCOURBE($A$27,_xlfn.CONCAT("THEME5=",$B82),SCENARIOS!$A$2,SCENARIOS!$B$2,1,YIELDS!J$1)</f>
        <v>35.53</v>
      </c>
      <c r="K82" cm="1">
        <f t="array" ref="K82">_xll.VALEURCOURBE($A$27,_xlfn.CONCAT("THEME5=",$B82),SCENARIOS!$A$2,SCENARIOS!$B$2,1,YIELDS!K$1)</f>
        <v>47.38</v>
      </c>
      <c r="L82" cm="1">
        <f t="array" ref="L82">_xll.VALEURCOURBE($A$27,_xlfn.CONCAT("THEME5=",$B82),SCENARIOS!$A$2,SCENARIOS!$B$2,1,YIELDS!L$1)</f>
        <v>59.22</v>
      </c>
      <c r="M82" cm="1">
        <f t="array" ref="M82">_xll.VALEURCOURBE($A$27,_xlfn.CONCAT("THEME5=",$B82),SCENARIOS!$A$2,SCENARIOS!$B$2,1,YIELDS!M$1)</f>
        <v>71.069999999999993</v>
      </c>
      <c r="N82" cm="1">
        <f t="array" ref="N82">_xll.VALEURCOURBE($A$27,_xlfn.CONCAT("THEME5=",$B82),SCENARIOS!$A$2,SCENARIOS!$B$2,1,YIELDS!N$1)</f>
        <v>86.74</v>
      </c>
      <c r="O82" cm="1">
        <f t="array" ref="O82">_xll.VALEURCOURBE($A$27,_xlfn.CONCAT("THEME5=",$B82),SCENARIOS!$A$2,SCENARIOS!$B$2,1,YIELDS!O$1)</f>
        <v>97.97</v>
      </c>
      <c r="P82" cm="1">
        <f t="array" ref="P82">_xll.VALEURCOURBE($A$27,_xlfn.CONCAT("THEME5=",$B82),SCENARIOS!$A$2,SCENARIOS!$B$2,1,YIELDS!P$1)</f>
        <v>107.35</v>
      </c>
      <c r="Q82" cm="1">
        <f t="array" ref="Q82">_xll.VALEURCOURBE($A$27,_xlfn.CONCAT("THEME5=",$B82),SCENARIOS!$A$2,SCENARIOS!$B$2,1,YIELDS!Q$1)</f>
        <v>114.95</v>
      </c>
      <c r="R82" cm="1">
        <f t="array" ref="R82">_xll.VALEURCOURBE($A$27,_xlfn.CONCAT("THEME5=",$B82),SCENARIOS!$A$2,SCENARIOS!$B$2,1,YIELDS!R$1)</f>
        <v>120.87</v>
      </c>
      <c r="S82" cm="1">
        <f t="array" ref="S82">_xll.VALEURCOURBE($A$27,_xlfn.CONCAT("THEME5=",$B82),SCENARIOS!$A$2,SCENARIOS!$B$2,1,YIELDS!S$1)</f>
        <v>125.26</v>
      </c>
      <c r="T82" cm="1">
        <f t="array" ref="T82">_xll.VALEURCOURBE($A$27,_xlfn.CONCAT("THEME5=",$B82),SCENARIOS!$A$2,SCENARIOS!$B$2,1,YIELDS!T$1)</f>
        <v>128.21</v>
      </c>
      <c r="U82" cm="1">
        <f t="array" ref="U82">_xll.VALEURCOURBE($A$27,_xlfn.CONCAT("THEME5=",$B82),SCENARIOS!$A$2,SCENARIOS!$B$2,1,YIELDS!U$1)</f>
        <v>129.88999999999999</v>
      </c>
      <c r="V82" cm="1">
        <f t="array" ref="V82">_xll.VALEURCOURBE($A$27,_xlfn.CONCAT("THEME5=",$B82),SCENARIOS!$A$2,SCENARIOS!$B$2,1,YIELDS!V$1)</f>
        <v>130.4</v>
      </c>
    </row>
    <row r="83" spans="1:22" x14ac:dyDescent="0.25">
      <c r="A83" t="str">
        <v>YCOUVR</v>
      </c>
      <c r="B83" t="str">
        <v>FC7181</v>
      </c>
      <c r="C83" cm="1">
        <f t="array" ref="C83">_xll.VALEURCOURBE($A$27,_xlfn.CONCAT("THEME5=",$B83),SCENARIOS!$A$2,SCENARIOS!$B$2,1,YIELDS!C$1)</f>
        <v>0</v>
      </c>
      <c r="D83" cm="1">
        <f t="array" ref="D83">_xll.VALEURCOURBE($A$27,_xlfn.CONCAT("THEME5=",$B83),SCENARIOS!$A$2,SCENARIOS!$B$2,1,YIELDS!D$1)</f>
        <v>0</v>
      </c>
      <c r="E83" cm="1">
        <f t="array" ref="E83">_xll.VALEURCOURBE($A$27,_xlfn.CONCAT("THEME5=",$B83),SCENARIOS!$A$2,SCENARIOS!$B$2,1,YIELDS!E$1)</f>
        <v>0</v>
      </c>
      <c r="F83" cm="1">
        <f t="array" ref="F83">_xll.VALEURCOURBE($A$27,_xlfn.CONCAT("THEME5=",$B83),SCENARIOS!$A$2,SCENARIOS!$B$2,1,YIELDS!F$1)</f>
        <v>0</v>
      </c>
      <c r="G83" cm="1">
        <f t="array" ref="G83">_xll.VALEURCOURBE($A$27,_xlfn.CONCAT("THEME5=",$B83),SCENARIOS!$A$2,SCENARIOS!$B$2,1,YIELDS!G$1)</f>
        <v>0</v>
      </c>
      <c r="H83" cm="1">
        <f t="array" ref="H83">_xll.VALEURCOURBE($A$27,_xlfn.CONCAT("THEME5=",$B83),SCENARIOS!$A$2,SCENARIOS!$B$2,1,YIELDS!H$1)</f>
        <v>0</v>
      </c>
      <c r="I83" cm="1">
        <f t="array" ref="I83">_xll.VALEURCOURBE($A$27,_xlfn.CONCAT("THEME5=",$B83),SCENARIOS!$A$2,SCENARIOS!$B$2,1,YIELDS!I$1)</f>
        <v>0</v>
      </c>
      <c r="J83" cm="1">
        <f t="array" ref="J83">_xll.VALEURCOURBE($A$27,_xlfn.CONCAT("THEME5=",$B83),SCENARIOS!$A$2,SCENARIOS!$B$2,1,YIELDS!J$1)</f>
        <v>0</v>
      </c>
      <c r="K83" cm="1">
        <f t="array" ref="K83">_xll.VALEURCOURBE($A$27,_xlfn.CONCAT("THEME5=",$B83),SCENARIOS!$A$2,SCENARIOS!$B$2,1,YIELDS!K$1)</f>
        <v>2.9</v>
      </c>
      <c r="L83" cm="1">
        <f t="array" ref="L83">_xll.VALEURCOURBE($A$27,_xlfn.CONCAT("THEME5=",$B83),SCENARIOS!$A$2,SCENARIOS!$B$2,1,YIELDS!L$1)</f>
        <v>13.12</v>
      </c>
      <c r="M83" cm="1">
        <f t="array" ref="M83">_xll.VALEURCOURBE($A$27,_xlfn.CONCAT("THEME5=",$B83),SCENARIOS!$A$2,SCENARIOS!$B$2,1,YIELDS!M$1)</f>
        <v>23.15</v>
      </c>
      <c r="N83" cm="1">
        <f t="array" ref="N83">_xll.VALEURCOURBE($A$27,_xlfn.CONCAT("THEME5=",$B83),SCENARIOS!$A$2,SCENARIOS!$B$2,1,YIELDS!N$1)</f>
        <v>32.19</v>
      </c>
      <c r="O83" cm="1">
        <f t="array" ref="O83">_xll.VALEURCOURBE($A$27,_xlfn.CONCAT("THEME5=",$B83),SCENARIOS!$A$2,SCENARIOS!$B$2,1,YIELDS!O$1)</f>
        <v>40.49</v>
      </c>
      <c r="P83" cm="1">
        <f t="array" ref="P83">_xll.VALEURCOURBE($A$27,_xlfn.CONCAT("THEME5=",$B83),SCENARIOS!$A$2,SCENARIOS!$B$2,1,YIELDS!P$1)</f>
        <v>47.99</v>
      </c>
      <c r="Q83" cm="1">
        <f t="array" ref="Q83">_xll.VALEURCOURBE($A$27,_xlfn.CONCAT("THEME5=",$B83),SCENARIOS!$A$2,SCENARIOS!$B$2,1,YIELDS!Q$1)</f>
        <v>54.67</v>
      </c>
      <c r="R83" cm="1">
        <f t="array" ref="R83">_xll.VALEURCOURBE($A$27,_xlfn.CONCAT("THEME5=",$B83),SCENARIOS!$A$2,SCENARIOS!$B$2,1,YIELDS!R$1)</f>
        <v>60.54</v>
      </c>
      <c r="S83" cm="1">
        <f t="array" ref="S83">_xll.VALEURCOURBE($A$27,_xlfn.CONCAT("THEME5=",$B83),SCENARIOS!$A$2,SCENARIOS!$B$2,1,YIELDS!S$1)</f>
        <v>65.59</v>
      </c>
      <c r="T83" cm="1">
        <f t="array" ref="T83">_xll.VALEURCOURBE($A$27,_xlfn.CONCAT("THEME5=",$B83),SCENARIOS!$A$2,SCENARIOS!$B$2,1,YIELDS!T$1)</f>
        <v>69.84</v>
      </c>
      <c r="U83" cm="1">
        <f t="array" ref="U83">_xll.VALEURCOURBE($A$27,_xlfn.CONCAT("THEME5=",$B83),SCENARIOS!$A$2,SCENARIOS!$B$2,1,YIELDS!U$1)</f>
        <v>73.34</v>
      </c>
      <c r="V83" cm="1">
        <f t="array" ref="V83">_xll.VALEURCOURBE($A$27,_xlfn.CONCAT("THEME5=",$B83),SCENARIOS!$A$2,SCENARIOS!$B$2,1,YIELDS!V$1)</f>
        <v>76.13</v>
      </c>
    </row>
    <row r="84" spans="1:22" x14ac:dyDescent="0.25">
      <c r="A84" t="str">
        <v>YCOUVSC</v>
      </c>
      <c r="B84" t="str">
        <v>FC7189</v>
      </c>
      <c r="C84" cm="1">
        <f t="array" ref="C84">_xll.VALEURCOURBE($A$27,_xlfn.CONCAT("THEME5=",$B84),SCENARIOS!$A$2,SCENARIOS!$B$2,1,YIELDS!C$1)</f>
        <v>0</v>
      </c>
      <c r="D84" cm="1">
        <f t="array" ref="D84">_xll.VALEURCOURBE($A$27,_xlfn.CONCAT("THEME5=",$B84),SCENARIOS!$A$2,SCENARIOS!$B$2,1,YIELDS!D$1)</f>
        <v>0</v>
      </c>
      <c r="E84" cm="1">
        <f t="array" ref="E84">_xll.VALEURCOURBE($A$27,_xlfn.CONCAT("THEME5=",$B84),SCENARIOS!$A$2,SCENARIOS!$B$2,1,YIELDS!E$1)</f>
        <v>0</v>
      </c>
      <c r="F84" cm="1">
        <f t="array" ref="F84">_xll.VALEURCOURBE($A$27,_xlfn.CONCAT("THEME5=",$B84),SCENARIOS!$A$2,SCENARIOS!$B$2,1,YIELDS!F$1)</f>
        <v>7.29</v>
      </c>
      <c r="G84" cm="1">
        <f t="array" ref="G84">_xll.VALEURCOURBE($A$27,_xlfn.CONCAT("THEME5=",$B84),SCENARIOS!$A$2,SCENARIOS!$B$2,1,YIELDS!G$1)</f>
        <v>14.58</v>
      </c>
      <c r="H84" cm="1">
        <f t="array" ref="H84">_xll.VALEURCOURBE($A$27,_xlfn.CONCAT("THEME5=",$B84),SCENARIOS!$A$2,SCENARIOS!$B$2,1,YIELDS!H$1)</f>
        <v>21.87</v>
      </c>
      <c r="I84" cm="1">
        <f t="array" ref="I84">_xll.VALEURCOURBE($A$27,_xlfn.CONCAT("THEME5=",$B84),SCENARIOS!$A$2,SCENARIOS!$B$2,1,YIELDS!I$1)</f>
        <v>29.16</v>
      </c>
      <c r="J84" cm="1">
        <f t="array" ref="J84">_xll.VALEURCOURBE($A$27,_xlfn.CONCAT("THEME5=",$B84),SCENARIOS!$A$2,SCENARIOS!$B$2,1,YIELDS!J$1)</f>
        <v>36.46</v>
      </c>
      <c r="K84" cm="1">
        <f t="array" ref="K84">_xll.VALEURCOURBE($A$27,_xlfn.CONCAT("THEME5=",$B84),SCENARIOS!$A$2,SCENARIOS!$B$2,1,YIELDS!K$1)</f>
        <v>43.75</v>
      </c>
      <c r="L84" cm="1">
        <f t="array" ref="L84">_xll.VALEURCOURBE($A$27,_xlfn.CONCAT("THEME5=",$B84),SCENARIOS!$A$2,SCENARIOS!$B$2,1,YIELDS!L$1)</f>
        <v>51.04</v>
      </c>
      <c r="M84" cm="1">
        <f t="array" ref="M84">_xll.VALEURCOURBE($A$27,_xlfn.CONCAT("THEME5=",$B84),SCENARIOS!$A$2,SCENARIOS!$B$2,1,YIELDS!M$1)</f>
        <v>58.34</v>
      </c>
      <c r="N84" cm="1">
        <f t="array" ref="N84">_xll.VALEURCOURBE($A$27,_xlfn.CONCAT("THEME5=",$B84),SCENARIOS!$A$2,SCENARIOS!$B$2,1,YIELDS!N$1)</f>
        <v>72.489999999999995</v>
      </c>
      <c r="O84" cm="1">
        <f t="array" ref="O84">_xll.VALEURCOURBE($A$27,_xlfn.CONCAT("THEME5=",$B84),SCENARIOS!$A$2,SCENARIOS!$B$2,1,YIELDS!O$1)</f>
        <v>84.45</v>
      </c>
      <c r="P84" cm="1">
        <f t="array" ref="P84">_xll.VALEURCOURBE($A$27,_xlfn.CONCAT("THEME5=",$B84),SCENARIOS!$A$2,SCENARIOS!$B$2,1,YIELDS!P$1)</f>
        <v>94.36</v>
      </c>
      <c r="Q84" cm="1">
        <f t="array" ref="Q84">_xll.VALEURCOURBE($A$27,_xlfn.CONCAT("THEME5=",$B84),SCENARIOS!$A$2,SCENARIOS!$B$2,1,YIELDS!Q$1)</f>
        <v>102.35</v>
      </c>
      <c r="R84" cm="1">
        <f t="array" ref="R84">_xll.VALEURCOURBE($A$27,_xlfn.CONCAT("THEME5=",$B84),SCENARIOS!$A$2,SCENARIOS!$B$2,1,YIELDS!R$1)</f>
        <v>108.54</v>
      </c>
      <c r="S84" cm="1">
        <f t="array" ref="S84">_xll.VALEURCOURBE($A$27,_xlfn.CONCAT("THEME5=",$B84),SCENARIOS!$A$2,SCENARIOS!$B$2,1,YIELDS!S$1)</f>
        <v>113.1</v>
      </c>
      <c r="T84" cm="1">
        <f t="array" ref="T84">_xll.VALEURCOURBE($A$27,_xlfn.CONCAT("THEME5=",$B84),SCENARIOS!$A$2,SCENARIOS!$B$2,1,YIELDS!T$1)</f>
        <v>116.14</v>
      </c>
      <c r="U84" cm="1">
        <f t="array" ref="U84">_xll.VALEURCOURBE($A$27,_xlfn.CONCAT("THEME5=",$B84),SCENARIOS!$A$2,SCENARIOS!$B$2,1,YIELDS!U$1)</f>
        <v>117.81</v>
      </c>
      <c r="V84" cm="1">
        <f t="array" ref="V84">_xll.VALEURCOURBE($A$27,_xlfn.CONCAT("THEME5=",$B84),SCENARIOS!$A$2,SCENARIOS!$B$2,1,YIELDS!V$1)</f>
        <v>118.26</v>
      </c>
    </row>
    <row r="85" spans="1:22" x14ac:dyDescent="0.25">
      <c r="A85" t="str">
        <v>YAEC</v>
      </c>
      <c r="B85" t="str">
        <v>FC7192</v>
      </c>
      <c r="C85" cm="1">
        <f t="array" ref="C85">_xll.VALEURCOURBE($A$27,_xlfn.CONCAT("THEME5=",$B85),SCENARIOS!$A$2,SCENARIOS!$B$2,1,YIELDS!C$1)</f>
        <v>0</v>
      </c>
      <c r="D85" cm="1">
        <f t="array" ref="D85">_xll.VALEURCOURBE($A$27,_xlfn.CONCAT("THEME5=",$B85),SCENARIOS!$A$2,SCENARIOS!$B$2,1,YIELDS!D$1)</f>
        <v>0</v>
      </c>
      <c r="E85" cm="1">
        <f t="array" ref="E85">_xll.VALEURCOURBE($A$27,_xlfn.CONCAT("THEME5=",$B85),SCENARIOS!$A$2,SCENARIOS!$B$2,1,YIELDS!E$1)</f>
        <v>0</v>
      </c>
      <c r="F85" cm="1">
        <f t="array" ref="F85">_xll.VALEURCOURBE($A$27,_xlfn.CONCAT("THEME5=",$B85),SCENARIOS!$A$2,SCENARIOS!$B$2,1,YIELDS!F$1)</f>
        <v>0</v>
      </c>
      <c r="G85" cm="1">
        <f t="array" ref="G85">_xll.VALEURCOURBE($A$27,_xlfn.CONCAT("THEME5=",$B85),SCENARIOS!$A$2,SCENARIOS!$B$2,1,YIELDS!G$1)</f>
        <v>0</v>
      </c>
      <c r="H85" cm="1">
        <f t="array" ref="H85">_xll.VALEURCOURBE($A$27,_xlfn.CONCAT("THEME5=",$B85),SCENARIOS!$A$2,SCENARIOS!$B$2,1,YIELDS!H$1)</f>
        <v>0</v>
      </c>
      <c r="I85" cm="1">
        <f t="array" ref="I85">_xll.VALEURCOURBE($A$27,_xlfn.CONCAT("THEME5=",$B85),SCENARIOS!$A$2,SCENARIOS!$B$2,1,YIELDS!I$1)</f>
        <v>0</v>
      </c>
      <c r="J85" cm="1">
        <f t="array" ref="J85">_xll.VALEURCOURBE($A$27,_xlfn.CONCAT("THEME5=",$B85),SCENARIOS!$A$2,SCENARIOS!$B$2,1,YIELDS!J$1)</f>
        <v>3.34</v>
      </c>
      <c r="K85" cm="1">
        <f t="array" ref="K85">_xll.VALEURCOURBE($A$27,_xlfn.CONCAT("THEME5=",$B85),SCENARIOS!$A$2,SCENARIOS!$B$2,1,YIELDS!K$1)</f>
        <v>18.29</v>
      </c>
      <c r="L85" cm="1">
        <f t="array" ref="L85">_xll.VALEURCOURBE($A$27,_xlfn.CONCAT("THEME5=",$B85),SCENARIOS!$A$2,SCENARIOS!$B$2,1,YIELDS!L$1)</f>
        <v>32.119999999999997</v>
      </c>
      <c r="M85" cm="1">
        <f t="array" ref="M85">_xll.VALEURCOURBE($A$27,_xlfn.CONCAT("THEME5=",$B85),SCENARIOS!$A$2,SCENARIOS!$B$2,1,YIELDS!M$1)</f>
        <v>44.82</v>
      </c>
      <c r="N85" cm="1">
        <f t="array" ref="N85">_xll.VALEURCOURBE($A$27,_xlfn.CONCAT("THEME5=",$B85),SCENARIOS!$A$2,SCENARIOS!$B$2,1,YIELDS!N$1)</f>
        <v>56.31</v>
      </c>
      <c r="O85" cm="1">
        <f t="array" ref="O85">_xll.VALEURCOURBE($A$27,_xlfn.CONCAT("THEME5=",$B85),SCENARIOS!$A$2,SCENARIOS!$B$2,1,YIELDS!O$1)</f>
        <v>66.53</v>
      </c>
      <c r="P85" cm="1">
        <f t="array" ref="P85">_xll.VALEURCOURBE($A$27,_xlfn.CONCAT("THEME5=",$B85),SCENARIOS!$A$2,SCENARIOS!$B$2,1,YIELDS!P$1)</f>
        <v>75.489999999999995</v>
      </c>
      <c r="Q85" cm="1">
        <f t="array" ref="Q85">_xll.VALEURCOURBE($A$27,_xlfn.CONCAT("THEME5=",$B85),SCENARIOS!$A$2,SCENARIOS!$B$2,1,YIELDS!Q$1)</f>
        <v>83.23</v>
      </c>
      <c r="R85" cm="1">
        <f t="array" ref="R85">_xll.VALEURCOURBE($A$27,_xlfn.CONCAT("THEME5=",$B85),SCENARIOS!$A$2,SCENARIOS!$B$2,1,YIELDS!R$1)</f>
        <v>89.79</v>
      </c>
      <c r="S85" cm="1">
        <f t="array" ref="S85">_xll.VALEURCOURBE($A$27,_xlfn.CONCAT("THEME5=",$B85),SCENARIOS!$A$2,SCENARIOS!$B$2,1,YIELDS!S$1)</f>
        <v>95.16</v>
      </c>
      <c r="T85" cm="1">
        <f t="array" ref="T85">_xll.VALEURCOURBE($A$27,_xlfn.CONCAT("THEME5=",$B85),SCENARIOS!$A$2,SCENARIOS!$B$2,1,YIELDS!T$1)</f>
        <v>99.41</v>
      </c>
      <c r="U85" cm="1">
        <f t="array" ref="U85">_xll.VALEURCOURBE($A$27,_xlfn.CONCAT("THEME5=",$B85),SCENARIOS!$A$2,SCENARIOS!$B$2,1,YIELDS!U$1)</f>
        <v>102.65</v>
      </c>
      <c r="V85" cm="1">
        <f t="array" ref="V85">_xll.VALEURCOURBE($A$27,_xlfn.CONCAT("THEME5=",$B85),SCENARIOS!$A$2,SCENARIOS!$B$2,1,YIELDS!V$1)</f>
        <v>104.88</v>
      </c>
    </row>
    <row r="86" spans="1:22" x14ac:dyDescent="0.25">
      <c r="A86" t="str">
        <v>YRGS0_2</v>
      </c>
      <c r="B86" t="str">
        <v>FC7200</v>
      </c>
      <c r="C86" cm="1">
        <f t="array" ref="C86">_xll.VALEURCOURBE($A$27,_xlfn.CONCAT("THEME5=",$B86),SCENARIOS!$A$2,SCENARIOS!$B$2,1,YIELDS!C$1)</f>
        <v>0</v>
      </c>
      <c r="D86" cm="1">
        <f t="array" ref="D86">_xll.VALEURCOURBE($A$27,_xlfn.CONCAT("THEME5=",$B86),SCENARIOS!$A$2,SCENARIOS!$B$2,1,YIELDS!D$1)</f>
        <v>0</v>
      </c>
      <c r="E86" cm="1">
        <f t="array" ref="E86">_xll.VALEURCOURBE($A$27,_xlfn.CONCAT("THEME5=",$B86),SCENARIOS!$A$2,SCENARIOS!$B$2,1,YIELDS!E$1)</f>
        <v>0</v>
      </c>
      <c r="F86" cm="1">
        <f t="array" ref="F86">_xll.VALEURCOURBE($A$27,_xlfn.CONCAT("THEME5=",$B86),SCENARIOS!$A$2,SCENARIOS!$B$2,1,YIELDS!F$1)</f>
        <v>0</v>
      </c>
      <c r="G86" cm="1">
        <f t="array" ref="G86">_xll.VALEURCOURBE($A$27,_xlfn.CONCAT("THEME5=",$B86),SCENARIOS!$A$2,SCENARIOS!$B$2,1,YIELDS!G$1)</f>
        <v>0</v>
      </c>
      <c r="H86" cm="1">
        <f t="array" ref="H86">_xll.VALEURCOURBE($A$27,_xlfn.CONCAT("THEME5=",$B86),SCENARIOS!$A$2,SCENARIOS!$B$2,1,YIELDS!H$1)</f>
        <v>0</v>
      </c>
      <c r="I86" cm="1">
        <f t="array" ref="I86">_xll.VALEURCOURBE($A$27,_xlfn.CONCAT("THEME5=",$B86),SCENARIOS!$A$2,SCENARIOS!$B$2,1,YIELDS!I$1)</f>
        <v>0</v>
      </c>
      <c r="J86" cm="1">
        <f t="array" ref="J86">_xll.VALEURCOURBE($A$27,_xlfn.CONCAT("THEME5=",$B86),SCENARIOS!$A$2,SCENARIOS!$B$2,1,YIELDS!J$1)</f>
        <v>0.4</v>
      </c>
      <c r="K86" cm="1">
        <f t="array" ref="K86">_xll.VALEURCOURBE($A$27,_xlfn.CONCAT("THEME5=",$B86),SCENARIOS!$A$2,SCENARIOS!$B$2,1,YIELDS!K$1)</f>
        <v>4.5999999999999996</v>
      </c>
      <c r="L86" cm="1">
        <f t="array" ref="L86">_xll.VALEURCOURBE($A$27,_xlfn.CONCAT("THEME5=",$B86),SCENARIOS!$A$2,SCENARIOS!$B$2,1,YIELDS!L$1)</f>
        <v>8.66</v>
      </c>
      <c r="M86" cm="1">
        <f t="array" ref="M86">_xll.VALEURCOURBE($A$27,_xlfn.CONCAT("THEME5=",$B86),SCENARIOS!$A$2,SCENARIOS!$B$2,1,YIELDS!M$1)</f>
        <v>12.52</v>
      </c>
      <c r="N86" cm="1">
        <f t="array" ref="N86">_xll.VALEURCOURBE($A$27,_xlfn.CONCAT("THEME5=",$B86),SCENARIOS!$A$2,SCENARIOS!$B$2,1,YIELDS!N$1)</f>
        <v>16.14</v>
      </c>
      <c r="O86" cm="1">
        <f t="array" ref="O86">_xll.VALEURCOURBE($A$27,_xlfn.CONCAT("THEME5=",$B86),SCENARIOS!$A$2,SCENARIOS!$B$2,1,YIELDS!O$1)</f>
        <v>19.5</v>
      </c>
      <c r="P86" cm="1">
        <f t="array" ref="P86">_xll.VALEURCOURBE($A$27,_xlfn.CONCAT("THEME5=",$B86),SCENARIOS!$A$2,SCENARIOS!$B$2,1,YIELDS!P$1)</f>
        <v>22.57</v>
      </c>
      <c r="Q86" cm="1">
        <f t="array" ref="Q86">_xll.VALEURCOURBE($A$27,_xlfn.CONCAT("THEME5=",$B86),SCENARIOS!$A$2,SCENARIOS!$B$2,1,YIELDS!Q$1)</f>
        <v>25.34</v>
      </c>
      <c r="R86" cm="1">
        <f t="array" ref="R86">_xll.VALEURCOURBE($A$27,_xlfn.CONCAT("THEME5=",$B86),SCENARIOS!$A$2,SCENARIOS!$B$2,1,YIELDS!R$1)</f>
        <v>27.81</v>
      </c>
      <c r="S86" cm="1">
        <f t="array" ref="S86">_xll.VALEURCOURBE($A$27,_xlfn.CONCAT("THEME5=",$B86),SCENARIOS!$A$2,SCENARIOS!$B$2,1,YIELDS!S$1)</f>
        <v>29.96</v>
      </c>
      <c r="T86" cm="1">
        <f t="array" ref="T86">_xll.VALEURCOURBE($A$27,_xlfn.CONCAT("THEME5=",$B86),SCENARIOS!$A$2,SCENARIOS!$B$2,1,YIELDS!T$1)</f>
        <v>31.83</v>
      </c>
      <c r="U86" cm="1">
        <f t="array" ref="U86">_xll.VALEURCOURBE($A$27,_xlfn.CONCAT("THEME5=",$B86),SCENARIOS!$A$2,SCENARIOS!$B$2,1,YIELDS!U$1)</f>
        <v>33.4</v>
      </c>
      <c r="V86" cm="1">
        <f t="array" ref="V86">_xll.VALEURCOURBE($A$27,_xlfn.CONCAT("THEME5=",$B86),SCENARIOS!$A$2,SCENARIOS!$B$2,1,YIELDS!V$1)</f>
        <v>34.71</v>
      </c>
    </row>
    <row r="87" spans="1:22" x14ac:dyDescent="0.25">
      <c r="A87" t="str">
        <v>YRGS0_20</v>
      </c>
      <c r="B87" t="str">
        <v>FC7207</v>
      </c>
      <c r="C87" cm="1">
        <f t="array" ref="C87">_xll.VALEURCOURBE($A$27,_xlfn.CONCAT("THEME5=",$B87),SCENARIOS!$A$2,SCENARIOS!$B$2,1,YIELDS!C$1)</f>
        <v>0</v>
      </c>
      <c r="D87" cm="1">
        <f t="array" ref="D87">_xll.VALEURCOURBE($A$27,_xlfn.CONCAT("THEME5=",$B87),SCENARIOS!$A$2,SCENARIOS!$B$2,1,YIELDS!D$1)</f>
        <v>0</v>
      </c>
      <c r="E87" cm="1">
        <f t="array" ref="E87">_xll.VALEURCOURBE($A$27,_xlfn.CONCAT("THEME5=",$B87),SCENARIOS!$A$2,SCENARIOS!$B$2,1,YIELDS!E$1)</f>
        <v>0</v>
      </c>
      <c r="F87" cm="1">
        <f t="array" ref="F87">_xll.VALEURCOURBE($A$27,_xlfn.CONCAT("THEME5=",$B87),SCENARIOS!$A$2,SCENARIOS!$B$2,1,YIELDS!F$1)</f>
        <v>0</v>
      </c>
      <c r="G87" cm="1">
        <f t="array" ref="G87">_xll.VALEURCOURBE($A$27,_xlfn.CONCAT("THEME5=",$B87),SCENARIOS!$A$2,SCENARIOS!$B$2,1,YIELDS!G$1)</f>
        <v>0</v>
      </c>
      <c r="H87" cm="1">
        <f t="array" ref="H87">_xll.VALEURCOURBE($A$27,_xlfn.CONCAT("THEME5=",$B87),SCENARIOS!$A$2,SCENARIOS!$B$2,1,YIELDS!H$1)</f>
        <v>0</v>
      </c>
      <c r="I87" cm="1">
        <f t="array" ref="I87">_xll.VALEURCOURBE($A$27,_xlfn.CONCAT("THEME5=",$B87),SCENARIOS!$A$2,SCENARIOS!$B$2,1,YIELDS!I$1)</f>
        <v>0</v>
      </c>
      <c r="J87" cm="1">
        <f t="array" ref="J87">_xll.VALEURCOURBE($A$27,_xlfn.CONCAT("THEME5=",$B87),SCENARIOS!$A$2,SCENARIOS!$B$2,1,YIELDS!J$1)</f>
        <v>0</v>
      </c>
      <c r="K87" cm="1">
        <f t="array" ref="K87">_xll.VALEURCOURBE($A$27,_xlfn.CONCAT("THEME5=",$B87),SCENARIOS!$A$2,SCENARIOS!$B$2,1,YIELDS!K$1)</f>
        <v>0</v>
      </c>
      <c r="L87" cm="1">
        <f t="array" ref="L87">_xll.VALEURCOURBE($A$27,_xlfn.CONCAT("THEME5=",$B87),SCENARIOS!$A$2,SCENARIOS!$B$2,1,YIELDS!L$1)</f>
        <v>2.0699999999999998</v>
      </c>
      <c r="M87" cm="1">
        <f t="array" ref="M87">_xll.VALEURCOURBE($A$27,_xlfn.CONCAT("THEME5=",$B87),SCENARIOS!$A$2,SCENARIOS!$B$2,1,YIELDS!M$1)</f>
        <v>12.57</v>
      </c>
      <c r="N87" cm="1">
        <f t="array" ref="N87">_xll.VALEURCOURBE($A$27,_xlfn.CONCAT("THEME5=",$B87),SCENARIOS!$A$2,SCENARIOS!$B$2,1,YIELDS!N$1)</f>
        <v>21.85</v>
      </c>
      <c r="O87" cm="1">
        <f t="array" ref="O87">_xll.VALEURCOURBE($A$27,_xlfn.CONCAT("THEME5=",$B87),SCENARIOS!$A$2,SCENARIOS!$B$2,1,YIELDS!O$1)</f>
        <v>30.11</v>
      </c>
      <c r="P87" cm="1">
        <f t="array" ref="P87">_xll.VALEURCOURBE($A$27,_xlfn.CONCAT("THEME5=",$B87),SCENARIOS!$A$2,SCENARIOS!$B$2,1,YIELDS!P$1)</f>
        <v>37.450000000000003</v>
      </c>
      <c r="Q87" cm="1">
        <f t="array" ref="Q87">_xll.VALEURCOURBE($A$27,_xlfn.CONCAT("THEME5=",$B87),SCENARIOS!$A$2,SCENARIOS!$B$2,1,YIELDS!Q$1)</f>
        <v>43.88</v>
      </c>
      <c r="R87" cm="1">
        <f t="array" ref="R87">_xll.VALEURCOURBE($A$27,_xlfn.CONCAT("THEME5=",$B87),SCENARIOS!$A$2,SCENARIOS!$B$2,1,YIELDS!R$1)</f>
        <v>49.5</v>
      </c>
      <c r="S87" cm="1">
        <f t="array" ref="S87">_xll.VALEURCOURBE($A$27,_xlfn.CONCAT("THEME5=",$B87),SCENARIOS!$A$2,SCENARIOS!$B$2,1,YIELDS!S$1)</f>
        <v>54.33</v>
      </c>
      <c r="T87" cm="1">
        <f t="array" ref="T87">_xll.VALEURCOURBE($A$27,_xlfn.CONCAT("THEME5=",$B87),SCENARIOS!$A$2,SCENARIOS!$B$2,1,YIELDS!T$1)</f>
        <v>58.48</v>
      </c>
      <c r="U87" cm="1">
        <f t="array" ref="U87">_xll.VALEURCOURBE($A$27,_xlfn.CONCAT("THEME5=",$B87),SCENARIOS!$A$2,SCENARIOS!$B$2,1,YIELDS!U$1)</f>
        <v>61.98</v>
      </c>
      <c r="V87" cm="1">
        <f t="array" ref="V87">_xll.VALEURCOURBE($A$27,_xlfn.CONCAT("THEME5=",$B87),SCENARIOS!$A$2,SCENARIOS!$B$2,1,YIELDS!V$1)</f>
        <v>64.88</v>
      </c>
    </row>
    <row r="88" spans="1:22" x14ac:dyDescent="0.25">
      <c r="A88" t="str">
        <v>YRGS0_22</v>
      </c>
      <c r="B88" t="str">
        <v>FC7211</v>
      </c>
      <c r="C88" cm="1">
        <f t="array" ref="C88">_xll.VALEURCOURBE($A$27,_xlfn.CONCAT("THEME5=",$B88),SCENARIOS!$A$2,SCENARIOS!$B$2,1,YIELDS!C$1)</f>
        <v>0</v>
      </c>
      <c r="D88" cm="1">
        <f t="array" ref="D88">_xll.VALEURCOURBE($A$27,_xlfn.CONCAT("THEME5=",$B88),SCENARIOS!$A$2,SCENARIOS!$B$2,1,YIELDS!D$1)</f>
        <v>0</v>
      </c>
      <c r="E88" cm="1">
        <f t="array" ref="E88">_xll.VALEURCOURBE($A$27,_xlfn.CONCAT("THEME5=",$B88),SCENARIOS!$A$2,SCENARIOS!$B$2,1,YIELDS!E$1)</f>
        <v>0</v>
      </c>
      <c r="F88" cm="1">
        <f t="array" ref="F88">_xll.VALEURCOURBE($A$27,_xlfn.CONCAT("THEME5=",$B88),SCENARIOS!$A$2,SCENARIOS!$B$2,1,YIELDS!F$1)</f>
        <v>0</v>
      </c>
      <c r="G88" cm="1">
        <f t="array" ref="G88">_xll.VALEURCOURBE($A$27,_xlfn.CONCAT("THEME5=",$B88),SCENARIOS!$A$2,SCENARIOS!$B$2,1,YIELDS!G$1)</f>
        <v>0</v>
      </c>
      <c r="H88" cm="1">
        <f t="array" ref="H88">_xll.VALEURCOURBE($A$27,_xlfn.CONCAT("THEME5=",$B88),SCENARIOS!$A$2,SCENARIOS!$B$2,1,YIELDS!H$1)</f>
        <v>0</v>
      </c>
      <c r="I88" cm="1">
        <f t="array" ref="I88">_xll.VALEURCOURBE($A$27,_xlfn.CONCAT("THEME5=",$B88),SCENARIOS!$A$2,SCENARIOS!$B$2,1,YIELDS!I$1)</f>
        <v>0</v>
      </c>
      <c r="J88" cm="1">
        <f t="array" ref="J88">_xll.VALEURCOURBE($A$27,_xlfn.CONCAT("THEME5=",$B88),SCENARIOS!$A$2,SCENARIOS!$B$2,1,YIELDS!J$1)</f>
        <v>0</v>
      </c>
      <c r="K88" cm="1">
        <f t="array" ref="K88">_xll.VALEURCOURBE($A$27,_xlfn.CONCAT("THEME5=",$B88),SCENARIOS!$A$2,SCENARIOS!$B$2,1,YIELDS!K$1)</f>
        <v>0</v>
      </c>
      <c r="L88" cm="1">
        <f t="array" ref="L88">_xll.VALEURCOURBE($A$27,_xlfn.CONCAT("THEME5=",$B88),SCENARIOS!$A$2,SCENARIOS!$B$2,1,YIELDS!L$1)</f>
        <v>0.8</v>
      </c>
      <c r="M88" cm="1">
        <f t="array" ref="M88">_xll.VALEURCOURBE($A$27,_xlfn.CONCAT("THEME5=",$B88),SCENARIOS!$A$2,SCENARIOS!$B$2,1,YIELDS!M$1)</f>
        <v>1.71</v>
      </c>
      <c r="N88" cm="1">
        <f t="array" ref="N88">_xll.VALEURCOURBE($A$27,_xlfn.CONCAT("THEME5=",$B88),SCENARIOS!$A$2,SCENARIOS!$B$2,1,YIELDS!N$1)</f>
        <v>2.67</v>
      </c>
      <c r="O88" cm="1">
        <f t="array" ref="O88">_xll.VALEURCOURBE($A$27,_xlfn.CONCAT("THEME5=",$B88),SCENARIOS!$A$2,SCENARIOS!$B$2,1,YIELDS!O$1)</f>
        <v>3.65</v>
      </c>
      <c r="P88" cm="1">
        <f t="array" ref="P88">_xll.VALEURCOURBE($A$27,_xlfn.CONCAT("THEME5=",$B88),SCENARIOS!$A$2,SCENARIOS!$B$2,1,YIELDS!P$1)</f>
        <v>4.6399999999999997</v>
      </c>
      <c r="Q88" cm="1">
        <f t="array" ref="Q88">_xll.VALEURCOURBE($A$27,_xlfn.CONCAT("THEME5=",$B88),SCENARIOS!$A$2,SCENARIOS!$B$2,1,YIELDS!Q$1)</f>
        <v>5.64</v>
      </c>
      <c r="R88" cm="1">
        <f t="array" ref="R88">_xll.VALEURCOURBE($A$27,_xlfn.CONCAT("THEME5=",$B88),SCENARIOS!$A$2,SCENARIOS!$B$2,1,YIELDS!R$1)</f>
        <v>6.61</v>
      </c>
      <c r="S88" cm="1">
        <f t="array" ref="S88">_xll.VALEURCOURBE($A$27,_xlfn.CONCAT("THEME5=",$B88),SCENARIOS!$A$2,SCENARIOS!$B$2,1,YIELDS!S$1)</f>
        <v>7.57</v>
      </c>
      <c r="T88" cm="1">
        <f t="array" ref="T88">_xll.VALEURCOURBE($A$27,_xlfn.CONCAT("THEME5=",$B88),SCENARIOS!$A$2,SCENARIOS!$B$2,1,YIELDS!T$1)</f>
        <v>8.48</v>
      </c>
      <c r="U88" cm="1">
        <f t="array" ref="U88">_xll.VALEURCOURBE($A$27,_xlfn.CONCAT("THEME5=",$B88),SCENARIOS!$A$2,SCENARIOS!$B$2,1,YIELDS!U$1)</f>
        <v>9.35</v>
      </c>
      <c r="V88" cm="1">
        <f t="array" ref="V88">_xll.VALEURCOURBE($A$27,_xlfn.CONCAT("THEME5=",$B88),SCENARIOS!$A$2,SCENARIOS!$B$2,1,YIELDS!V$1)</f>
        <v>10.19</v>
      </c>
    </row>
    <row r="89" spans="1:22" x14ac:dyDescent="0.25">
      <c r="A89" t="str">
        <v>YRGS10_12</v>
      </c>
      <c r="B89" t="str">
        <v>FC7213</v>
      </c>
      <c r="C89" cm="1">
        <f t="array" ref="C89">_xll.VALEURCOURBE($A$27,_xlfn.CONCAT("THEME5=",$B89),SCENARIOS!$A$2,SCENARIOS!$B$2,1,YIELDS!C$1)</f>
        <v>0</v>
      </c>
      <c r="D89" cm="1">
        <f t="array" ref="D89">_xll.VALEURCOURBE($A$27,_xlfn.CONCAT("THEME5=",$B89),SCENARIOS!$A$2,SCENARIOS!$B$2,1,YIELDS!D$1)</f>
        <v>0</v>
      </c>
      <c r="E89" cm="1">
        <f t="array" ref="E89">_xll.VALEURCOURBE($A$27,_xlfn.CONCAT("THEME5=",$B89),SCENARIOS!$A$2,SCENARIOS!$B$2,1,YIELDS!E$1)</f>
        <v>0</v>
      </c>
      <c r="F89" cm="1">
        <f t="array" ref="F89">_xll.VALEURCOURBE($A$27,_xlfn.CONCAT("THEME5=",$B89),SCENARIOS!$A$2,SCENARIOS!$B$2,1,YIELDS!F$1)</f>
        <v>0</v>
      </c>
      <c r="G89" cm="1">
        <f t="array" ref="G89">_xll.VALEURCOURBE($A$27,_xlfn.CONCAT("THEME5=",$B89),SCENARIOS!$A$2,SCENARIOS!$B$2,1,YIELDS!G$1)</f>
        <v>0</v>
      </c>
      <c r="H89" cm="1">
        <f t="array" ref="H89">_xll.VALEURCOURBE($A$27,_xlfn.CONCAT("THEME5=",$B89),SCENARIOS!$A$2,SCENARIOS!$B$2,1,YIELDS!H$1)</f>
        <v>0</v>
      </c>
      <c r="I89" cm="1">
        <f t="array" ref="I89">_xll.VALEURCOURBE($A$27,_xlfn.CONCAT("THEME5=",$B89),SCENARIOS!$A$2,SCENARIOS!$B$2,1,YIELDS!I$1)</f>
        <v>0.18</v>
      </c>
      <c r="J89" cm="1">
        <f t="array" ref="J89">_xll.VALEURCOURBE($A$27,_xlfn.CONCAT("THEME5=",$B89),SCENARIOS!$A$2,SCENARIOS!$B$2,1,YIELDS!J$1)</f>
        <v>0.6</v>
      </c>
      <c r="K89" cm="1">
        <f t="array" ref="K89">_xll.VALEURCOURBE($A$27,_xlfn.CONCAT("THEME5=",$B89),SCENARIOS!$A$2,SCENARIOS!$B$2,1,YIELDS!K$1)</f>
        <v>1.04</v>
      </c>
      <c r="L89" cm="1">
        <f t="array" ref="L89">_xll.VALEURCOURBE($A$27,_xlfn.CONCAT("THEME5=",$B89),SCENARIOS!$A$2,SCENARIOS!$B$2,1,YIELDS!L$1)</f>
        <v>1.5</v>
      </c>
      <c r="M89" cm="1">
        <f t="array" ref="M89">_xll.VALEURCOURBE($A$27,_xlfn.CONCAT("THEME5=",$B89),SCENARIOS!$A$2,SCENARIOS!$B$2,1,YIELDS!M$1)</f>
        <v>1.94</v>
      </c>
      <c r="N89" cm="1">
        <f t="array" ref="N89">_xll.VALEURCOURBE($A$27,_xlfn.CONCAT("THEME5=",$B89),SCENARIOS!$A$2,SCENARIOS!$B$2,1,YIELDS!N$1)</f>
        <v>2.37</v>
      </c>
      <c r="O89" cm="1">
        <f t="array" ref="O89">_xll.VALEURCOURBE($A$27,_xlfn.CONCAT("THEME5=",$B89),SCENARIOS!$A$2,SCENARIOS!$B$2,1,YIELDS!O$1)</f>
        <v>2.79</v>
      </c>
      <c r="P89" cm="1">
        <f t="array" ref="P89">_xll.VALEURCOURBE($A$27,_xlfn.CONCAT("THEME5=",$B89),SCENARIOS!$A$2,SCENARIOS!$B$2,1,YIELDS!P$1)</f>
        <v>3.18</v>
      </c>
      <c r="Q89" cm="1">
        <f t="array" ref="Q89">_xll.VALEURCOURBE($A$27,_xlfn.CONCAT("THEME5=",$B89),SCENARIOS!$A$2,SCENARIOS!$B$2,1,YIELDS!Q$1)</f>
        <v>3.54</v>
      </c>
      <c r="R89" cm="1">
        <f t="array" ref="R89">_xll.VALEURCOURBE($A$27,_xlfn.CONCAT("THEME5=",$B89),SCENARIOS!$A$2,SCENARIOS!$B$2,1,YIELDS!R$1)</f>
        <v>3.86</v>
      </c>
      <c r="S89" cm="1">
        <f t="array" ref="S89">_xll.VALEURCOURBE($A$27,_xlfn.CONCAT("THEME5=",$B89),SCENARIOS!$A$2,SCENARIOS!$B$2,1,YIELDS!S$1)</f>
        <v>4.1399999999999997</v>
      </c>
      <c r="T89" cm="1">
        <f t="array" ref="T89">_xll.VALEURCOURBE($A$27,_xlfn.CONCAT("THEME5=",$B89),SCENARIOS!$A$2,SCENARIOS!$B$2,1,YIELDS!T$1)</f>
        <v>4.38</v>
      </c>
      <c r="U89" cm="1">
        <f t="array" ref="U89">_xll.VALEURCOURBE($A$27,_xlfn.CONCAT("THEME5=",$B89),SCENARIOS!$A$2,SCENARIOS!$B$2,1,YIELDS!U$1)</f>
        <v>4.58</v>
      </c>
      <c r="V89" cm="1">
        <f t="array" ref="V89">_xll.VALEURCOURBE($A$27,_xlfn.CONCAT("THEME5=",$B89),SCENARIOS!$A$2,SCENARIOS!$B$2,1,YIELDS!V$1)</f>
        <v>4.74</v>
      </c>
    </row>
    <row r="90" spans="1:22" x14ac:dyDescent="0.25">
      <c r="A90" t="str">
        <v>YRGS12_14</v>
      </c>
      <c r="B90" t="str">
        <v>FC7217</v>
      </c>
      <c r="C90" cm="1">
        <f t="array" ref="C90">_xll.VALEURCOURBE($A$27,_xlfn.CONCAT("THEME5=",$B90),SCENARIOS!$A$2,SCENARIOS!$B$2,1,YIELDS!C$1)</f>
        <v>0</v>
      </c>
      <c r="D90" cm="1">
        <f t="array" ref="D90">_xll.VALEURCOURBE($A$27,_xlfn.CONCAT("THEME5=",$B90),SCENARIOS!$A$2,SCENARIOS!$B$2,1,YIELDS!D$1)</f>
        <v>0</v>
      </c>
      <c r="E90" cm="1">
        <f t="array" ref="E90">_xll.VALEURCOURBE($A$27,_xlfn.CONCAT("THEME5=",$B90),SCENARIOS!$A$2,SCENARIOS!$B$2,1,YIELDS!E$1)</f>
        <v>0</v>
      </c>
      <c r="F90" cm="1">
        <f t="array" ref="F90">_xll.VALEURCOURBE($A$27,_xlfn.CONCAT("THEME5=",$B90),SCENARIOS!$A$2,SCENARIOS!$B$2,1,YIELDS!F$1)</f>
        <v>0</v>
      </c>
      <c r="G90" cm="1">
        <f t="array" ref="G90">_xll.VALEURCOURBE($A$27,_xlfn.CONCAT("THEME5=",$B90),SCENARIOS!$A$2,SCENARIOS!$B$2,1,YIELDS!G$1)</f>
        <v>0</v>
      </c>
      <c r="H90" cm="1">
        <f t="array" ref="H90">_xll.VALEURCOURBE($A$27,_xlfn.CONCAT("THEME5=",$B90),SCENARIOS!$A$2,SCENARIOS!$B$2,1,YIELDS!H$1)</f>
        <v>0</v>
      </c>
      <c r="I90" cm="1">
        <f t="array" ref="I90">_xll.VALEURCOURBE($A$27,_xlfn.CONCAT("THEME5=",$B90),SCENARIOS!$A$2,SCENARIOS!$B$2,1,YIELDS!I$1)</f>
        <v>0</v>
      </c>
      <c r="J90" cm="1">
        <f t="array" ref="J90">_xll.VALEURCOURBE($A$27,_xlfn.CONCAT("THEME5=",$B90),SCENARIOS!$A$2,SCENARIOS!$B$2,1,YIELDS!J$1)</f>
        <v>0</v>
      </c>
      <c r="K90" cm="1">
        <f t="array" ref="K90">_xll.VALEURCOURBE($A$27,_xlfn.CONCAT("THEME5=",$B90),SCENARIOS!$A$2,SCENARIOS!$B$2,1,YIELDS!K$1)</f>
        <v>0</v>
      </c>
      <c r="L90" cm="1">
        <f t="array" ref="L90">_xll.VALEURCOURBE($A$27,_xlfn.CONCAT("THEME5=",$B90),SCENARIOS!$A$2,SCENARIOS!$B$2,1,YIELDS!L$1)</f>
        <v>0</v>
      </c>
      <c r="M90" cm="1">
        <f t="array" ref="M90">_xll.VALEURCOURBE($A$27,_xlfn.CONCAT("THEME5=",$B90),SCENARIOS!$A$2,SCENARIOS!$B$2,1,YIELDS!M$1)</f>
        <v>0</v>
      </c>
      <c r="N90" cm="1">
        <f t="array" ref="N90">_xll.VALEURCOURBE($A$27,_xlfn.CONCAT("THEME5=",$B90),SCENARIOS!$A$2,SCENARIOS!$B$2,1,YIELDS!N$1)</f>
        <v>0</v>
      </c>
      <c r="O90" cm="1">
        <f t="array" ref="O90">_xll.VALEURCOURBE($A$27,_xlfn.CONCAT("THEME5=",$B90),SCENARIOS!$A$2,SCENARIOS!$B$2,1,YIELDS!O$1)</f>
        <v>0</v>
      </c>
      <c r="P90" cm="1">
        <f t="array" ref="P90">_xll.VALEURCOURBE($A$27,_xlfn.CONCAT("THEME5=",$B90),SCENARIOS!$A$2,SCENARIOS!$B$2,1,YIELDS!P$1)</f>
        <v>4.5599999999999996</v>
      </c>
      <c r="Q90" cm="1">
        <f t="array" ref="Q90">_xll.VALEURCOURBE($A$27,_xlfn.CONCAT("THEME5=",$B90),SCENARIOS!$A$2,SCENARIOS!$B$2,1,YIELDS!Q$1)</f>
        <v>17.16</v>
      </c>
      <c r="R90" cm="1">
        <f t="array" ref="R90">_xll.VALEURCOURBE($A$27,_xlfn.CONCAT("THEME5=",$B90),SCENARIOS!$A$2,SCENARIOS!$B$2,1,YIELDS!R$1)</f>
        <v>28.69</v>
      </c>
      <c r="S90" cm="1">
        <f t="array" ref="S90">_xll.VALEURCOURBE($A$27,_xlfn.CONCAT("THEME5=",$B90),SCENARIOS!$A$2,SCENARIOS!$B$2,1,YIELDS!S$1)</f>
        <v>39.79</v>
      </c>
      <c r="T90" cm="1">
        <f t="array" ref="T90">_xll.VALEURCOURBE($A$27,_xlfn.CONCAT("THEME5=",$B90),SCENARIOS!$A$2,SCENARIOS!$B$2,1,YIELDS!T$1)</f>
        <v>50.41</v>
      </c>
      <c r="U90" cm="1">
        <f t="array" ref="U90">_xll.VALEURCOURBE($A$27,_xlfn.CONCAT("THEME5=",$B90),SCENARIOS!$A$2,SCENARIOS!$B$2,1,YIELDS!U$1)</f>
        <v>60.49</v>
      </c>
      <c r="V90" cm="1">
        <f t="array" ref="V90">_xll.VALEURCOURBE($A$27,_xlfn.CONCAT("THEME5=",$B90),SCENARIOS!$A$2,SCENARIOS!$B$2,1,YIELDS!V$1)</f>
        <v>69.98</v>
      </c>
    </row>
    <row r="91" spans="1:22" x14ac:dyDescent="0.25">
      <c r="A91" t="str">
        <v>YRGS14_16</v>
      </c>
      <c r="B91" t="str">
        <v>FC7221</v>
      </c>
      <c r="C91" cm="1">
        <f t="array" ref="C91">_xll.VALEURCOURBE($A$27,_xlfn.CONCAT("THEME5=",$B91),SCENARIOS!$A$2,SCENARIOS!$B$2,1,YIELDS!C$1)</f>
        <v>0</v>
      </c>
      <c r="D91" cm="1">
        <f t="array" ref="D91">_xll.VALEURCOURBE($A$27,_xlfn.CONCAT("THEME5=",$B91),SCENARIOS!$A$2,SCENARIOS!$B$2,1,YIELDS!D$1)</f>
        <v>0</v>
      </c>
      <c r="E91" cm="1">
        <f t="array" ref="E91">_xll.VALEURCOURBE($A$27,_xlfn.CONCAT("THEME5=",$B91),SCENARIOS!$A$2,SCENARIOS!$B$2,1,YIELDS!E$1)</f>
        <v>0</v>
      </c>
      <c r="F91" cm="1">
        <f t="array" ref="F91">_xll.VALEURCOURBE($A$27,_xlfn.CONCAT("THEME5=",$B91),SCENARIOS!$A$2,SCENARIOS!$B$2,1,YIELDS!F$1)</f>
        <v>0</v>
      </c>
      <c r="G91" cm="1">
        <f t="array" ref="G91">_xll.VALEURCOURBE($A$27,_xlfn.CONCAT("THEME5=",$B91),SCENARIOS!$A$2,SCENARIOS!$B$2,1,YIELDS!G$1)</f>
        <v>0</v>
      </c>
      <c r="H91" cm="1">
        <f t="array" ref="H91">_xll.VALEURCOURBE($A$27,_xlfn.CONCAT("THEME5=",$B91),SCENARIOS!$A$2,SCENARIOS!$B$2,1,YIELDS!H$1)</f>
        <v>0</v>
      </c>
      <c r="I91" cm="1">
        <f t="array" ref="I91">_xll.VALEURCOURBE($A$27,_xlfn.CONCAT("THEME5=",$B91),SCENARIOS!$A$2,SCENARIOS!$B$2,1,YIELDS!I$1)</f>
        <v>0</v>
      </c>
      <c r="J91" cm="1">
        <f t="array" ref="J91">_xll.VALEURCOURBE($A$27,_xlfn.CONCAT("THEME5=",$B91),SCENARIOS!$A$2,SCENARIOS!$B$2,1,YIELDS!J$1)</f>
        <v>0</v>
      </c>
      <c r="K91" cm="1">
        <f t="array" ref="K91">_xll.VALEURCOURBE($A$27,_xlfn.CONCAT("THEME5=",$B91),SCENARIOS!$A$2,SCENARIOS!$B$2,1,YIELDS!K$1)</f>
        <v>0</v>
      </c>
      <c r="L91" cm="1">
        <f t="array" ref="L91">_xll.VALEURCOURBE($A$27,_xlfn.CONCAT("THEME5=",$B91),SCENARIOS!$A$2,SCENARIOS!$B$2,1,YIELDS!L$1)</f>
        <v>0</v>
      </c>
      <c r="M91" cm="1">
        <f t="array" ref="M91">_xll.VALEURCOURBE($A$27,_xlfn.CONCAT("THEME5=",$B91),SCENARIOS!$A$2,SCENARIOS!$B$2,1,YIELDS!M$1)</f>
        <v>0</v>
      </c>
      <c r="N91" cm="1">
        <f t="array" ref="N91">_xll.VALEURCOURBE($A$27,_xlfn.CONCAT("THEME5=",$B91),SCENARIOS!$A$2,SCENARIOS!$B$2,1,YIELDS!N$1)</f>
        <v>0</v>
      </c>
      <c r="O91" cm="1">
        <f t="array" ref="O91">_xll.VALEURCOURBE($A$27,_xlfn.CONCAT("THEME5=",$B91),SCENARIOS!$A$2,SCENARIOS!$B$2,1,YIELDS!O$1)</f>
        <v>3.58</v>
      </c>
      <c r="P91" cm="1">
        <f t="array" ref="P91">_xll.VALEURCOURBE($A$27,_xlfn.CONCAT("THEME5=",$B91),SCENARIOS!$A$2,SCENARIOS!$B$2,1,YIELDS!P$1)</f>
        <v>9.51</v>
      </c>
      <c r="Q91" cm="1">
        <f t="array" ref="Q91">_xll.VALEURCOURBE($A$27,_xlfn.CONCAT("THEME5=",$B91),SCENARIOS!$A$2,SCENARIOS!$B$2,1,YIELDS!Q$1)</f>
        <v>15.56</v>
      </c>
      <c r="R91" cm="1">
        <f t="array" ref="R91">_xll.VALEURCOURBE($A$27,_xlfn.CONCAT("THEME5=",$B91),SCENARIOS!$A$2,SCENARIOS!$B$2,1,YIELDS!R$1)</f>
        <v>21.58</v>
      </c>
      <c r="S91" cm="1">
        <f t="array" ref="S91">_xll.VALEURCOURBE($A$27,_xlfn.CONCAT("THEME5=",$B91),SCENARIOS!$A$2,SCENARIOS!$B$2,1,YIELDS!S$1)</f>
        <v>27.43</v>
      </c>
      <c r="T91" cm="1">
        <f t="array" ref="T91">_xll.VALEURCOURBE($A$27,_xlfn.CONCAT("THEME5=",$B91),SCENARIOS!$A$2,SCENARIOS!$B$2,1,YIELDS!T$1)</f>
        <v>33.049999999999997</v>
      </c>
      <c r="U91" cm="1">
        <f t="array" ref="U91">_xll.VALEURCOURBE($A$27,_xlfn.CONCAT("THEME5=",$B91),SCENARIOS!$A$2,SCENARIOS!$B$2,1,YIELDS!U$1)</f>
        <v>38.340000000000003</v>
      </c>
      <c r="V91" cm="1">
        <f t="array" ref="V91">_xll.VALEURCOURBE($A$27,_xlfn.CONCAT("THEME5=",$B91),SCENARIOS!$A$2,SCENARIOS!$B$2,1,YIELDS!V$1)</f>
        <v>43.26</v>
      </c>
    </row>
    <row r="92" spans="1:22" x14ac:dyDescent="0.25">
      <c r="A92" t="str">
        <v>YRGS16_18</v>
      </c>
      <c r="B92" t="str">
        <v>FC7234</v>
      </c>
      <c r="C92" cm="1">
        <f t="array" ref="C92">_xll.VALEURCOURBE($A$27,_xlfn.CONCAT("THEME5=",$B92),SCENARIOS!$A$2,SCENARIOS!$B$2,1,YIELDS!C$1)</f>
        <v>0</v>
      </c>
      <c r="D92" cm="1">
        <f t="array" ref="D92">_xll.VALEURCOURBE($A$27,_xlfn.CONCAT("THEME5=",$B92),SCENARIOS!$A$2,SCENARIOS!$B$2,1,YIELDS!D$1)</f>
        <v>0</v>
      </c>
      <c r="E92" cm="1">
        <f t="array" ref="E92">_xll.VALEURCOURBE($A$27,_xlfn.CONCAT("THEME5=",$B92),SCENARIOS!$A$2,SCENARIOS!$B$2,1,YIELDS!E$1)</f>
        <v>0</v>
      </c>
      <c r="F92" cm="1">
        <f t="array" ref="F92">_xll.VALEURCOURBE($A$27,_xlfn.CONCAT("THEME5=",$B92),SCENARIOS!$A$2,SCENARIOS!$B$2,1,YIELDS!F$1)</f>
        <v>1.5</v>
      </c>
      <c r="G92" cm="1">
        <f t="array" ref="G92">_xll.VALEURCOURBE($A$27,_xlfn.CONCAT("THEME5=",$B92),SCENARIOS!$A$2,SCENARIOS!$B$2,1,YIELDS!G$1)</f>
        <v>3</v>
      </c>
      <c r="H92" cm="1">
        <f t="array" ref="H92">_xll.VALEURCOURBE($A$27,_xlfn.CONCAT("THEME5=",$B92),SCENARIOS!$A$2,SCENARIOS!$B$2,1,YIELDS!H$1)</f>
        <v>4.49</v>
      </c>
      <c r="I92" cm="1">
        <f t="array" ref="I92">_xll.VALEURCOURBE($A$27,_xlfn.CONCAT("THEME5=",$B92),SCENARIOS!$A$2,SCENARIOS!$B$2,1,YIELDS!I$1)</f>
        <v>5.99</v>
      </c>
      <c r="J92" cm="1">
        <f t="array" ref="J92">_xll.VALEURCOURBE($A$27,_xlfn.CONCAT("THEME5=",$B92),SCENARIOS!$A$2,SCENARIOS!$B$2,1,YIELDS!J$1)</f>
        <v>7.49</v>
      </c>
      <c r="K92" cm="1">
        <f t="array" ref="K92">_xll.VALEURCOURBE($A$27,_xlfn.CONCAT("THEME5=",$B92),SCENARIOS!$A$2,SCENARIOS!$B$2,1,YIELDS!K$1)</f>
        <v>8.99</v>
      </c>
      <c r="L92" cm="1">
        <f t="array" ref="L92">_xll.VALEURCOURBE($A$27,_xlfn.CONCAT("THEME5=",$B92),SCENARIOS!$A$2,SCENARIOS!$B$2,1,YIELDS!L$1)</f>
        <v>10.48</v>
      </c>
      <c r="M92" cm="1">
        <f t="array" ref="M92">_xll.VALEURCOURBE($A$27,_xlfn.CONCAT("THEME5=",$B92),SCENARIOS!$A$2,SCENARIOS!$B$2,1,YIELDS!M$1)</f>
        <v>11.98</v>
      </c>
      <c r="N92" cm="1">
        <f t="array" ref="N92">_xll.VALEURCOURBE($A$27,_xlfn.CONCAT("THEME5=",$B92),SCENARIOS!$A$2,SCENARIOS!$B$2,1,YIELDS!N$1)</f>
        <v>13.48</v>
      </c>
      <c r="O92" cm="1">
        <f t="array" ref="O92">_xll.VALEURCOURBE($A$27,_xlfn.CONCAT("THEME5=",$B92),SCENARIOS!$A$2,SCENARIOS!$B$2,1,YIELDS!O$1)</f>
        <v>14.99</v>
      </c>
      <c r="P92" cm="1">
        <f t="array" ref="P92">_xll.VALEURCOURBE($A$27,_xlfn.CONCAT("THEME5=",$B92),SCENARIOS!$A$2,SCENARIOS!$B$2,1,YIELDS!P$1)</f>
        <v>16.48</v>
      </c>
      <c r="Q92" cm="1">
        <f t="array" ref="Q92">_xll.VALEURCOURBE($A$27,_xlfn.CONCAT("THEME5=",$B92),SCENARIOS!$A$2,SCENARIOS!$B$2,1,YIELDS!Q$1)</f>
        <v>22.01</v>
      </c>
      <c r="R92" cm="1">
        <f t="array" ref="R92">_xll.VALEURCOURBE($A$27,_xlfn.CONCAT("THEME5=",$B92),SCENARIOS!$A$2,SCENARIOS!$B$2,1,YIELDS!R$1)</f>
        <v>26.75</v>
      </c>
      <c r="S92" cm="1">
        <f t="array" ref="S92">_xll.VALEURCOURBE($A$27,_xlfn.CONCAT("THEME5=",$B92),SCENARIOS!$A$2,SCENARIOS!$B$2,1,YIELDS!S$1)</f>
        <v>30.81</v>
      </c>
      <c r="T92" cm="1">
        <f t="array" ref="T92">_xll.VALEURCOURBE($A$27,_xlfn.CONCAT("THEME5=",$B92),SCENARIOS!$A$2,SCENARIOS!$B$2,1,YIELDS!T$1)</f>
        <v>34.270000000000003</v>
      </c>
      <c r="U92" cm="1">
        <f t="array" ref="U92">_xll.VALEURCOURBE($A$27,_xlfn.CONCAT("THEME5=",$B92),SCENARIOS!$A$2,SCENARIOS!$B$2,1,YIELDS!U$1)</f>
        <v>37.200000000000003</v>
      </c>
      <c r="V92" cm="1">
        <f t="array" ref="V92">_xll.VALEURCOURBE($A$27,_xlfn.CONCAT("THEME5=",$B92),SCENARIOS!$A$2,SCENARIOS!$B$2,1,YIELDS!V$1)</f>
        <v>39.69</v>
      </c>
    </row>
    <row r="93" spans="1:22" x14ac:dyDescent="0.25">
      <c r="A93" t="str">
        <v>YRGS18_20</v>
      </c>
      <c r="B93" t="str">
        <v>FC7240</v>
      </c>
      <c r="C93" cm="1">
        <f t="array" ref="C93">_xll.VALEURCOURBE($A$27,_xlfn.CONCAT("THEME5=",$B93),SCENARIOS!$A$2,SCENARIOS!$B$2,1,YIELDS!C$1)</f>
        <v>0</v>
      </c>
      <c r="D93" cm="1">
        <f t="array" ref="D93">_xll.VALEURCOURBE($A$27,_xlfn.CONCAT("THEME5=",$B93),SCENARIOS!$A$2,SCENARIOS!$B$2,1,YIELDS!D$1)</f>
        <v>0</v>
      </c>
      <c r="E93" cm="1">
        <f t="array" ref="E93">_xll.VALEURCOURBE($A$27,_xlfn.CONCAT("THEME5=",$B93),SCENARIOS!$A$2,SCENARIOS!$B$2,1,YIELDS!E$1)</f>
        <v>0</v>
      </c>
      <c r="F93" cm="1">
        <f t="array" ref="F93">_xll.VALEURCOURBE($A$27,_xlfn.CONCAT("THEME5=",$B93),SCENARIOS!$A$2,SCENARIOS!$B$2,1,YIELDS!F$1)</f>
        <v>0</v>
      </c>
      <c r="G93" cm="1">
        <f t="array" ref="G93">_xll.VALEURCOURBE($A$27,_xlfn.CONCAT("THEME5=",$B93),SCENARIOS!$A$2,SCENARIOS!$B$2,1,YIELDS!G$1)</f>
        <v>0</v>
      </c>
      <c r="H93" cm="1">
        <f t="array" ref="H93">_xll.VALEURCOURBE($A$27,_xlfn.CONCAT("THEME5=",$B93),SCENARIOS!$A$2,SCENARIOS!$B$2,1,YIELDS!H$1)</f>
        <v>0</v>
      </c>
      <c r="I93" cm="1">
        <f t="array" ref="I93">_xll.VALEURCOURBE($A$27,_xlfn.CONCAT("THEME5=",$B93),SCENARIOS!$A$2,SCENARIOS!$B$2,1,YIELDS!I$1)</f>
        <v>0</v>
      </c>
      <c r="J93" cm="1">
        <f t="array" ref="J93">_xll.VALEURCOURBE($A$27,_xlfn.CONCAT("THEME5=",$B93),SCENARIOS!$A$2,SCENARIOS!$B$2,1,YIELDS!J$1)</f>
        <v>0</v>
      </c>
      <c r="K93" cm="1">
        <f t="array" ref="K93">_xll.VALEURCOURBE($A$27,_xlfn.CONCAT("THEME5=",$B93),SCENARIOS!$A$2,SCENARIOS!$B$2,1,YIELDS!K$1)</f>
        <v>1.44</v>
      </c>
      <c r="L93" cm="1">
        <f t="array" ref="L93">_xll.VALEURCOURBE($A$27,_xlfn.CONCAT("THEME5=",$B93),SCENARIOS!$A$2,SCENARIOS!$B$2,1,YIELDS!L$1)</f>
        <v>3.57</v>
      </c>
      <c r="M93" cm="1">
        <f t="array" ref="M93">_xll.VALEURCOURBE($A$27,_xlfn.CONCAT("THEME5=",$B93),SCENARIOS!$A$2,SCENARIOS!$B$2,1,YIELDS!M$1)</f>
        <v>5.83</v>
      </c>
      <c r="N93" cm="1">
        <f t="array" ref="N93">_xll.VALEURCOURBE($A$27,_xlfn.CONCAT("THEME5=",$B93),SCENARIOS!$A$2,SCENARIOS!$B$2,1,YIELDS!N$1)</f>
        <v>8.19</v>
      </c>
      <c r="O93" cm="1">
        <f t="array" ref="O93">_xll.VALEURCOURBE($A$27,_xlfn.CONCAT("THEME5=",$B93),SCENARIOS!$A$2,SCENARIOS!$B$2,1,YIELDS!O$1)</f>
        <v>10.54</v>
      </c>
      <c r="P93" cm="1">
        <f t="array" ref="P93">_xll.VALEURCOURBE($A$27,_xlfn.CONCAT("THEME5=",$B93),SCENARIOS!$A$2,SCENARIOS!$B$2,1,YIELDS!P$1)</f>
        <v>12.86</v>
      </c>
      <c r="Q93" cm="1">
        <f t="array" ref="Q93">_xll.VALEURCOURBE($A$27,_xlfn.CONCAT("THEME5=",$B93),SCENARIOS!$A$2,SCENARIOS!$B$2,1,YIELDS!Q$1)</f>
        <v>15.09</v>
      </c>
      <c r="R93" cm="1">
        <f t="array" ref="R93">_xll.VALEURCOURBE($A$27,_xlfn.CONCAT("THEME5=",$B93),SCENARIOS!$A$2,SCENARIOS!$B$2,1,YIELDS!R$1)</f>
        <v>17.22</v>
      </c>
      <c r="S93" cm="1">
        <f t="array" ref="S93">_xll.VALEURCOURBE($A$27,_xlfn.CONCAT("THEME5=",$B93),SCENARIOS!$A$2,SCENARIOS!$B$2,1,YIELDS!S$1)</f>
        <v>19.2</v>
      </c>
      <c r="T93" cm="1">
        <f t="array" ref="T93">_xll.VALEURCOURBE($A$27,_xlfn.CONCAT("THEME5=",$B93),SCENARIOS!$A$2,SCENARIOS!$B$2,1,YIELDS!T$1)</f>
        <v>21.05</v>
      </c>
      <c r="U93" cm="1">
        <f t="array" ref="U93">_xll.VALEURCOURBE($A$27,_xlfn.CONCAT("THEME5=",$B93),SCENARIOS!$A$2,SCENARIOS!$B$2,1,YIELDS!U$1)</f>
        <v>22.72</v>
      </c>
      <c r="V93" cm="1">
        <f t="array" ref="V93">_xll.VALEURCOURBE($A$27,_xlfn.CONCAT("THEME5=",$B93),SCENARIOS!$A$2,SCENARIOS!$B$2,1,YIELDS!V$1)</f>
        <v>24.24</v>
      </c>
    </row>
    <row r="94" spans="1:22" x14ac:dyDescent="0.25">
      <c r="A94" t="str">
        <v>YRGS20_22</v>
      </c>
      <c r="B94" t="str">
        <v>FC7243</v>
      </c>
      <c r="C94" cm="1">
        <f t="array" ref="C94">_xll.VALEURCOURBE($A$27,_xlfn.CONCAT("THEME5=",$B94),SCENARIOS!$A$2,SCENARIOS!$B$2,1,YIELDS!C$1)</f>
        <v>0</v>
      </c>
      <c r="D94" cm="1">
        <f t="array" ref="D94">_xll.VALEURCOURBE($A$27,_xlfn.CONCAT("THEME5=",$B94),SCENARIOS!$A$2,SCENARIOS!$B$2,1,YIELDS!D$1)</f>
        <v>0</v>
      </c>
      <c r="E94" cm="1">
        <f t="array" ref="E94">_xll.VALEURCOURBE($A$27,_xlfn.CONCAT("THEME5=",$B94),SCENARIOS!$A$2,SCENARIOS!$B$2,1,YIELDS!E$1)</f>
        <v>0</v>
      </c>
      <c r="F94" cm="1">
        <f t="array" ref="F94">_xll.VALEURCOURBE($A$27,_xlfn.CONCAT("THEME5=",$B94),SCENARIOS!$A$2,SCENARIOS!$B$2,1,YIELDS!F$1)</f>
        <v>0</v>
      </c>
      <c r="G94" cm="1">
        <f t="array" ref="G94">_xll.VALEURCOURBE($A$27,_xlfn.CONCAT("THEME5=",$B94),SCENARIOS!$A$2,SCENARIOS!$B$2,1,YIELDS!G$1)</f>
        <v>0</v>
      </c>
      <c r="H94" cm="1">
        <f t="array" ref="H94">_xll.VALEURCOURBE($A$27,_xlfn.CONCAT("THEME5=",$B94),SCENARIOS!$A$2,SCENARIOS!$B$2,1,YIELDS!H$1)</f>
        <v>0</v>
      </c>
      <c r="I94" cm="1">
        <f t="array" ref="I94">_xll.VALEURCOURBE($A$27,_xlfn.CONCAT("THEME5=",$B94),SCENARIOS!$A$2,SCENARIOS!$B$2,1,YIELDS!I$1)</f>
        <v>0</v>
      </c>
      <c r="J94" cm="1">
        <f t="array" ref="J94">_xll.VALEURCOURBE($A$27,_xlfn.CONCAT("THEME5=",$B94),SCENARIOS!$A$2,SCENARIOS!$B$2,1,YIELDS!J$1)</f>
        <v>0.72</v>
      </c>
      <c r="K94" cm="1">
        <f t="array" ref="K94">_xll.VALEURCOURBE($A$27,_xlfn.CONCAT("THEME5=",$B94),SCENARIOS!$A$2,SCENARIOS!$B$2,1,YIELDS!K$1)</f>
        <v>2.33</v>
      </c>
      <c r="L94" cm="1">
        <f t="array" ref="L94">_xll.VALEURCOURBE($A$27,_xlfn.CONCAT("THEME5=",$B94),SCENARIOS!$A$2,SCENARIOS!$B$2,1,YIELDS!L$1)</f>
        <v>3.9</v>
      </c>
      <c r="M94" cm="1">
        <f t="array" ref="M94">_xll.VALEURCOURBE($A$27,_xlfn.CONCAT("THEME5=",$B94),SCENARIOS!$A$2,SCENARIOS!$B$2,1,YIELDS!M$1)</f>
        <v>5.47</v>
      </c>
      <c r="N94" cm="1">
        <f t="array" ref="N94">_xll.VALEURCOURBE($A$27,_xlfn.CONCAT("THEME5=",$B94),SCENARIOS!$A$2,SCENARIOS!$B$2,1,YIELDS!N$1)</f>
        <v>7.06</v>
      </c>
      <c r="O94" cm="1">
        <f t="array" ref="O94">_xll.VALEURCOURBE($A$27,_xlfn.CONCAT("THEME5=",$B94),SCENARIOS!$A$2,SCENARIOS!$B$2,1,YIELDS!O$1)</f>
        <v>8.6300000000000008</v>
      </c>
      <c r="P94" cm="1">
        <f t="array" ref="P94">_xll.VALEURCOURBE($A$27,_xlfn.CONCAT("THEME5=",$B94),SCENARIOS!$A$2,SCENARIOS!$B$2,1,YIELDS!P$1)</f>
        <v>10.15</v>
      </c>
      <c r="Q94" cm="1">
        <f t="array" ref="Q94">_xll.VALEURCOURBE($A$27,_xlfn.CONCAT("THEME5=",$B94),SCENARIOS!$A$2,SCENARIOS!$B$2,1,YIELDS!Q$1)</f>
        <v>11.62</v>
      </c>
      <c r="R94" cm="1">
        <f t="array" ref="R94">_xll.VALEURCOURBE($A$27,_xlfn.CONCAT("THEME5=",$B94),SCENARIOS!$A$2,SCENARIOS!$B$2,1,YIELDS!R$1)</f>
        <v>13.02</v>
      </c>
      <c r="S94" cm="1">
        <f t="array" ref="S94">_xll.VALEURCOURBE($A$27,_xlfn.CONCAT("THEME5=",$B94),SCENARIOS!$A$2,SCENARIOS!$B$2,1,YIELDS!S$1)</f>
        <v>14.34</v>
      </c>
      <c r="T94" cm="1">
        <f t="array" ref="T94">_xll.VALEURCOURBE($A$27,_xlfn.CONCAT("THEME5=",$B94),SCENARIOS!$A$2,SCENARIOS!$B$2,1,YIELDS!T$1)</f>
        <v>15.56</v>
      </c>
      <c r="U94" cm="1">
        <f t="array" ref="U94">_xll.VALEURCOURBE($A$27,_xlfn.CONCAT("THEME5=",$B94),SCENARIOS!$A$2,SCENARIOS!$B$2,1,YIELDS!U$1)</f>
        <v>16.690000000000001</v>
      </c>
      <c r="V94" cm="1">
        <f t="array" ref="V94">_xll.VALEURCOURBE($A$27,_xlfn.CONCAT("THEME5=",$B94),SCENARIOS!$A$2,SCENARIOS!$B$2,1,YIELDS!V$1)</f>
        <v>17.72</v>
      </c>
    </row>
    <row r="95" spans="1:22" x14ac:dyDescent="0.25">
      <c r="A95" t="str">
        <v>YRGS20_23</v>
      </c>
      <c r="B95" t="str">
        <v>FC7244</v>
      </c>
      <c r="C95" cm="1">
        <f t="array" ref="C95">_xll.VALEURCOURBE($A$27,_xlfn.CONCAT("THEME5=",$B95),SCENARIOS!$A$2,SCENARIOS!$B$2,1,YIELDS!C$1)</f>
        <v>0</v>
      </c>
      <c r="D95" cm="1">
        <f t="array" ref="D95">_xll.VALEURCOURBE($A$27,_xlfn.CONCAT("THEME5=",$B95),SCENARIOS!$A$2,SCENARIOS!$B$2,1,YIELDS!D$1)</f>
        <v>0</v>
      </c>
      <c r="E95" cm="1">
        <f t="array" ref="E95">_xll.VALEURCOURBE($A$27,_xlfn.CONCAT("THEME5=",$B95),SCENARIOS!$A$2,SCENARIOS!$B$2,1,YIELDS!E$1)</f>
        <v>0</v>
      </c>
      <c r="F95" cm="1">
        <f t="array" ref="F95">_xll.VALEURCOURBE($A$27,_xlfn.CONCAT("THEME5=",$B95),SCENARIOS!$A$2,SCENARIOS!$B$2,1,YIELDS!F$1)</f>
        <v>0</v>
      </c>
      <c r="G95" cm="1">
        <f t="array" ref="G95">_xll.VALEURCOURBE($A$27,_xlfn.CONCAT("THEME5=",$B95),SCENARIOS!$A$2,SCENARIOS!$B$2,1,YIELDS!G$1)</f>
        <v>0</v>
      </c>
      <c r="H95" cm="1">
        <f t="array" ref="H95">_xll.VALEURCOURBE($A$27,_xlfn.CONCAT("THEME5=",$B95),SCENARIOS!$A$2,SCENARIOS!$B$2,1,YIELDS!H$1)</f>
        <v>0</v>
      </c>
      <c r="I95" cm="1">
        <f t="array" ref="I95">_xll.VALEURCOURBE($A$27,_xlfn.CONCAT("THEME5=",$B95),SCENARIOS!$A$2,SCENARIOS!$B$2,1,YIELDS!I$1)</f>
        <v>0</v>
      </c>
      <c r="J95" cm="1">
        <f t="array" ref="J95">_xll.VALEURCOURBE($A$27,_xlfn.CONCAT("THEME5=",$B95),SCENARIOS!$A$2,SCENARIOS!$B$2,1,YIELDS!J$1)</f>
        <v>0</v>
      </c>
      <c r="K95" cm="1">
        <f t="array" ref="K95">_xll.VALEURCOURBE($A$27,_xlfn.CONCAT("THEME5=",$B95),SCENARIOS!$A$2,SCENARIOS!$B$2,1,YIELDS!K$1)</f>
        <v>0</v>
      </c>
      <c r="L95" cm="1">
        <f t="array" ref="L95">_xll.VALEURCOURBE($A$27,_xlfn.CONCAT("THEME5=",$B95),SCENARIOS!$A$2,SCENARIOS!$B$2,1,YIELDS!L$1)</f>
        <v>2.0299999999999998</v>
      </c>
      <c r="M95" cm="1">
        <f t="array" ref="M95">_xll.VALEURCOURBE($A$27,_xlfn.CONCAT("THEME5=",$B95),SCENARIOS!$A$2,SCENARIOS!$B$2,1,YIELDS!M$1)</f>
        <v>5.55</v>
      </c>
      <c r="N95" cm="1">
        <f t="array" ref="N95">_xll.VALEURCOURBE($A$27,_xlfn.CONCAT("THEME5=",$B95),SCENARIOS!$A$2,SCENARIOS!$B$2,1,YIELDS!N$1)</f>
        <v>9.0299999999999994</v>
      </c>
      <c r="O95" cm="1">
        <f t="array" ref="O95">_xll.VALEURCOURBE($A$27,_xlfn.CONCAT("THEME5=",$B95),SCENARIOS!$A$2,SCENARIOS!$B$2,1,YIELDS!O$1)</f>
        <v>12.42</v>
      </c>
      <c r="P95" cm="1">
        <f t="array" ref="P95">_xll.VALEURCOURBE($A$27,_xlfn.CONCAT("THEME5=",$B95),SCENARIOS!$A$2,SCENARIOS!$B$2,1,YIELDS!P$1)</f>
        <v>15.69</v>
      </c>
      <c r="Q95" cm="1">
        <f t="array" ref="Q95">_xll.VALEURCOURBE($A$27,_xlfn.CONCAT("THEME5=",$B95),SCENARIOS!$A$2,SCENARIOS!$B$2,1,YIELDS!Q$1)</f>
        <v>18.8</v>
      </c>
      <c r="R95" cm="1">
        <f t="array" ref="R95">_xll.VALEURCOURBE($A$27,_xlfn.CONCAT("THEME5=",$B95),SCENARIOS!$A$2,SCENARIOS!$B$2,1,YIELDS!R$1)</f>
        <v>21.75</v>
      </c>
      <c r="S95" cm="1">
        <f t="array" ref="S95">_xll.VALEURCOURBE($A$27,_xlfn.CONCAT("THEME5=",$B95),SCENARIOS!$A$2,SCENARIOS!$B$2,1,YIELDS!S$1)</f>
        <v>24.51</v>
      </c>
      <c r="T95" cm="1">
        <f t="array" ref="T95">_xll.VALEURCOURBE($A$27,_xlfn.CONCAT("THEME5=",$B95),SCENARIOS!$A$2,SCENARIOS!$B$2,1,YIELDS!T$1)</f>
        <v>27.09</v>
      </c>
      <c r="U95" cm="1">
        <f t="array" ref="U95">_xll.VALEURCOURBE($A$27,_xlfn.CONCAT("THEME5=",$B95),SCENARIOS!$A$2,SCENARIOS!$B$2,1,YIELDS!U$1)</f>
        <v>29.45</v>
      </c>
      <c r="V95" cm="1">
        <f t="array" ref="V95">_xll.VALEURCOURBE($A$27,_xlfn.CONCAT("THEME5=",$B95),SCENARIOS!$A$2,SCENARIOS!$B$2,1,YIELDS!V$1)</f>
        <v>31.59</v>
      </c>
    </row>
    <row r="96" spans="1:22" x14ac:dyDescent="0.25">
      <c r="A96" t="str">
        <v>YRGS225_235</v>
      </c>
      <c r="B96" t="str">
        <v>FC7248</v>
      </c>
      <c r="C96" cm="1">
        <f t="array" ref="C96">_xll.VALEURCOURBE($A$27,_xlfn.CONCAT("THEME5=",$B96),SCENARIOS!$A$2,SCENARIOS!$B$2,1,YIELDS!C$1)</f>
        <v>0</v>
      </c>
      <c r="D96" cm="1">
        <f t="array" ref="D96">_xll.VALEURCOURBE($A$27,_xlfn.CONCAT("THEME5=",$B96),SCENARIOS!$A$2,SCENARIOS!$B$2,1,YIELDS!D$1)</f>
        <v>0</v>
      </c>
      <c r="E96" cm="1">
        <f t="array" ref="E96">_xll.VALEURCOURBE($A$27,_xlfn.CONCAT("THEME5=",$B96),SCENARIOS!$A$2,SCENARIOS!$B$2,1,YIELDS!E$1)</f>
        <v>0</v>
      </c>
      <c r="F96" cm="1">
        <f t="array" ref="F96">_xll.VALEURCOURBE($A$27,_xlfn.CONCAT("THEME5=",$B96),SCENARIOS!$A$2,SCENARIOS!$B$2,1,YIELDS!F$1)</f>
        <v>0</v>
      </c>
      <c r="G96" cm="1">
        <f t="array" ref="G96">_xll.VALEURCOURBE($A$27,_xlfn.CONCAT("THEME5=",$B96),SCENARIOS!$A$2,SCENARIOS!$B$2,1,YIELDS!G$1)</f>
        <v>0</v>
      </c>
      <c r="H96" cm="1">
        <f t="array" ref="H96">_xll.VALEURCOURBE($A$27,_xlfn.CONCAT("THEME5=",$B96),SCENARIOS!$A$2,SCENARIOS!$B$2,1,YIELDS!H$1)</f>
        <v>0</v>
      </c>
      <c r="I96" cm="1">
        <f t="array" ref="I96">_xll.VALEURCOURBE($A$27,_xlfn.CONCAT("THEME5=",$B96),SCENARIOS!$A$2,SCENARIOS!$B$2,1,YIELDS!I$1)</f>
        <v>0</v>
      </c>
      <c r="J96" cm="1">
        <f t="array" ref="J96">_xll.VALEURCOURBE($A$27,_xlfn.CONCAT("THEME5=",$B96),SCENARIOS!$A$2,SCENARIOS!$B$2,1,YIELDS!J$1)</f>
        <v>0</v>
      </c>
      <c r="K96" cm="1">
        <f t="array" ref="K96">_xll.VALEURCOURBE($A$27,_xlfn.CONCAT("THEME5=",$B96),SCENARIOS!$A$2,SCENARIOS!$B$2,1,YIELDS!K$1)</f>
        <v>2.67</v>
      </c>
      <c r="L96" cm="1">
        <f t="array" ref="L96">_xll.VALEURCOURBE($A$27,_xlfn.CONCAT("THEME5=",$B96),SCENARIOS!$A$2,SCENARIOS!$B$2,1,YIELDS!L$1)</f>
        <v>8.9499999999999993</v>
      </c>
      <c r="M96" cm="1">
        <f t="array" ref="M96">_xll.VALEURCOURBE($A$27,_xlfn.CONCAT("THEME5=",$B96),SCENARIOS!$A$2,SCENARIOS!$B$2,1,YIELDS!M$1)</f>
        <v>14.76</v>
      </c>
      <c r="N96" cm="1">
        <f t="array" ref="N96">_xll.VALEURCOURBE($A$27,_xlfn.CONCAT("THEME5=",$B96),SCENARIOS!$A$2,SCENARIOS!$B$2,1,YIELDS!N$1)</f>
        <v>20.079999999999998</v>
      </c>
      <c r="O96" cm="1">
        <f t="array" ref="O96">_xll.VALEURCOURBE($A$27,_xlfn.CONCAT("THEME5=",$B96),SCENARIOS!$A$2,SCENARIOS!$B$2,1,YIELDS!O$1)</f>
        <v>24.92</v>
      </c>
      <c r="P96" cm="1">
        <f t="array" ref="P96">_xll.VALEURCOURBE($A$27,_xlfn.CONCAT("THEME5=",$B96),SCENARIOS!$A$2,SCENARIOS!$B$2,1,YIELDS!P$1)</f>
        <v>29.25</v>
      </c>
      <c r="Q96" cm="1">
        <f t="array" ref="Q96">_xll.VALEURCOURBE($A$27,_xlfn.CONCAT("THEME5=",$B96),SCENARIOS!$A$2,SCENARIOS!$B$2,1,YIELDS!Q$1)</f>
        <v>33.11</v>
      </c>
      <c r="R96" cm="1">
        <f t="array" ref="R96">_xll.VALEURCOURBE($A$27,_xlfn.CONCAT("THEME5=",$B96),SCENARIOS!$A$2,SCENARIOS!$B$2,1,YIELDS!R$1)</f>
        <v>36.520000000000003</v>
      </c>
      <c r="S96" cm="1">
        <f t="array" ref="S96">_xll.VALEURCOURBE($A$27,_xlfn.CONCAT("THEME5=",$B96),SCENARIOS!$A$2,SCENARIOS!$B$2,1,YIELDS!S$1)</f>
        <v>39.49</v>
      </c>
      <c r="T96" cm="1">
        <f t="array" ref="T96">_xll.VALEURCOURBE($A$27,_xlfn.CONCAT("THEME5=",$B96),SCENARIOS!$A$2,SCENARIOS!$B$2,1,YIELDS!T$1)</f>
        <v>42.06</v>
      </c>
      <c r="U96" cm="1">
        <f t="array" ref="U96">_xll.VALEURCOURBE($A$27,_xlfn.CONCAT("THEME5=",$B96),SCENARIOS!$A$2,SCENARIOS!$B$2,1,YIELDS!U$1)</f>
        <v>44.28</v>
      </c>
      <c r="V96" cm="1">
        <f t="array" ref="V96">_xll.VALEURCOURBE($A$27,_xlfn.CONCAT("THEME5=",$B96),SCENARIOS!$A$2,SCENARIOS!$B$2,1,YIELDS!V$1)</f>
        <v>46.15</v>
      </c>
    </row>
    <row r="97" spans="1:22" x14ac:dyDescent="0.25">
      <c r="A97" t="str">
        <v>YRGS22_225</v>
      </c>
      <c r="B97" t="str">
        <v>FC7259</v>
      </c>
      <c r="C97" cm="1">
        <f t="array" ref="C97">_xll.VALEURCOURBE($A$27,_xlfn.CONCAT("THEME5=",$B97),SCENARIOS!$A$2,SCENARIOS!$B$2,1,YIELDS!C$1)</f>
        <v>0</v>
      </c>
      <c r="D97" cm="1">
        <f t="array" ref="D97">_xll.VALEURCOURBE($A$27,_xlfn.CONCAT("THEME5=",$B97),SCENARIOS!$A$2,SCENARIOS!$B$2,1,YIELDS!D$1)</f>
        <v>0</v>
      </c>
      <c r="E97" cm="1">
        <f t="array" ref="E97">_xll.VALEURCOURBE($A$27,_xlfn.CONCAT("THEME5=",$B97),SCENARIOS!$A$2,SCENARIOS!$B$2,1,YIELDS!E$1)</f>
        <v>0</v>
      </c>
      <c r="F97" cm="1">
        <f t="array" ref="F97">_xll.VALEURCOURBE($A$27,_xlfn.CONCAT("THEME5=",$B97),SCENARIOS!$A$2,SCENARIOS!$B$2,1,YIELDS!F$1)</f>
        <v>0</v>
      </c>
      <c r="G97" cm="1">
        <f t="array" ref="G97">_xll.VALEURCOURBE($A$27,_xlfn.CONCAT("THEME5=",$B97),SCENARIOS!$A$2,SCENARIOS!$B$2,1,YIELDS!G$1)</f>
        <v>0</v>
      </c>
      <c r="H97" cm="1">
        <f t="array" ref="H97">_xll.VALEURCOURBE($A$27,_xlfn.CONCAT("THEME5=",$B97),SCENARIOS!$A$2,SCENARIOS!$B$2,1,YIELDS!H$1)</f>
        <v>0</v>
      </c>
      <c r="I97" cm="1">
        <f t="array" ref="I97">_xll.VALEURCOURBE($A$27,_xlfn.CONCAT("THEME5=",$B97),SCENARIOS!$A$2,SCENARIOS!$B$2,1,YIELDS!I$1)</f>
        <v>0</v>
      </c>
      <c r="J97" cm="1">
        <f t="array" ref="J97">_xll.VALEURCOURBE($A$27,_xlfn.CONCAT("THEME5=",$B97),SCENARIOS!$A$2,SCENARIOS!$B$2,1,YIELDS!J$1)</f>
        <v>0</v>
      </c>
      <c r="K97" cm="1">
        <f t="array" ref="K97">_xll.VALEURCOURBE($A$27,_xlfn.CONCAT("THEME5=",$B97),SCENARIOS!$A$2,SCENARIOS!$B$2,1,YIELDS!K$1)</f>
        <v>14.16</v>
      </c>
      <c r="L97" cm="1">
        <f t="array" ref="L97">_xll.VALEURCOURBE($A$27,_xlfn.CONCAT("THEME5=",$B97),SCENARIOS!$A$2,SCENARIOS!$B$2,1,YIELDS!L$1)</f>
        <v>29.82</v>
      </c>
      <c r="M97" cm="1">
        <f t="array" ref="M97">_xll.VALEURCOURBE($A$27,_xlfn.CONCAT("THEME5=",$B97),SCENARIOS!$A$2,SCENARIOS!$B$2,1,YIELDS!M$1)</f>
        <v>45.74</v>
      </c>
      <c r="N97" cm="1">
        <f t="array" ref="N97">_xll.VALEURCOURBE($A$27,_xlfn.CONCAT("THEME5=",$B97),SCENARIOS!$A$2,SCENARIOS!$B$2,1,YIELDS!N$1)</f>
        <v>61.38</v>
      </c>
      <c r="O97" cm="1">
        <f t="array" ref="O97">_xll.VALEURCOURBE($A$27,_xlfn.CONCAT("THEME5=",$B97),SCENARIOS!$A$2,SCENARIOS!$B$2,1,YIELDS!O$1)</f>
        <v>76.260000000000005</v>
      </c>
      <c r="P97" cm="1">
        <f t="array" ref="P97">_xll.VALEURCOURBE($A$27,_xlfn.CONCAT("THEME5=",$B97),SCENARIOS!$A$2,SCENARIOS!$B$2,1,YIELDS!P$1)</f>
        <v>90.09</v>
      </c>
      <c r="Q97" cm="1">
        <f t="array" ref="Q97">_xll.VALEURCOURBE($A$27,_xlfn.CONCAT("THEME5=",$B97),SCENARIOS!$A$2,SCENARIOS!$B$2,1,YIELDS!Q$1)</f>
        <v>102.59</v>
      </c>
      <c r="R97" cm="1">
        <f t="array" ref="R97">_xll.VALEURCOURBE($A$27,_xlfn.CONCAT("THEME5=",$B97),SCENARIOS!$A$2,SCENARIOS!$B$2,1,YIELDS!R$1)</f>
        <v>113.61</v>
      </c>
      <c r="S97" cm="1">
        <f t="array" ref="S97">_xll.VALEURCOURBE($A$27,_xlfn.CONCAT("THEME5=",$B97),SCENARIOS!$A$2,SCENARIOS!$B$2,1,YIELDS!S$1)</f>
        <v>123.06</v>
      </c>
      <c r="T97" cm="1">
        <f t="array" ref="T97">_xll.VALEURCOURBE($A$27,_xlfn.CONCAT("THEME5=",$B97),SCENARIOS!$A$2,SCENARIOS!$B$2,1,YIELDS!T$1)</f>
        <v>130.91999999999999</v>
      </c>
      <c r="U97" cm="1">
        <f t="array" ref="U97">_xll.VALEURCOURBE($A$27,_xlfn.CONCAT("THEME5=",$B97),SCENARIOS!$A$2,SCENARIOS!$B$2,1,YIELDS!U$1)</f>
        <v>137.19999999999999</v>
      </c>
      <c r="V97" cm="1">
        <f t="array" ref="V97">_xll.VALEURCOURBE($A$27,_xlfn.CONCAT("THEME5=",$B97),SCENARIOS!$A$2,SCENARIOS!$B$2,1,YIELDS!V$1)</f>
        <v>141.99</v>
      </c>
    </row>
    <row r="98" spans="1:22" x14ac:dyDescent="0.25">
      <c r="A98" t="str">
        <v>YRGS22_24</v>
      </c>
      <c r="B98" t="str">
        <v>FC7263</v>
      </c>
      <c r="C98" cm="1">
        <f t="array" ref="C98">_xll.VALEURCOURBE($A$27,_xlfn.CONCAT("THEME5=",$B98),SCENARIOS!$A$2,SCENARIOS!$B$2,1,YIELDS!C$1)</f>
        <v>0</v>
      </c>
      <c r="D98" cm="1">
        <f t="array" ref="D98">_xll.VALEURCOURBE($A$27,_xlfn.CONCAT("THEME5=",$B98),SCENARIOS!$A$2,SCENARIOS!$B$2,1,YIELDS!D$1)</f>
        <v>0</v>
      </c>
      <c r="E98" cm="1">
        <f t="array" ref="E98">_xll.VALEURCOURBE($A$27,_xlfn.CONCAT("THEME5=",$B98),SCENARIOS!$A$2,SCENARIOS!$B$2,1,YIELDS!E$1)</f>
        <v>0</v>
      </c>
      <c r="F98" cm="1">
        <f t="array" ref="F98">_xll.VALEURCOURBE($A$27,_xlfn.CONCAT("THEME5=",$B98),SCENARIOS!$A$2,SCENARIOS!$B$2,1,YIELDS!F$1)</f>
        <v>0</v>
      </c>
      <c r="G98" cm="1">
        <f t="array" ref="G98">_xll.VALEURCOURBE($A$27,_xlfn.CONCAT("THEME5=",$B98),SCENARIOS!$A$2,SCENARIOS!$B$2,1,YIELDS!G$1)</f>
        <v>0</v>
      </c>
      <c r="H98" cm="1">
        <f t="array" ref="H98">_xll.VALEURCOURBE($A$27,_xlfn.CONCAT("THEME5=",$B98),SCENARIOS!$A$2,SCENARIOS!$B$2,1,YIELDS!H$1)</f>
        <v>0</v>
      </c>
      <c r="I98" cm="1">
        <f t="array" ref="I98">_xll.VALEURCOURBE($A$27,_xlfn.CONCAT("THEME5=",$B98),SCENARIOS!$A$2,SCENARIOS!$B$2,1,YIELDS!I$1)</f>
        <v>10.55</v>
      </c>
      <c r="J98" cm="1">
        <f t="array" ref="J98">_xll.VALEURCOURBE($A$27,_xlfn.CONCAT("THEME5=",$B98),SCENARIOS!$A$2,SCENARIOS!$B$2,1,YIELDS!J$1)</f>
        <v>25.72</v>
      </c>
      <c r="K98" cm="1">
        <f t="array" ref="K98">_xll.VALEURCOURBE($A$27,_xlfn.CONCAT("THEME5=",$B98),SCENARIOS!$A$2,SCENARIOS!$B$2,1,YIELDS!K$1)</f>
        <v>41.4</v>
      </c>
      <c r="L98" cm="1">
        <f t="array" ref="L98">_xll.VALEURCOURBE($A$27,_xlfn.CONCAT("THEME5=",$B98),SCENARIOS!$A$2,SCENARIOS!$B$2,1,YIELDS!L$1)</f>
        <v>56.75</v>
      </c>
      <c r="M98" cm="1">
        <f t="array" ref="M98">_xll.VALEURCOURBE($A$27,_xlfn.CONCAT("THEME5=",$B98),SCENARIOS!$A$2,SCENARIOS!$B$2,1,YIELDS!M$1)</f>
        <v>71.11</v>
      </c>
      <c r="N98" cm="1">
        <f t="array" ref="N98">_xll.VALEURCOURBE($A$27,_xlfn.CONCAT("THEME5=",$B98),SCENARIOS!$A$2,SCENARIOS!$B$2,1,YIELDS!N$1)</f>
        <v>84.04</v>
      </c>
      <c r="O98" cm="1">
        <f t="array" ref="O98">_xll.VALEURCOURBE($A$27,_xlfn.CONCAT("THEME5=",$B98),SCENARIOS!$A$2,SCENARIOS!$B$2,1,YIELDS!O$1)</f>
        <v>95.25</v>
      </c>
      <c r="P98" cm="1">
        <f t="array" ref="P98">_xll.VALEURCOURBE($A$27,_xlfn.CONCAT("THEME5=",$B98),SCENARIOS!$A$2,SCENARIOS!$B$2,1,YIELDS!P$1)</f>
        <v>104.6</v>
      </c>
      <c r="Q98" cm="1">
        <f t="array" ref="Q98">_xll.VALEURCOURBE($A$27,_xlfn.CONCAT("THEME5=",$B98),SCENARIOS!$A$2,SCENARIOS!$B$2,1,YIELDS!Q$1)</f>
        <v>112.05</v>
      </c>
      <c r="R98" cm="1">
        <f t="array" ref="R98">_xll.VALEURCOURBE($A$27,_xlfn.CONCAT("THEME5=",$B98),SCENARIOS!$A$2,SCENARIOS!$B$2,1,YIELDS!R$1)</f>
        <v>117.68</v>
      </c>
      <c r="S98" cm="1">
        <f t="array" ref="S98">_xll.VALEURCOURBE($A$27,_xlfn.CONCAT("THEME5=",$B98),SCENARIOS!$A$2,SCENARIOS!$B$2,1,YIELDS!S$1)</f>
        <v>121.56</v>
      </c>
      <c r="T98" cm="1">
        <f t="array" ref="T98">_xll.VALEURCOURBE($A$27,_xlfn.CONCAT("THEME5=",$B98),SCENARIOS!$A$2,SCENARIOS!$B$2,1,YIELDS!T$1)</f>
        <v>123.89</v>
      </c>
      <c r="U98" cm="1">
        <f t="array" ref="U98">_xll.VALEURCOURBE($A$27,_xlfn.CONCAT("THEME5=",$B98),SCENARIOS!$A$2,SCENARIOS!$B$2,1,YIELDS!U$1)</f>
        <v>124.85</v>
      </c>
      <c r="V98" cm="1">
        <f t="array" ref="V98">_xll.VALEURCOURBE($A$27,_xlfn.CONCAT("THEME5=",$B98),SCENARIOS!$A$2,SCENARIOS!$B$2,1,YIELDS!V$1)</f>
        <v>124.64</v>
      </c>
    </row>
    <row r="99" spans="1:22" x14ac:dyDescent="0.25">
      <c r="A99" t="str">
        <v>YRGS235_245</v>
      </c>
      <c r="B99" t="str">
        <v>FC7267</v>
      </c>
      <c r="C99" cm="1">
        <f t="array" ref="C99">_xll.VALEURCOURBE($A$27,_xlfn.CONCAT("THEME5=",$B99),SCENARIOS!$A$2,SCENARIOS!$B$2,1,YIELDS!C$1)</f>
        <v>0</v>
      </c>
      <c r="D99" cm="1">
        <f t="array" ref="D99">_xll.VALEURCOURBE($A$27,_xlfn.CONCAT("THEME5=",$B99),SCENARIOS!$A$2,SCENARIOS!$B$2,1,YIELDS!D$1)</f>
        <v>0</v>
      </c>
      <c r="E99" cm="1">
        <f t="array" ref="E99">_xll.VALEURCOURBE($A$27,_xlfn.CONCAT("THEME5=",$B99),SCENARIOS!$A$2,SCENARIOS!$B$2,1,YIELDS!E$1)</f>
        <v>0</v>
      </c>
      <c r="F99" cm="1">
        <f t="array" ref="F99">_xll.VALEURCOURBE($A$27,_xlfn.CONCAT("THEME5=",$B99),SCENARIOS!$A$2,SCENARIOS!$B$2,1,YIELDS!F$1)</f>
        <v>0</v>
      </c>
      <c r="G99" cm="1">
        <f t="array" ref="G99">_xll.VALEURCOURBE($A$27,_xlfn.CONCAT("THEME5=",$B99),SCENARIOS!$A$2,SCENARIOS!$B$2,1,YIELDS!G$1)</f>
        <v>0</v>
      </c>
      <c r="H99" cm="1">
        <f t="array" ref="H99">_xll.VALEURCOURBE($A$27,_xlfn.CONCAT("THEME5=",$B99),SCENARIOS!$A$2,SCENARIOS!$B$2,1,YIELDS!H$1)</f>
        <v>0</v>
      </c>
      <c r="I99" cm="1">
        <f t="array" ref="I99">_xll.VALEURCOURBE($A$27,_xlfn.CONCAT("THEME5=",$B99),SCENARIOS!$A$2,SCENARIOS!$B$2,1,YIELDS!I$1)</f>
        <v>10.55</v>
      </c>
      <c r="J99" cm="1">
        <f t="array" ref="J99">_xll.VALEURCOURBE($A$27,_xlfn.CONCAT("THEME5=",$B99),SCENARIOS!$A$2,SCENARIOS!$B$2,1,YIELDS!J$1)</f>
        <v>25.72</v>
      </c>
      <c r="K99" cm="1">
        <f t="array" ref="K99">_xll.VALEURCOURBE($A$27,_xlfn.CONCAT("THEME5=",$B99),SCENARIOS!$A$2,SCENARIOS!$B$2,1,YIELDS!K$1)</f>
        <v>41.4</v>
      </c>
      <c r="L99" cm="1">
        <f t="array" ref="L99">_xll.VALEURCOURBE($A$27,_xlfn.CONCAT("THEME5=",$B99),SCENARIOS!$A$2,SCENARIOS!$B$2,1,YIELDS!L$1)</f>
        <v>56.75</v>
      </c>
      <c r="M99" cm="1">
        <f t="array" ref="M99">_xll.VALEURCOURBE($A$27,_xlfn.CONCAT("THEME5=",$B99),SCENARIOS!$A$2,SCENARIOS!$B$2,1,YIELDS!M$1)</f>
        <v>71.11</v>
      </c>
      <c r="N99" cm="1">
        <f t="array" ref="N99">_xll.VALEURCOURBE($A$27,_xlfn.CONCAT("THEME5=",$B99),SCENARIOS!$A$2,SCENARIOS!$B$2,1,YIELDS!N$1)</f>
        <v>84.04</v>
      </c>
      <c r="O99" cm="1">
        <f t="array" ref="O99">_xll.VALEURCOURBE($A$27,_xlfn.CONCAT("THEME5=",$B99),SCENARIOS!$A$2,SCENARIOS!$B$2,1,YIELDS!O$1)</f>
        <v>95.25</v>
      </c>
      <c r="P99" cm="1">
        <f t="array" ref="P99">_xll.VALEURCOURBE($A$27,_xlfn.CONCAT("THEME5=",$B99),SCENARIOS!$A$2,SCENARIOS!$B$2,1,YIELDS!P$1)</f>
        <v>104.6</v>
      </c>
      <c r="Q99" cm="1">
        <f t="array" ref="Q99">_xll.VALEURCOURBE($A$27,_xlfn.CONCAT("THEME5=",$B99),SCENARIOS!$A$2,SCENARIOS!$B$2,1,YIELDS!Q$1)</f>
        <v>112.05</v>
      </c>
      <c r="R99" cm="1">
        <f t="array" ref="R99">_xll.VALEURCOURBE($A$27,_xlfn.CONCAT("THEME5=",$B99),SCENARIOS!$A$2,SCENARIOS!$B$2,1,YIELDS!R$1)</f>
        <v>117.68</v>
      </c>
      <c r="S99" cm="1">
        <f t="array" ref="S99">_xll.VALEURCOURBE($A$27,_xlfn.CONCAT("THEME5=",$B99),SCENARIOS!$A$2,SCENARIOS!$B$2,1,YIELDS!S$1)</f>
        <v>121.56</v>
      </c>
      <c r="T99" cm="1">
        <f t="array" ref="T99">_xll.VALEURCOURBE($A$27,_xlfn.CONCAT("THEME5=",$B99),SCENARIOS!$A$2,SCENARIOS!$B$2,1,YIELDS!T$1)</f>
        <v>123.89</v>
      </c>
      <c r="U99" cm="1">
        <f t="array" ref="U99">_xll.VALEURCOURBE($A$27,_xlfn.CONCAT("THEME5=",$B99),SCENARIOS!$A$2,SCENARIOS!$B$2,1,YIELDS!U$1)</f>
        <v>124.85</v>
      </c>
      <c r="V99" cm="1">
        <f t="array" ref="V99">_xll.VALEURCOURBE($A$27,_xlfn.CONCAT("THEME5=",$B99),SCENARIOS!$A$2,SCENARIOS!$B$2,1,YIELDS!V$1)</f>
        <v>124.64</v>
      </c>
    </row>
    <row r="100" spans="1:22" x14ac:dyDescent="0.25">
      <c r="A100" t="str">
        <v>YRGS23_24</v>
      </c>
      <c r="B100" t="str">
        <v>FC7271</v>
      </c>
      <c r="C100" cm="1">
        <f t="array" ref="C100">_xll.VALEURCOURBE($A$27,_xlfn.CONCAT("THEME5=",$B100),SCENARIOS!$A$2,SCENARIOS!$B$2,1,YIELDS!C$1)</f>
        <v>0</v>
      </c>
      <c r="D100" cm="1">
        <f t="array" ref="D100">_xll.VALEURCOURBE($A$27,_xlfn.CONCAT("THEME5=",$B100),SCENARIOS!$A$2,SCENARIOS!$B$2,1,YIELDS!D$1)</f>
        <v>0</v>
      </c>
      <c r="E100" cm="1">
        <f t="array" ref="E100">_xll.VALEURCOURBE($A$27,_xlfn.CONCAT("THEME5=",$B100),SCENARIOS!$A$2,SCENARIOS!$B$2,1,YIELDS!E$1)</f>
        <v>0</v>
      </c>
      <c r="F100" cm="1">
        <f t="array" ref="F100">_xll.VALEURCOURBE($A$27,_xlfn.CONCAT("THEME5=",$B100),SCENARIOS!$A$2,SCENARIOS!$B$2,1,YIELDS!F$1)</f>
        <v>0.01</v>
      </c>
      <c r="G100" cm="1">
        <f t="array" ref="G100">_xll.VALEURCOURBE($A$27,_xlfn.CONCAT("THEME5=",$B100),SCENARIOS!$A$2,SCENARIOS!$B$2,1,YIELDS!G$1)</f>
        <v>1.03</v>
      </c>
      <c r="H100" cm="1">
        <f t="array" ref="H100">_xll.VALEURCOURBE($A$27,_xlfn.CONCAT("THEME5=",$B100),SCENARIOS!$A$2,SCENARIOS!$B$2,1,YIELDS!H$1)</f>
        <v>2.06</v>
      </c>
      <c r="I100" cm="1">
        <f t="array" ref="I100">_xll.VALEURCOURBE($A$27,_xlfn.CONCAT("THEME5=",$B100),SCENARIOS!$A$2,SCENARIOS!$B$2,1,YIELDS!I$1)</f>
        <v>3.08</v>
      </c>
      <c r="J100" cm="1">
        <f t="array" ref="J100">_xll.VALEURCOURBE($A$27,_xlfn.CONCAT("THEME5=",$B100),SCENARIOS!$A$2,SCENARIOS!$B$2,1,YIELDS!J$1)</f>
        <v>4.1399999999999997</v>
      </c>
      <c r="K100" cm="1">
        <f t="array" ref="K100">_xll.VALEURCOURBE($A$27,_xlfn.CONCAT("THEME5=",$B100),SCENARIOS!$A$2,SCENARIOS!$B$2,1,YIELDS!K$1)</f>
        <v>5.33</v>
      </c>
      <c r="L100" cm="1">
        <f t="array" ref="L100">_xll.VALEURCOURBE($A$27,_xlfn.CONCAT("THEME5=",$B100),SCENARIOS!$A$2,SCENARIOS!$B$2,1,YIELDS!L$1)</f>
        <v>6.56</v>
      </c>
      <c r="M100" cm="1">
        <f t="array" ref="M100">_xll.VALEURCOURBE($A$27,_xlfn.CONCAT("THEME5=",$B100),SCENARIOS!$A$2,SCENARIOS!$B$2,1,YIELDS!M$1)</f>
        <v>7.79</v>
      </c>
      <c r="N100" cm="1">
        <f t="array" ref="N100">_xll.VALEURCOURBE($A$27,_xlfn.CONCAT("THEME5=",$B100),SCENARIOS!$A$2,SCENARIOS!$B$2,1,YIELDS!N$1)</f>
        <v>8.98</v>
      </c>
      <c r="O100" cm="1">
        <f t="array" ref="O100">_xll.VALEURCOURBE($A$27,_xlfn.CONCAT("THEME5=",$B100),SCENARIOS!$A$2,SCENARIOS!$B$2,1,YIELDS!O$1)</f>
        <v>10.09</v>
      </c>
      <c r="P100" cm="1">
        <f t="array" ref="P100">_xll.VALEURCOURBE($A$27,_xlfn.CONCAT("THEME5=",$B100),SCENARIOS!$A$2,SCENARIOS!$B$2,1,YIELDS!P$1)</f>
        <v>11.13</v>
      </c>
      <c r="Q100" cm="1">
        <f t="array" ref="Q100">_xll.VALEURCOURBE($A$27,_xlfn.CONCAT("THEME5=",$B100),SCENARIOS!$A$2,SCENARIOS!$B$2,1,YIELDS!Q$1)</f>
        <v>12.05</v>
      </c>
      <c r="R100" cm="1">
        <f t="array" ref="R100">_xll.VALEURCOURBE($A$27,_xlfn.CONCAT("THEME5=",$B100),SCENARIOS!$A$2,SCENARIOS!$B$2,1,YIELDS!R$1)</f>
        <v>12.86</v>
      </c>
      <c r="S100" cm="1">
        <f t="array" ref="S100">_xll.VALEURCOURBE($A$27,_xlfn.CONCAT("THEME5=",$B100),SCENARIOS!$A$2,SCENARIOS!$B$2,1,YIELDS!S$1)</f>
        <v>13.55</v>
      </c>
      <c r="T100" cm="1">
        <f t="array" ref="T100">_xll.VALEURCOURBE($A$27,_xlfn.CONCAT("THEME5=",$B100),SCENARIOS!$A$2,SCENARIOS!$B$2,1,YIELDS!T$1)</f>
        <v>14.11</v>
      </c>
      <c r="U100" cm="1">
        <f t="array" ref="U100">_xll.VALEURCOURBE($A$27,_xlfn.CONCAT("THEME5=",$B100),SCENARIOS!$A$2,SCENARIOS!$B$2,1,YIELDS!U$1)</f>
        <v>14.58</v>
      </c>
      <c r="V100" cm="1">
        <f t="array" ref="V100">_xll.VALEURCOURBE($A$27,_xlfn.CONCAT("THEME5=",$B100),SCENARIOS!$A$2,SCENARIOS!$B$2,1,YIELDS!V$1)</f>
        <v>14.92</v>
      </c>
    </row>
    <row r="101" spans="1:22" x14ac:dyDescent="0.25">
      <c r="A101" t="str">
        <v>YRGS23_26</v>
      </c>
      <c r="B101" t="str">
        <v>FC7279</v>
      </c>
      <c r="C101" cm="1">
        <f t="array" ref="C101">_xll.VALEURCOURBE($A$27,_xlfn.CONCAT("THEME5=",$B101),SCENARIOS!$A$2,SCENARIOS!$B$2,1,YIELDS!C$1)</f>
        <v>0</v>
      </c>
      <c r="D101" cm="1">
        <f t="array" ref="D101">_xll.VALEURCOURBE($A$27,_xlfn.CONCAT("THEME5=",$B101),SCENARIOS!$A$2,SCENARIOS!$B$2,1,YIELDS!D$1)</f>
        <v>0</v>
      </c>
      <c r="E101" cm="1">
        <f t="array" ref="E101">_xll.VALEURCOURBE($A$27,_xlfn.CONCAT("THEME5=",$B101),SCENARIOS!$A$2,SCENARIOS!$B$2,1,YIELDS!E$1)</f>
        <v>0</v>
      </c>
      <c r="F101" cm="1">
        <f t="array" ref="F101">_xll.VALEURCOURBE($A$27,_xlfn.CONCAT("THEME5=",$B101),SCENARIOS!$A$2,SCENARIOS!$B$2,1,YIELDS!F$1)</f>
        <v>0</v>
      </c>
      <c r="G101" cm="1">
        <f t="array" ref="G101">_xll.VALEURCOURBE($A$27,_xlfn.CONCAT("THEME5=",$B101),SCENARIOS!$A$2,SCENARIOS!$B$2,1,YIELDS!G$1)</f>
        <v>0</v>
      </c>
      <c r="H101" cm="1">
        <f t="array" ref="H101">_xll.VALEURCOURBE($A$27,_xlfn.CONCAT("THEME5=",$B101),SCENARIOS!$A$2,SCENARIOS!$B$2,1,YIELDS!H$1)</f>
        <v>1.04</v>
      </c>
      <c r="I101" cm="1">
        <f t="array" ref="I101">_xll.VALEURCOURBE($A$27,_xlfn.CONCAT("THEME5=",$B101),SCENARIOS!$A$2,SCENARIOS!$B$2,1,YIELDS!I$1)</f>
        <v>3.47</v>
      </c>
      <c r="J101" cm="1">
        <f t="array" ref="J101">_xll.VALEURCOURBE($A$27,_xlfn.CONCAT("THEME5=",$B101),SCENARIOS!$A$2,SCENARIOS!$B$2,1,YIELDS!J$1)</f>
        <v>5.98</v>
      </c>
      <c r="K101" cm="1">
        <f t="array" ref="K101">_xll.VALEURCOURBE($A$27,_xlfn.CONCAT("THEME5=",$B101),SCENARIOS!$A$2,SCENARIOS!$B$2,1,YIELDS!K$1)</f>
        <v>8.51</v>
      </c>
      <c r="L101" cm="1">
        <f t="array" ref="L101">_xll.VALEURCOURBE($A$27,_xlfn.CONCAT("THEME5=",$B101),SCENARIOS!$A$2,SCENARIOS!$B$2,1,YIELDS!L$1)</f>
        <v>11</v>
      </c>
      <c r="M101" cm="1">
        <f t="array" ref="M101">_xll.VALEURCOURBE($A$27,_xlfn.CONCAT("THEME5=",$B101),SCENARIOS!$A$2,SCENARIOS!$B$2,1,YIELDS!M$1)</f>
        <v>13.42</v>
      </c>
      <c r="N101" cm="1">
        <f t="array" ref="N101">_xll.VALEURCOURBE($A$27,_xlfn.CONCAT("THEME5=",$B101),SCENARIOS!$A$2,SCENARIOS!$B$2,1,YIELDS!N$1)</f>
        <v>15.73</v>
      </c>
      <c r="O101" cm="1">
        <f t="array" ref="O101">_xll.VALEURCOURBE($A$27,_xlfn.CONCAT("THEME5=",$B101),SCENARIOS!$A$2,SCENARIOS!$B$2,1,YIELDS!O$1)</f>
        <v>17.88</v>
      </c>
      <c r="P101" cm="1">
        <f t="array" ref="P101">_xll.VALEURCOURBE($A$27,_xlfn.CONCAT("THEME5=",$B101),SCENARIOS!$A$2,SCENARIOS!$B$2,1,YIELDS!P$1)</f>
        <v>19.87</v>
      </c>
      <c r="Q101" cm="1">
        <f t="array" ref="Q101">_xll.VALEURCOURBE($A$27,_xlfn.CONCAT("THEME5=",$B101),SCENARIOS!$A$2,SCENARIOS!$B$2,1,YIELDS!Q$1)</f>
        <v>21.67</v>
      </c>
      <c r="R101" cm="1">
        <f t="array" ref="R101">_xll.VALEURCOURBE($A$27,_xlfn.CONCAT("THEME5=",$B101),SCENARIOS!$A$2,SCENARIOS!$B$2,1,YIELDS!R$1)</f>
        <v>23.29</v>
      </c>
      <c r="S101" cm="1">
        <f t="array" ref="S101">_xll.VALEURCOURBE($A$27,_xlfn.CONCAT("THEME5=",$B101),SCENARIOS!$A$2,SCENARIOS!$B$2,1,YIELDS!S$1)</f>
        <v>24.71</v>
      </c>
      <c r="T101" cm="1">
        <f t="array" ref="T101">_xll.VALEURCOURBE($A$27,_xlfn.CONCAT("THEME5=",$B101),SCENARIOS!$A$2,SCENARIOS!$B$2,1,YIELDS!T$1)</f>
        <v>25.94</v>
      </c>
      <c r="U101" cm="1">
        <f t="array" ref="U101">_xll.VALEURCOURBE($A$27,_xlfn.CONCAT("THEME5=",$B101),SCENARIOS!$A$2,SCENARIOS!$B$2,1,YIELDS!U$1)</f>
        <v>26.96</v>
      </c>
      <c r="V101" cm="1">
        <f t="array" ref="V101">_xll.VALEURCOURBE($A$27,_xlfn.CONCAT("THEME5=",$B101),SCENARIOS!$A$2,SCENARIOS!$B$2,1,YIELDS!V$1)</f>
        <v>27.8</v>
      </c>
    </row>
    <row r="102" spans="1:22" x14ac:dyDescent="0.25">
      <c r="A102" t="str">
        <v>YRGS245_255</v>
      </c>
      <c r="B102" t="str">
        <v>FC7280</v>
      </c>
      <c r="C102" cm="1">
        <f t="array" ref="C102">_xll.VALEURCOURBE($A$27,_xlfn.CONCAT("THEME5=",$B102),SCENARIOS!$A$2,SCENARIOS!$B$2,1,YIELDS!C$1)</f>
        <v>0</v>
      </c>
      <c r="D102" cm="1">
        <f t="array" ref="D102">_xll.VALEURCOURBE($A$27,_xlfn.CONCAT("THEME5=",$B102),SCENARIOS!$A$2,SCENARIOS!$B$2,1,YIELDS!D$1)</f>
        <v>0</v>
      </c>
      <c r="E102" cm="1">
        <f t="array" ref="E102">_xll.VALEURCOURBE($A$27,_xlfn.CONCAT("THEME5=",$B102),SCENARIOS!$A$2,SCENARIOS!$B$2,1,YIELDS!E$1)</f>
        <v>0</v>
      </c>
      <c r="F102" cm="1">
        <f t="array" ref="F102">_xll.VALEURCOURBE($A$27,_xlfn.CONCAT("THEME5=",$B102),SCENARIOS!$A$2,SCENARIOS!$B$2,1,YIELDS!F$1)</f>
        <v>0</v>
      </c>
      <c r="G102" cm="1">
        <f t="array" ref="G102">_xll.VALEURCOURBE($A$27,_xlfn.CONCAT("THEME5=",$B102),SCENARIOS!$A$2,SCENARIOS!$B$2,1,YIELDS!G$1)</f>
        <v>0</v>
      </c>
      <c r="H102" cm="1">
        <f t="array" ref="H102">_xll.VALEURCOURBE($A$27,_xlfn.CONCAT("THEME5=",$B102),SCENARIOS!$A$2,SCENARIOS!$B$2,1,YIELDS!H$1)</f>
        <v>2.0299999999999998</v>
      </c>
      <c r="I102" cm="1">
        <f t="array" ref="I102">_xll.VALEURCOURBE($A$27,_xlfn.CONCAT("THEME5=",$B102),SCENARIOS!$A$2,SCENARIOS!$B$2,1,YIELDS!I$1)</f>
        <v>6.14</v>
      </c>
      <c r="J102" cm="1">
        <f t="array" ref="J102">_xll.VALEURCOURBE($A$27,_xlfn.CONCAT("THEME5=",$B102),SCENARIOS!$A$2,SCENARIOS!$B$2,1,YIELDS!J$1)</f>
        <v>10.8</v>
      </c>
      <c r="K102" cm="1">
        <f t="array" ref="K102">_xll.VALEURCOURBE($A$27,_xlfn.CONCAT("THEME5=",$B102),SCENARIOS!$A$2,SCENARIOS!$B$2,1,YIELDS!K$1)</f>
        <v>15.69</v>
      </c>
      <c r="L102" cm="1">
        <f t="array" ref="L102">_xll.VALEURCOURBE($A$27,_xlfn.CONCAT("THEME5=",$B102),SCENARIOS!$A$2,SCENARIOS!$B$2,1,YIELDS!L$1)</f>
        <v>20.58</v>
      </c>
      <c r="M102" cm="1">
        <f t="array" ref="M102">_xll.VALEURCOURBE($A$27,_xlfn.CONCAT("THEME5=",$B102),SCENARIOS!$A$2,SCENARIOS!$B$2,1,YIELDS!M$1)</f>
        <v>25.26</v>
      </c>
      <c r="N102" cm="1">
        <f t="array" ref="N102">_xll.VALEURCOURBE($A$27,_xlfn.CONCAT("THEME5=",$B102),SCENARIOS!$A$2,SCENARIOS!$B$2,1,YIELDS!N$1)</f>
        <v>29.58</v>
      </c>
      <c r="O102" cm="1">
        <f t="array" ref="O102">_xll.VALEURCOURBE($A$27,_xlfn.CONCAT("THEME5=",$B102),SCENARIOS!$A$2,SCENARIOS!$B$2,1,YIELDS!O$1)</f>
        <v>33.450000000000003</v>
      </c>
      <c r="P102" cm="1">
        <f t="array" ref="P102">_xll.VALEURCOURBE($A$27,_xlfn.CONCAT("THEME5=",$B102),SCENARIOS!$A$2,SCENARIOS!$B$2,1,YIELDS!P$1)</f>
        <v>36.799999999999997</v>
      </c>
      <c r="Q102" cm="1">
        <f t="array" ref="Q102">_xll.VALEURCOURBE($A$27,_xlfn.CONCAT("THEME5=",$B102),SCENARIOS!$A$2,SCENARIOS!$B$2,1,YIELDS!Q$1)</f>
        <v>39.6</v>
      </c>
      <c r="R102" cm="1">
        <f t="array" ref="R102">_xll.VALEURCOURBE($A$27,_xlfn.CONCAT("THEME5=",$B102),SCENARIOS!$A$2,SCENARIOS!$B$2,1,YIELDS!R$1)</f>
        <v>41.84</v>
      </c>
      <c r="S102" cm="1">
        <f t="array" ref="S102">_xll.VALEURCOURBE($A$27,_xlfn.CONCAT("THEME5=",$B102),SCENARIOS!$A$2,SCENARIOS!$B$2,1,YIELDS!S$1)</f>
        <v>43.54</v>
      </c>
      <c r="T102" cm="1">
        <f t="array" ref="T102">_xll.VALEURCOURBE($A$27,_xlfn.CONCAT("THEME5=",$B102),SCENARIOS!$A$2,SCENARIOS!$B$2,1,YIELDS!T$1)</f>
        <v>44.73</v>
      </c>
      <c r="U102" cm="1">
        <f t="array" ref="U102">_xll.VALEURCOURBE($A$27,_xlfn.CONCAT("THEME5=",$B102),SCENARIOS!$A$2,SCENARIOS!$B$2,1,YIELDS!U$1)</f>
        <v>45.46</v>
      </c>
      <c r="V102" cm="1">
        <f t="array" ref="V102">_xll.VALEURCOURBE($A$27,_xlfn.CONCAT("THEME5=",$B102),SCENARIOS!$A$2,SCENARIOS!$B$2,1,YIELDS!V$1)</f>
        <v>45.76</v>
      </c>
    </row>
    <row r="103" spans="1:22" x14ac:dyDescent="0.25">
      <c r="A103" t="str">
        <v>YRGS24_25</v>
      </c>
      <c r="B103" t="str">
        <v>FC7284</v>
      </c>
      <c r="C103" cm="1">
        <f t="array" ref="C103">_xll.VALEURCOURBE($A$27,_xlfn.CONCAT("THEME5=",$B103),SCENARIOS!$A$2,SCENARIOS!$B$2,1,YIELDS!C$1)</f>
        <v>0</v>
      </c>
      <c r="D103" cm="1">
        <f t="array" ref="D103">_xll.VALEURCOURBE($A$27,_xlfn.CONCAT("THEME5=",$B103),SCENARIOS!$A$2,SCENARIOS!$B$2,1,YIELDS!D$1)</f>
        <v>0</v>
      </c>
      <c r="E103" cm="1">
        <f t="array" ref="E103">_xll.VALEURCOURBE($A$27,_xlfn.CONCAT("THEME5=",$B103),SCENARIOS!$A$2,SCENARIOS!$B$2,1,YIELDS!E$1)</f>
        <v>0</v>
      </c>
      <c r="F103" cm="1">
        <f t="array" ref="F103">_xll.VALEURCOURBE($A$27,_xlfn.CONCAT("THEME5=",$B103),SCENARIOS!$A$2,SCENARIOS!$B$2,1,YIELDS!F$1)</f>
        <v>0</v>
      </c>
      <c r="G103" cm="1">
        <f t="array" ref="G103">_xll.VALEURCOURBE($A$27,_xlfn.CONCAT("THEME5=",$B103),SCENARIOS!$A$2,SCENARIOS!$B$2,1,YIELDS!G$1)</f>
        <v>0</v>
      </c>
      <c r="H103" cm="1">
        <f t="array" ref="H103">_xll.VALEURCOURBE($A$27,_xlfn.CONCAT("THEME5=",$B103),SCENARIOS!$A$2,SCENARIOS!$B$2,1,YIELDS!H$1)</f>
        <v>4.29</v>
      </c>
      <c r="I103" cm="1">
        <f t="array" ref="I103">_xll.VALEURCOURBE($A$27,_xlfn.CONCAT("THEME5=",$B103),SCENARIOS!$A$2,SCENARIOS!$B$2,1,YIELDS!I$1)</f>
        <v>11.78</v>
      </c>
      <c r="J103" cm="1">
        <f t="array" ref="J103">_xll.VALEURCOURBE($A$27,_xlfn.CONCAT("THEME5=",$B103),SCENARIOS!$A$2,SCENARIOS!$B$2,1,YIELDS!J$1)</f>
        <v>19.850000000000001</v>
      </c>
      <c r="K103" cm="1">
        <f t="array" ref="K103">_xll.VALEURCOURBE($A$27,_xlfn.CONCAT("THEME5=",$B103),SCENARIOS!$A$2,SCENARIOS!$B$2,1,YIELDS!K$1)</f>
        <v>28.05</v>
      </c>
      <c r="L103" cm="1">
        <f t="array" ref="L103">_xll.VALEURCOURBE($A$27,_xlfn.CONCAT("THEME5=",$B103),SCENARIOS!$A$2,SCENARIOS!$B$2,1,YIELDS!L$1)</f>
        <v>36.03</v>
      </c>
      <c r="M103" cm="1">
        <f t="array" ref="M103">_xll.VALEURCOURBE($A$27,_xlfn.CONCAT("THEME5=",$B103),SCENARIOS!$A$2,SCENARIOS!$B$2,1,YIELDS!M$1)</f>
        <v>43.51</v>
      </c>
      <c r="N103" cm="1">
        <f t="array" ref="N103">_xll.VALEURCOURBE($A$27,_xlfn.CONCAT("THEME5=",$B103),SCENARIOS!$A$2,SCENARIOS!$B$2,1,YIELDS!N$1)</f>
        <v>50.31</v>
      </c>
      <c r="O103" cm="1">
        <f t="array" ref="O103">_xll.VALEURCOURBE($A$27,_xlfn.CONCAT("THEME5=",$B103),SCENARIOS!$A$2,SCENARIOS!$B$2,1,YIELDS!O$1)</f>
        <v>56.3</v>
      </c>
      <c r="P103" cm="1">
        <f t="array" ref="P103">_xll.VALEURCOURBE($A$27,_xlfn.CONCAT("THEME5=",$B103),SCENARIOS!$A$2,SCENARIOS!$B$2,1,YIELDS!P$1)</f>
        <v>61.41</v>
      </c>
      <c r="Q103" cm="1">
        <f t="array" ref="Q103">_xll.VALEURCOURBE($A$27,_xlfn.CONCAT("THEME5=",$B103),SCENARIOS!$A$2,SCENARIOS!$B$2,1,YIELDS!Q$1)</f>
        <v>65.61</v>
      </c>
      <c r="R103" cm="1">
        <f t="array" ref="R103">_xll.VALEURCOURBE($A$27,_xlfn.CONCAT("THEME5=",$B103),SCENARIOS!$A$2,SCENARIOS!$B$2,1,YIELDS!R$1)</f>
        <v>68.900000000000006</v>
      </c>
      <c r="S103" cm="1">
        <f t="array" ref="S103">_xll.VALEURCOURBE($A$27,_xlfn.CONCAT("THEME5=",$B103),SCENARIOS!$A$2,SCENARIOS!$B$2,1,YIELDS!S$1)</f>
        <v>71.33</v>
      </c>
      <c r="T103" cm="1">
        <f t="array" ref="T103">_xll.VALEURCOURBE($A$27,_xlfn.CONCAT("THEME5=",$B103),SCENARIOS!$A$2,SCENARIOS!$B$2,1,YIELDS!T$1)</f>
        <v>72.959999999999994</v>
      </c>
      <c r="U103" cm="1">
        <f t="array" ref="U103">_xll.VALEURCOURBE($A$27,_xlfn.CONCAT("THEME5=",$B103),SCENARIOS!$A$2,SCENARIOS!$B$2,1,YIELDS!U$1)</f>
        <v>73.86</v>
      </c>
      <c r="V103" cm="1">
        <f t="array" ref="V103">_xll.VALEURCOURBE($A$27,_xlfn.CONCAT("THEME5=",$B103),SCENARIOS!$A$2,SCENARIOS!$B$2,1,YIELDS!V$1)</f>
        <v>74.12</v>
      </c>
    </row>
    <row r="104" spans="1:22" x14ac:dyDescent="0.25">
      <c r="A104" t="str">
        <v>YRGS24_26</v>
      </c>
      <c r="B104" t="str">
        <v>FC7289</v>
      </c>
      <c r="C104" cm="1">
        <f t="array" ref="C104">_xll.VALEURCOURBE($A$27,_xlfn.CONCAT("THEME5=",$B104),SCENARIOS!$A$2,SCENARIOS!$B$2,1,YIELDS!C$1)</f>
        <v>0</v>
      </c>
      <c r="D104" cm="1">
        <f t="array" ref="D104">_xll.VALEURCOURBE($A$27,_xlfn.CONCAT("THEME5=",$B104),SCENARIOS!$A$2,SCENARIOS!$B$2,1,YIELDS!D$1)</f>
        <v>0</v>
      </c>
      <c r="E104" cm="1">
        <f t="array" ref="E104">_xll.VALEURCOURBE($A$27,_xlfn.CONCAT("THEME5=",$B104),SCENARIOS!$A$2,SCENARIOS!$B$2,1,YIELDS!E$1)</f>
        <v>0</v>
      </c>
      <c r="F104" cm="1">
        <f t="array" ref="F104">_xll.VALEURCOURBE($A$27,_xlfn.CONCAT("THEME5=",$B104),SCENARIOS!$A$2,SCENARIOS!$B$2,1,YIELDS!F$1)</f>
        <v>0</v>
      </c>
      <c r="G104" cm="1">
        <f t="array" ref="G104">_xll.VALEURCOURBE($A$27,_xlfn.CONCAT("THEME5=",$B104),SCENARIOS!$A$2,SCENARIOS!$B$2,1,YIELDS!G$1)</f>
        <v>0</v>
      </c>
      <c r="H104" cm="1">
        <f t="array" ref="H104">_xll.VALEURCOURBE($A$27,_xlfn.CONCAT("THEME5=",$B104),SCENARIOS!$A$2,SCENARIOS!$B$2,1,YIELDS!H$1)</f>
        <v>2.63</v>
      </c>
      <c r="I104" cm="1">
        <f t="array" ref="I104">_xll.VALEURCOURBE($A$27,_xlfn.CONCAT("THEME5=",$B104),SCENARIOS!$A$2,SCENARIOS!$B$2,1,YIELDS!I$1)</f>
        <v>24.2</v>
      </c>
      <c r="J104" cm="1">
        <f t="array" ref="J104">_xll.VALEURCOURBE($A$27,_xlfn.CONCAT("THEME5=",$B104),SCENARIOS!$A$2,SCENARIOS!$B$2,1,YIELDS!J$1)</f>
        <v>46.57</v>
      </c>
      <c r="K104" cm="1">
        <f t="array" ref="K104">_xll.VALEURCOURBE($A$27,_xlfn.CONCAT("THEME5=",$B104),SCENARIOS!$A$2,SCENARIOS!$B$2,1,YIELDS!K$1)</f>
        <v>68.14</v>
      </c>
      <c r="L104" cm="1">
        <f t="array" ref="L104">_xll.VALEURCOURBE($A$27,_xlfn.CONCAT("THEME5=",$B104),SCENARIOS!$A$2,SCENARIOS!$B$2,1,YIELDS!L$1)</f>
        <v>86.51</v>
      </c>
      <c r="M104" cm="1">
        <f t="array" ref="M104">_xll.VALEURCOURBE($A$27,_xlfn.CONCAT("THEME5=",$B104),SCENARIOS!$A$2,SCENARIOS!$B$2,1,YIELDS!M$1)</f>
        <v>100.89</v>
      </c>
      <c r="N104" cm="1">
        <f t="array" ref="N104">_xll.VALEURCOURBE($A$27,_xlfn.CONCAT("THEME5=",$B104),SCENARIOS!$A$2,SCENARIOS!$B$2,1,YIELDS!N$1)</f>
        <v>112.88</v>
      </c>
      <c r="O104" cm="1">
        <f t="array" ref="O104">_xll.VALEURCOURBE($A$27,_xlfn.CONCAT("THEME5=",$B104),SCENARIOS!$A$2,SCENARIOS!$B$2,1,YIELDS!O$1)</f>
        <v>124.06</v>
      </c>
      <c r="P104" cm="1">
        <f t="array" ref="P104">_xll.VALEURCOURBE($A$27,_xlfn.CONCAT("THEME5=",$B104),SCENARIOS!$A$2,SCENARIOS!$B$2,1,YIELDS!P$1)</f>
        <v>133.65</v>
      </c>
      <c r="Q104" cm="1">
        <f t="array" ref="Q104">_xll.VALEURCOURBE($A$27,_xlfn.CONCAT("THEME5=",$B104),SCENARIOS!$A$2,SCENARIOS!$B$2,1,YIELDS!Q$1)</f>
        <v>141.63</v>
      </c>
      <c r="R104" cm="1">
        <f t="array" ref="R104">_xll.VALEURCOURBE($A$27,_xlfn.CONCAT("THEME5=",$B104),SCENARIOS!$A$2,SCENARIOS!$B$2,1,YIELDS!R$1)</f>
        <v>148.82</v>
      </c>
      <c r="S104" cm="1">
        <f t="array" ref="S104">_xll.VALEURCOURBE($A$27,_xlfn.CONCAT("THEME5=",$B104),SCENARIOS!$A$2,SCENARIOS!$B$2,1,YIELDS!S$1)</f>
        <v>153.62</v>
      </c>
      <c r="T104" cm="1">
        <f t="array" ref="T104">_xll.VALEURCOURBE($A$27,_xlfn.CONCAT("THEME5=",$B104),SCENARIOS!$A$2,SCENARIOS!$B$2,1,YIELDS!T$1)</f>
        <v>157.61000000000001</v>
      </c>
      <c r="U104" cm="1">
        <f t="array" ref="U104">_xll.VALEURCOURBE($A$27,_xlfn.CONCAT("THEME5=",$B104),SCENARIOS!$A$2,SCENARIOS!$B$2,1,YIELDS!U$1)</f>
        <v>159.21</v>
      </c>
      <c r="V104" cm="1">
        <f t="array" ref="V104">_xll.VALEURCOURBE($A$27,_xlfn.CONCAT("THEME5=",$B104),SCENARIOS!$A$2,SCENARIOS!$B$2,1,YIELDS!V$1)</f>
        <v>160.01</v>
      </c>
    </row>
    <row r="105" spans="1:22" x14ac:dyDescent="0.25">
      <c r="A105" t="str">
        <v>YRGS255_99</v>
      </c>
      <c r="B105" t="str">
        <v>FC7299</v>
      </c>
      <c r="C105" cm="1">
        <f t="array" ref="C105">_xll.VALEURCOURBE($A$27,_xlfn.CONCAT("THEME5=",$B105),SCENARIOS!$A$2,SCENARIOS!$B$2,1,YIELDS!C$1)</f>
        <v>0</v>
      </c>
      <c r="D105" cm="1">
        <f t="array" ref="D105">_xll.VALEURCOURBE($A$27,_xlfn.CONCAT("THEME5=",$B105),SCENARIOS!$A$2,SCENARIOS!$B$2,1,YIELDS!D$1)</f>
        <v>0</v>
      </c>
      <c r="E105" cm="1">
        <f t="array" ref="E105">_xll.VALEURCOURBE($A$27,_xlfn.CONCAT("THEME5=",$B105),SCENARIOS!$A$2,SCENARIOS!$B$2,1,YIELDS!E$1)</f>
        <v>0</v>
      </c>
      <c r="F105" cm="1">
        <f t="array" ref="F105">_xll.VALEURCOURBE($A$27,_xlfn.CONCAT("THEME5=",$B105),SCENARIOS!$A$2,SCENARIOS!$B$2,1,YIELDS!F$1)</f>
        <v>0</v>
      </c>
      <c r="G105" cm="1">
        <f t="array" ref="G105">_xll.VALEURCOURBE($A$27,_xlfn.CONCAT("THEME5=",$B105),SCENARIOS!$A$2,SCENARIOS!$B$2,1,YIELDS!G$1)</f>
        <v>0</v>
      </c>
      <c r="H105" cm="1">
        <f t="array" ref="H105">_xll.VALEURCOURBE($A$27,_xlfn.CONCAT("THEME5=",$B105),SCENARIOS!$A$2,SCENARIOS!$B$2,1,YIELDS!H$1)</f>
        <v>2.84</v>
      </c>
      <c r="I105" cm="1">
        <f t="array" ref="I105">_xll.VALEURCOURBE($A$27,_xlfn.CONCAT("THEME5=",$B105),SCENARIOS!$A$2,SCENARIOS!$B$2,1,YIELDS!I$1)</f>
        <v>26.15</v>
      </c>
      <c r="J105" cm="1">
        <f t="array" ref="J105">_xll.VALEURCOURBE($A$27,_xlfn.CONCAT("THEME5=",$B105),SCENARIOS!$A$2,SCENARIOS!$B$2,1,YIELDS!J$1)</f>
        <v>50.32</v>
      </c>
      <c r="K105" cm="1">
        <f t="array" ref="K105">_xll.VALEURCOURBE($A$27,_xlfn.CONCAT("THEME5=",$B105),SCENARIOS!$A$2,SCENARIOS!$B$2,1,YIELDS!K$1)</f>
        <v>73.63</v>
      </c>
      <c r="L105" cm="1">
        <f t="array" ref="L105">_xll.VALEURCOURBE($A$27,_xlfn.CONCAT("THEME5=",$B105),SCENARIOS!$A$2,SCENARIOS!$B$2,1,YIELDS!L$1)</f>
        <v>93.48</v>
      </c>
      <c r="M105" cm="1">
        <f t="array" ref="M105">_xll.VALEURCOURBE($A$27,_xlfn.CONCAT("THEME5=",$B105),SCENARIOS!$A$2,SCENARIOS!$B$2,1,YIELDS!M$1)</f>
        <v>109.02</v>
      </c>
      <c r="N105" cm="1">
        <f t="array" ref="N105">_xll.VALEURCOURBE($A$27,_xlfn.CONCAT("THEME5=",$B105),SCENARIOS!$A$2,SCENARIOS!$B$2,1,YIELDS!N$1)</f>
        <v>121.97</v>
      </c>
      <c r="O105" cm="1">
        <f t="array" ref="O105">_xll.VALEURCOURBE($A$27,_xlfn.CONCAT("THEME5=",$B105),SCENARIOS!$A$2,SCENARIOS!$B$2,1,YIELDS!O$1)</f>
        <v>134.05000000000001</v>
      </c>
      <c r="P105" cm="1">
        <f t="array" ref="P105">_xll.VALEURCOURBE($A$27,_xlfn.CONCAT("THEME5=",$B105),SCENARIOS!$A$2,SCENARIOS!$B$2,1,YIELDS!P$1)</f>
        <v>144.41</v>
      </c>
      <c r="Q105" cm="1">
        <f t="array" ref="Q105">_xll.VALEURCOURBE($A$27,_xlfn.CONCAT("THEME5=",$B105),SCENARIOS!$A$2,SCENARIOS!$B$2,1,YIELDS!Q$1)</f>
        <v>153.04</v>
      </c>
      <c r="R105" cm="1">
        <f t="array" ref="R105">_xll.VALEURCOURBE($A$27,_xlfn.CONCAT("THEME5=",$B105),SCENARIOS!$A$2,SCENARIOS!$B$2,1,YIELDS!R$1)</f>
        <v>160.81</v>
      </c>
      <c r="S105" cm="1">
        <f t="array" ref="S105">_xll.VALEURCOURBE($A$27,_xlfn.CONCAT("THEME5=",$B105),SCENARIOS!$A$2,SCENARIOS!$B$2,1,YIELDS!S$1)</f>
        <v>165.99</v>
      </c>
      <c r="T105" cm="1">
        <f t="array" ref="T105">_xll.VALEURCOURBE($A$27,_xlfn.CONCAT("THEME5=",$B105),SCENARIOS!$A$2,SCENARIOS!$B$2,1,YIELDS!T$1)</f>
        <v>170.31</v>
      </c>
      <c r="U105" cm="1">
        <f t="array" ref="U105">_xll.VALEURCOURBE($A$27,_xlfn.CONCAT("THEME5=",$B105),SCENARIOS!$A$2,SCENARIOS!$B$2,1,YIELDS!U$1)</f>
        <v>172.03</v>
      </c>
      <c r="V105" cm="1">
        <f t="array" ref="V105">_xll.VALEURCOURBE($A$27,_xlfn.CONCAT("THEME5=",$B105),SCENARIOS!$A$2,SCENARIOS!$B$2,1,YIELDS!V$1)</f>
        <v>172.9</v>
      </c>
    </row>
    <row r="106" spans="1:22" x14ac:dyDescent="0.25">
      <c r="A106" t="str">
        <v>YRGS25_26</v>
      </c>
      <c r="B106" t="str">
        <v>FC7300</v>
      </c>
      <c r="C106" cm="1">
        <f t="array" ref="C106">_xll.VALEURCOURBE($A$27,_xlfn.CONCAT("THEME5=",$B106),SCENARIOS!$A$2,SCENARIOS!$B$2,1,YIELDS!C$1)</f>
        <v>0</v>
      </c>
      <c r="D106" cm="1">
        <f t="array" ref="D106">_xll.VALEURCOURBE($A$27,_xlfn.CONCAT("THEME5=",$B106),SCENARIOS!$A$2,SCENARIOS!$B$2,1,YIELDS!D$1)</f>
        <v>0</v>
      </c>
      <c r="E106" cm="1">
        <f t="array" ref="E106">_xll.VALEURCOURBE($A$27,_xlfn.CONCAT("THEME5=",$B106),SCENARIOS!$A$2,SCENARIOS!$B$2,1,YIELDS!E$1)</f>
        <v>0</v>
      </c>
      <c r="F106" cm="1">
        <f t="array" ref="F106">_xll.VALEURCOURBE($A$27,_xlfn.CONCAT("THEME5=",$B106),SCENARIOS!$A$2,SCENARIOS!$B$2,1,YIELDS!F$1)</f>
        <v>0</v>
      </c>
      <c r="G106" cm="1">
        <f t="array" ref="G106">_xll.VALEURCOURBE($A$27,_xlfn.CONCAT("THEME5=",$B106),SCENARIOS!$A$2,SCENARIOS!$B$2,1,YIELDS!G$1)</f>
        <v>0</v>
      </c>
      <c r="H106" cm="1">
        <f t="array" ref="H106">_xll.VALEURCOURBE($A$27,_xlfn.CONCAT("THEME5=",$B106),SCENARIOS!$A$2,SCENARIOS!$B$2,1,YIELDS!H$1)</f>
        <v>20.39</v>
      </c>
      <c r="I106" cm="1">
        <f t="array" ref="I106">_xll.VALEURCOURBE($A$27,_xlfn.CONCAT("THEME5=",$B106),SCENARIOS!$A$2,SCENARIOS!$B$2,1,YIELDS!I$1)</f>
        <v>49.74</v>
      </c>
      <c r="J106" cm="1">
        <f t="array" ref="J106">_xll.VALEURCOURBE($A$27,_xlfn.CONCAT("THEME5=",$B106),SCENARIOS!$A$2,SCENARIOS!$B$2,1,YIELDS!J$1)</f>
        <v>79.09</v>
      </c>
      <c r="K106" cm="1">
        <f t="array" ref="K106">_xll.VALEURCOURBE($A$27,_xlfn.CONCAT("THEME5=",$B106),SCENARIOS!$A$2,SCENARIOS!$B$2,1,YIELDS!K$1)</f>
        <v>103.26</v>
      </c>
      <c r="L106" cm="1">
        <f t="array" ref="L106">_xll.VALEURCOURBE($A$27,_xlfn.CONCAT("THEME5=",$B106),SCENARIOS!$A$2,SCENARIOS!$B$2,1,YIELDS!L$1)</f>
        <v>121.38</v>
      </c>
      <c r="M106" cm="1">
        <f t="array" ref="M106">_xll.VALEURCOURBE($A$27,_xlfn.CONCAT("THEME5=",$B106),SCENARIOS!$A$2,SCENARIOS!$B$2,1,YIELDS!M$1)</f>
        <v>136.06</v>
      </c>
      <c r="N106" cm="1">
        <f t="array" ref="N106">_xll.VALEURCOURBE($A$27,_xlfn.CONCAT("THEME5=",$B106),SCENARIOS!$A$2,SCENARIOS!$B$2,1,YIELDS!N$1)</f>
        <v>150.72999999999999</v>
      </c>
      <c r="O106" cm="1">
        <f t="array" ref="O106">_xll.VALEURCOURBE($A$27,_xlfn.CONCAT("THEME5=",$B106),SCENARIOS!$A$2,SCENARIOS!$B$2,1,YIELDS!O$1)</f>
        <v>166.27</v>
      </c>
      <c r="P106" cm="1">
        <f t="array" ref="P106">_xll.VALEURCOURBE($A$27,_xlfn.CONCAT("THEME5=",$B106),SCENARIOS!$A$2,SCENARIOS!$B$2,1,YIELDS!P$1)</f>
        <v>178.35</v>
      </c>
      <c r="Q106" cm="1">
        <f t="array" ref="Q106">_xll.VALEURCOURBE($A$27,_xlfn.CONCAT("THEME5=",$B106),SCENARIOS!$A$2,SCENARIOS!$B$2,1,YIELDS!Q$1)</f>
        <v>188.71</v>
      </c>
      <c r="R106" cm="1">
        <f t="array" ref="R106">_xll.VALEURCOURBE($A$27,_xlfn.CONCAT("THEME5=",$B106),SCENARIOS!$A$2,SCENARIOS!$B$2,1,YIELDS!R$1)</f>
        <v>197.35</v>
      </c>
      <c r="S106" cm="1">
        <f t="array" ref="S106">_xll.VALEURCOURBE($A$27,_xlfn.CONCAT("THEME5=",$B106),SCENARIOS!$A$2,SCENARIOS!$B$2,1,YIELDS!S$1)</f>
        <v>204.25</v>
      </c>
      <c r="T106" cm="1">
        <f t="array" ref="T106">_xll.VALEURCOURBE($A$27,_xlfn.CONCAT("THEME5=",$B106),SCENARIOS!$A$2,SCENARIOS!$B$2,1,YIELDS!T$1)</f>
        <v>208.57</v>
      </c>
      <c r="U106" cm="1">
        <f t="array" ref="U106">_xll.VALEURCOURBE($A$27,_xlfn.CONCAT("THEME5=",$B106),SCENARIOS!$A$2,SCENARIOS!$B$2,1,YIELDS!U$1)</f>
        <v>212.02</v>
      </c>
      <c r="V106" cm="1">
        <f t="array" ref="V106">_xll.VALEURCOURBE($A$27,_xlfn.CONCAT("THEME5=",$B106),SCENARIOS!$A$2,SCENARIOS!$B$2,1,YIELDS!V$1)</f>
        <v>213.75</v>
      </c>
    </row>
    <row r="107" spans="1:22" x14ac:dyDescent="0.25">
      <c r="A107" t="str">
        <v>YRGS26_27</v>
      </c>
      <c r="B107" t="str">
        <v>FC7310</v>
      </c>
      <c r="C107" cm="1">
        <f t="array" ref="C107">_xll.VALEURCOURBE($A$27,_xlfn.CONCAT("THEME5=",$B107),SCENARIOS!$A$2,SCENARIOS!$B$2,1,YIELDS!C$1)</f>
        <v>0</v>
      </c>
      <c r="D107" cm="1">
        <f t="array" ref="D107">_xll.VALEURCOURBE($A$27,_xlfn.CONCAT("THEME5=",$B107),SCENARIOS!$A$2,SCENARIOS!$B$2,1,YIELDS!D$1)</f>
        <v>0</v>
      </c>
      <c r="E107" cm="1">
        <f t="array" ref="E107">_xll.VALEURCOURBE($A$27,_xlfn.CONCAT("THEME5=",$B107),SCENARIOS!$A$2,SCENARIOS!$B$2,1,YIELDS!E$1)</f>
        <v>0</v>
      </c>
      <c r="F107" cm="1">
        <f t="array" ref="F107">_xll.VALEURCOURBE($A$27,_xlfn.CONCAT("THEME5=",$B107),SCENARIOS!$A$2,SCENARIOS!$B$2,1,YIELDS!F$1)</f>
        <v>0</v>
      </c>
      <c r="G107" cm="1">
        <f t="array" ref="G107">_xll.VALEURCOURBE($A$27,_xlfn.CONCAT("THEME5=",$B107),SCENARIOS!$A$2,SCENARIOS!$B$2,1,YIELDS!G$1)</f>
        <v>2.13</v>
      </c>
      <c r="H107" cm="1">
        <f t="array" ref="H107">_xll.VALEURCOURBE($A$27,_xlfn.CONCAT("THEME5=",$B107),SCENARIOS!$A$2,SCENARIOS!$B$2,1,YIELDS!H$1)</f>
        <v>5.95</v>
      </c>
      <c r="I107" cm="1">
        <f t="array" ref="I107">_xll.VALEURCOURBE($A$27,_xlfn.CONCAT("THEME5=",$B107),SCENARIOS!$A$2,SCENARIOS!$B$2,1,YIELDS!I$1)</f>
        <v>10.41</v>
      </c>
      <c r="J107" cm="1">
        <f t="array" ref="J107">_xll.VALEURCOURBE($A$27,_xlfn.CONCAT("THEME5=",$B107),SCENARIOS!$A$2,SCENARIOS!$B$2,1,YIELDS!J$1)</f>
        <v>15.12</v>
      </c>
      <c r="K107" cm="1">
        <f t="array" ref="K107">_xll.VALEURCOURBE($A$27,_xlfn.CONCAT("THEME5=",$B107),SCENARIOS!$A$2,SCENARIOS!$B$2,1,YIELDS!K$1)</f>
        <v>19.46</v>
      </c>
      <c r="L107" cm="1">
        <f t="array" ref="L107">_xll.VALEURCOURBE($A$27,_xlfn.CONCAT("THEME5=",$B107),SCENARIOS!$A$2,SCENARIOS!$B$2,1,YIELDS!L$1)</f>
        <v>23.53</v>
      </c>
      <c r="M107" cm="1">
        <f t="array" ref="M107">_xll.VALEURCOURBE($A$27,_xlfn.CONCAT("THEME5=",$B107),SCENARIOS!$A$2,SCENARIOS!$B$2,1,YIELDS!M$1)</f>
        <v>27.1</v>
      </c>
      <c r="N107" cm="1">
        <f t="array" ref="N107">_xll.VALEURCOURBE($A$27,_xlfn.CONCAT("THEME5=",$B107),SCENARIOS!$A$2,SCENARIOS!$B$2,1,YIELDS!N$1)</f>
        <v>30.92</v>
      </c>
      <c r="O107" cm="1">
        <f t="array" ref="O107">_xll.VALEURCOURBE($A$27,_xlfn.CONCAT("THEME5=",$B107),SCENARIOS!$A$2,SCENARIOS!$B$2,1,YIELDS!O$1)</f>
        <v>34.11</v>
      </c>
      <c r="P107" cm="1">
        <f t="array" ref="P107">_xll.VALEURCOURBE($A$27,_xlfn.CONCAT("THEME5=",$B107),SCENARIOS!$A$2,SCENARIOS!$B$2,1,YIELDS!P$1)</f>
        <v>36.65</v>
      </c>
      <c r="Q107" cm="1">
        <f t="array" ref="Q107">_xll.VALEURCOURBE($A$27,_xlfn.CONCAT("THEME5=",$B107),SCENARIOS!$A$2,SCENARIOS!$B$2,1,YIELDS!Q$1)</f>
        <v>38.56</v>
      </c>
      <c r="R107" cm="1">
        <f t="array" ref="R107">_xll.VALEURCOURBE($A$27,_xlfn.CONCAT("THEME5=",$B107),SCENARIOS!$A$2,SCENARIOS!$B$2,1,YIELDS!R$1)</f>
        <v>39.71</v>
      </c>
      <c r="S107" cm="1">
        <f t="array" ref="S107">_xll.VALEURCOURBE($A$27,_xlfn.CONCAT("THEME5=",$B107),SCENARIOS!$A$2,SCENARIOS!$B$2,1,YIELDS!S$1)</f>
        <v>40.22</v>
      </c>
      <c r="T107" cm="1">
        <f t="array" ref="T107">_xll.VALEURCOURBE($A$27,_xlfn.CONCAT("THEME5=",$B107),SCENARIOS!$A$2,SCENARIOS!$B$2,1,YIELDS!T$1)</f>
        <v>39.97</v>
      </c>
      <c r="U107" cm="1">
        <f t="array" ref="U107">_xll.VALEURCOURBE($A$27,_xlfn.CONCAT("THEME5=",$B107),SCENARIOS!$A$2,SCENARIOS!$B$2,1,YIELDS!U$1)</f>
        <v>39.07</v>
      </c>
      <c r="V107" cm="1">
        <f t="array" ref="V107">_xll.VALEURCOURBE($A$27,_xlfn.CONCAT("THEME5=",$B107),SCENARIOS!$A$2,SCENARIOS!$B$2,1,YIELDS!V$1)</f>
        <v>37.29</v>
      </c>
    </row>
    <row r="108" spans="1:22" x14ac:dyDescent="0.25">
      <c r="A108" t="str">
        <v>YRGS26_28</v>
      </c>
      <c r="B108" t="str">
        <v>FC7315</v>
      </c>
      <c r="C108" cm="1">
        <f t="array" ref="C108">_xll.VALEURCOURBE($A$27,_xlfn.CONCAT("THEME5=",$B108),SCENARIOS!$A$2,SCENARIOS!$B$2,1,YIELDS!C$1)</f>
        <v>0</v>
      </c>
      <c r="D108" cm="1">
        <f t="array" ref="D108">_xll.VALEURCOURBE($A$27,_xlfn.CONCAT("THEME5=",$B108),SCENARIOS!$A$2,SCENARIOS!$B$2,1,YIELDS!D$1)</f>
        <v>0</v>
      </c>
      <c r="E108" cm="1">
        <f t="array" ref="E108">_xll.VALEURCOURBE($A$27,_xlfn.CONCAT("THEME5=",$B108),SCENARIOS!$A$2,SCENARIOS!$B$2,1,YIELDS!E$1)</f>
        <v>0</v>
      </c>
      <c r="F108" cm="1">
        <f t="array" ref="F108">_xll.VALEURCOURBE($A$27,_xlfn.CONCAT("THEME5=",$B108),SCENARIOS!$A$2,SCENARIOS!$B$2,1,YIELDS!F$1)</f>
        <v>0</v>
      </c>
      <c r="G108" cm="1">
        <f t="array" ref="G108">_xll.VALEURCOURBE($A$27,_xlfn.CONCAT("THEME5=",$B108),SCENARIOS!$A$2,SCENARIOS!$B$2,1,YIELDS!G$1)</f>
        <v>2.88</v>
      </c>
      <c r="H108" cm="1">
        <f t="array" ref="H108">_xll.VALEURCOURBE($A$27,_xlfn.CONCAT("THEME5=",$B108),SCENARIOS!$A$2,SCENARIOS!$B$2,1,YIELDS!H$1)</f>
        <v>6.83</v>
      </c>
      <c r="I108" cm="1">
        <f t="array" ref="I108">_xll.VALEURCOURBE($A$27,_xlfn.CONCAT("THEME5=",$B108),SCENARIOS!$A$2,SCENARIOS!$B$2,1,YIELDS!I$1)</f>
        <v>11.36</v>
      </c>
      <c r="J108" cm="1">
        <f t="array" ref="J108">_xll.VALEURCOURBE($A$27,_xlfn.CONCAT("THEME5=",$B108),SCENARIOS!$A$2,SCENARIOS!$B$2,1,YIELDS!J$1)</f>
        <v>16.36</v>
      </c>
      <c r="K108" cm="1">
        <f t="array" ref="K108">_xll.VALEURCOURBE($A$27,_xlfn.CONCAT("THEME5=",$B108),SCENARIOS!$A$2,SCENARIOS!$B$2,1,YIELDS!K$1)</f>
        <v>20.88</v>
      </c>
      <c r="L108" cm="1">
        <f t="array" ref="L108">_xll.VALEURCOURBE($A$27,_xlfn.CONCAT("THEME5=",$B108),SCENARIOS!$A$2,SCENARIOS!$B$2,1,YIELDS!L$1)</f>
        <v>25.53</v>
      </c>
      <c r="M108" cm="1">
        <f t="array" ref="M108">_xll.VALEURCOURBE($A$27,_xlfn.CONCAT("THEME5=",$B108),SCENARIOS!$A$2,SCENARIOS!$B$2,1,YIELDS!M$1)</f>
        <v>29.71</v>
      </c>
      <c r="N108" cm="1">
        <f t="array" ref="N108">_xll.VALEURCOURBE($A$27,_xlfn.CONCAT("THEME5=",$B108),SCENARIOS!$A$2,SCENARIOS!$B$2,1,YIELDS!N$1)</f>
        <v>33.54</v>
      </c>
      <c r="O108" cm="1">
        <f t="array" ref="O108">_xll.VALEURCOURBE($A$27,_xlfn.CONCAT("THEME5=",$B108),SCENARIOS!$A$2,SCENARIOS!$B$2,1,YIELDS!O$1)</f>
        <v>36.92</v>
      </c>
      <c r="P108" cm="1">
        <f t="array" ref="P108">_xll.VALEURCOURBE($A$27,_xlfn.CONCAT("THEME5=",$B108),SCENARIOS!$A$2,SCENARIOS!$B$2,1,YIELDS!P$1)</f>
        <v>39.700000000000003</v>
      </c>
      <c r="Q108" cm="1">
        <f t="array" ref="Q108">_xll.VALEURCOURBE($A$27,_xlfn.CONCAT("THEME5=",$B108),SCENARIOS!$A$2,SCENARIOS!$B$2,1,YIELDS!Q$1)</f>
        <v>41.91</v>
      </c>
      <c r="R108" cm="1">
        <f t="array" ref="R108">_xll.VALEURCOURBE($A$27,_xlfn.CONCAT("THEME5=",$B108),SCENARIOS!$A$2,SCENARIOS!$B$2,1,YIELDS!R$1)</f>
        <v>43.3</v>
      </c>
      <c r="S108" cm="1">
        <f t="array" ref="S108">_xll.VALEURCOURBE($A$27,_xlfn.CONCAT("THEME5=",$B108),SCENARIOS!$A$2,SCENARIOS!$B$2,1,YIELDS!S$1)</f>
        <v>43.88</v>
      </c>
      <c r="T108" cm="1">
        <f t="array" ref="T108">_xll.VALEURCOURBE($A$27,_xlfn.CONCAT("THEME5=",$B108),SCENARIOS!$A$2,SCENARIOS!$B$2,1,YIELDS!T$1)</f>
        <v>43.76</v>
      </c>
      <c r="U108" cm="1">
        <f t="array" ref="U108">_xll.VALEURCOURBE($A$27,_xlfn.CONCAT("THEME5=",$B108),SCENARIOS!$A$2,SCENARIOS!$B$2,1,YIELDS!U$1)</f>
        <v>42.72</v>
      </c>
      <c r="V108" cm="1">
        <f t="array" ref="V108">_xll.VALEURCOURBE($A$27,_xlfn.CONCAT("THEME5=",$B108),SCENARIOS!$A$2,SCENARIOS!$B$2,1,YIELDS!V$1)</f>
        <v>40.97</v>
      </c>
    </row>
    <row r="109" spans="1:22" x14ac:dyDescent="0.25">
      <c r="A109" t="str">
        <v>YRGS26_99</v>
      </c>
      <c r="B109" t="str">
        <v>FC7320</v>
      </c>
      <c r="C109" cm="1">
        <f t="array" ref="C109">_xll.VALEURCOURBE($A$27,_xlfn.CONCAT("THEME5=",$B109),SCENARIOS!$A$2,SCENARIOS!$B$2,1,YIELDS!C$1)</f>
        <v>0</v>
      </c>
      <c r="D109" cm="1">
        <f t="array" ref="D109">_xll.VALEURCOURBE($A$27,_xlfn.CONCAT("THEME5=",$B109),SCENARIOS!$A$2,SCENARIOS!$B$2,1,YIELDS!D$1)</f>
        <v>0</v>
      </c>
      <c r="E109" cm="1">
        <f t="array" ref="E109">_xll.VALEURCOURBE($A$27,_xlfn.CONCAT("THEME5=",$B109),SCENARIOS!$A$2,SCENARIOS!$B$2,1,YIELDS!E$1)</f>
        <v>0</v>
      </c>
      <c r="F109" cm="1">
        <f t="array" ref="F109">_xll.VALEURCOURBE($A$27,_xlfn.CONCAT("THEME5=",$B109),SCENARIOS!$A$2,SCENARIOS!$B$2,1,YIELDS!F$1)</f>
        <v>0</v>
      </c>
      <c r="G109" cm="1">
        <f t="array" ref="G109">_xll.VALEURCOURBE($A$27,_xlfn.CONCAT("THEME5=",$B109),SCENARIOS!$A$2,SCENARIOS!$B$2,1,YIELDS!G$1)</f>
        <v>1.95</v>
      </c>
      <c r="H109" cm="1">
        <f t="array" ref="H109">_xll.VALEURCOURBE($A$27,_xlfn.CONCAT("THEME5=",$B109),SCENARIOS!$A$2,SCENARIOS!$B$2,1,YIELDS!H$1)</f>
        <v>5.42</v>
      </c>
      <c r="I109" cm="1">
        <f t="array" ref="I109">_xll.VALEURCOURBE($A$27,_xlfn.CONCAT("THEME5=",$B109),SCENARIOS!$A$2,SCENARIOS!$B$2,1,YIELDS!I$1)</f>
        <v>9.49</v>
      </c>
      <c r="J109" cm="1">
        <f t="array" ref="J109">_xll.VALEURCOURBE($A$27,_xlfn.CONCAT("THEME5=",$B109),SCENARIOS!$A$2,SCENARIOS!$B$2,1,YIELDS!J$1)</f>
        <v>13.79</v>
      </c>
      <c r="K109" cm="1">
        <f t="array" ref="K109">_xll.VALEURCOURBE($A$27,_xlfn.CONCAT("THEME5=",$B109),SCENARIOS!$A$2,SCENARIOS!$B$2,1,YIELDS!K$1)</f>
        <v>17.73</v>
      </c>
      <c r="L109" cm="1">
        <f t="array" ref="L109">_xll.VALEURCOURBE($A$27,_xlfn.CONCAT("THEME5=",$B109),SCENARIOS!$A$2,SCENARIOS!$B$2,1,YIELDS!L$1)</f>
        <v>21.45</v>
      </c>
      <c r="M109" cm="1">
        <f t="array" ref="M109">_xll.VALEURCOURBE($A$27,_xlfn.CONCAT("THEME5=",$B109),SCENARIOS!$A$2,SCENARIOS!$B$2,1,YIELDS!M$1)</f>
        <v>24.71</v>
      </c>
      <c r="N109" cm="1">
        <f t="array" ref="N109">_xll.VALEURCOURBE($A$27,_xlfn.CONCAT("THEME5=",$B109),SCENARIOS!$A$2,SCENARIOS!$B$2,1,YIELDS!N$1)</f>
        <v>28.19</v>
      </c>
      <c r="O109" cm="1">
        <f t="array" ref="O109">_xll.VALEURCOURBE($A$27,_xlfn.CONCAT("THEME5=",$B109),SCENARIOS!$A$2,SCENARIOS!$B$2,1,YIELDS!O$1)</f>
        <v>31.1</v>
      </c>
      <c r="P109" cm="1">
        <f t="array" ref="P109">_xll.VALEURCOURBE($A$27,_xlfn.CONCAT("THEME5=",$B109),SCENARIOS!$A$2,SCENARIOS!$B$2,1,YIELDS!P$1)</f>
        <v>33.42</v>
      </c>
      <c r="Q109" cm="1">
        <f t="array" ref="Q109">_xll.VALEURCOURBE($A$27,_xlfn.CONCAT("THEME5=",$B109),SCENARIOS!$A$2,SCENARIOS!$B$2,1,YIELDS!Q$1)</f>
        <v>35.159999999999997</v>
      </c>
      <c r="R109" cm="1">
        <f t="array" ref="R109">_xll.VALEURCOURBE($A$27,_xlfn.CONCAT("THEME5=",$B109),SCENARIOS!$A$2,SCENARIOS!$B$2,1,YIELDS!R$1)</f>
        <v>36.200000000000003</v>
      </c>
      <c r="S109" cm="1">
        <f t="array" ref="S109">_xll.VALEURCOURBE($A$27,_xlfn.CONCAT("THEME5=",$B109),SCENARIOS!$A$2,SCENARIOS!$B$2,1,YIELDS!S$1)</f>
        <v>36.67</v>
      </c>
      <c r="T109" cm="1">
        <f t="array" ref="T109">_xll.VALEURCOURBE($A$27,_xlfn.CONCAT("THEME5=",$B109),SCENARIOS!$A$2,SCENARIOS!$B$2,1,YIELDS!T$1)</f>
        <v>36.44</v>
      </c>
      <c r="U109" cm="1">
        <f t="array" ref="U109">_xll.VALEURCOURBE($A$27,_xlfn.CONCAT("THEME5=",$B109),SCENARIOS!$A$2,SCENARIOS!$B$2,1,YIELDS!U$1)</f>
        <v>35.619999999999997</v>
      </c>
      <c r="V109" cm="1">
        <f t="array" ref="V109">_xll.VALEURCOURBE($A$27,_xlfn.CONCAT("THEME5=",$B109),SCENARIOS!$A$2,SCENARIOS!$B$2,1,YIELDS!V$1)</f>
        <v>34</v>
      </c>
    </row>
    <row r="110" spans="1:22" x14ac:dyDescent="0.25">
      <c r="A110" t="str">
        <v>YRGS27_99</v>
      </c>
      <c r="B110" t="str">
        <v>FC7325</v>
      </c>
      <c r="C110" cm="1">
        <f t="array" ref="C110">_xll.VALEURCOURBE($A$27,_xlfn.CONCAT("THEME5=",$B110),SCENARIOS!$A$2,SCENARIOS!$B$2,1,YIELDS!C$1)</f>
        <v>0</v>
      </c>
      <c r="D110" cm="1">
        <f t="array" ref="D110">_xll.VALEURCOURBE($A$27,_xlfn.CONCAT("THEME5=",$B110),SCENARIOS!$A$2,SCENARIOS!$B$2,1,YIELDS!D$1)</f>
        <v>0</v>
      </c>
      <c r="E110" cm="1">
        <f t="array" ref="E110">_xll.VALEURCOURBE($A$27,_xlfn.CONCAT("THEME5=",$B110),SCENARIOS!$A$2,SCENARIOS!$B$2,1,YIELDS!E$1)</f>
        <v>0</v>
      </c>
      <c r="F110" cm="1">
        <f t="array" ref="F110">_xll.VALEURCOURBE($A$27,_xlfn.CONCAT("THEME5=",$B110),SCENARIOS!$A$2,SCENARIOS!$B$2,1,YIELDS!F$1)</f>
        <v>0</v>
      </c>
      <c r="G110" cm="1">
        <f t="array" ref="G110">_xll.VALEURCOURBE($A$27,_xlfn.CONCAT("THEME5=",$B110),SCENARIOS!$A$2,SCENARIOS!$B$2,1,YIELDS!G$1)</f>
        <v>0</v>
      </c>
      <c r="H110" cm="1">
        <f t="array" ref="H110">_xll.VALEURCOURBE($A$27,_xlfn.CONCAT("THEME5=",$B110),SCENARIOS!$A$2,SCENARIOS!$B$2,1,YIELDS!H$1)</f>
        <v>0</v>
      </c>
      <c r="I110" cm="1">
        <f t="array" ref="I110">_xll.VALEURCOURBE($A$27,_xlfn.CONCAT("THEME5=",$B110),SCENARIOS!$A$2,SCENARIOS!$B$2,1,YIELDS!I$1)</f>
        <v>0</v>
      </c>
      <c r="J110" cm="1">
        <f t="array" ref="J110">_xll.VALEURCOURBE($A$27,_xlfn.CONCAT("THEME5=",$B110),SCENARIOS!$A$2,SCENARIOS!$B$2,1,YIELDS!J$1)</f>
        <v>0</v>
      </c>
      <c r="K110" cm="1">
        <f t="array" ref="K110">_xll.VALEURCOURBE($A$27,_xlfn.CONCAT("THEME5=",$B110),SCENARIOS!$A$2,SCENARIOS!$B$2,1,YIELDS!K$1)</f>
        <v>0.36</v>
      </c>
      <c r="L110" cm="1">
        <f t="array" ref="L110">_xll.VALEURCOURBE($A$27,_xlfn.CONCAT("THEME5=",$B110),SCENARIOS!$A$2,SCENARIOS!$B$2,1,YIELDS!L$1)</f>
        <v>0.92</v>
      </c>
      <c r="M110" cm="1">
        <f t="array" ref="M110">_xll.VALEURCOURBE($A$27,_xlfn.CONCAT("THEME5=",$B110),SCENARIOS!$A$2,SCENARIOS!$B$2,1,YIELDS!M$1)</f>
        <v>1.51</v>
      </c>
      <c r="N110" cm="1">
        <f t="array" ref="N110">_xll.VALEURCOURBE($A$27,_xlfn.CONCAT("THEME5=",$B110),SCENARIOS!$A$2,SCENARIOS!$B$2,1,YIELDS!N$1)</f>
        <v>2.13</v>
      </c>
      <c r="O110" cm="1">
        <f t="array" ref="O110">_xll.VALEURCOURBE($A$27,_xlfn.CONCAT("THEME5=",$B110),SCENARIOS!$A$2,SCENARIOS!$B$2,1,YIELDS!O$1)</f>
        <v>2.78</v>
      </c>
      <c r="P110" cm="1">
        <f t="array" ref="P110">_xll.VALEURCOURBE($A$27,_xlfn.CONCAT("THEME5=",$B110),SCENARIOS!$A$2,SCENARIOS!$B$2,1,YIELDS!P$1)</f>
        <v>3.44</v>
      </c>
      <c r="Q110" cm="1">
        <f t="array" ref="Q110">_xll.VALEURCOURBE($A$27,_xlfn.CONCAT("THEME5=",$B110),SCENARIOS!$A$2,SCENARIOS!$B$2,1,YIELDS!Q$1)</f>
        <v>4.0999999999999996</v>
      </c>
      <c r="R110" cm="1">
        <f t="array" ref="R110">_xll.VALEURCOURBE($A$27,_xlfn.CONCAT("THEME5=",$B110),SCENARIOS!$A$2,SCENARIOS!$B$2,1,YIELDS!R$1)</f>
        <v>4.76</v>
      </c>
      <c r="S110" cm="1">
        <f t="array" ref="S110">_xll.VALEURCOURBE($A$27,_xlfn.CONCAT("THEME5=",$B110),SCENARIOS!$A$2,SCENARIOS!$B$2,1,YIELDS!S$1)</f>
        <v>5.41</v>
      </c>
      <c r="T110" cm="1">
        <f t="array" ref="T110">_xll.VALEURCOURBE($A$27,_xlfn.CONCAT("THEME5=",$B110),SCENARIOS!$A$2,SCENARIOS!$B$2,1,YIELDS!T$1)</f>
        <v>6.05</v>
      </c>
      <c r="U110" cm="1">
        <f t="array" ref="U110">_xll.VALEURCOURBE($A$27,_xlfn.CONCAT("THEME5=",$B110),SCENARIOS!$A$2,SCENARIOS!$B$2,1,YIELDS!U$1)</f>
        <v>6.66</v>
      </c>
      <c r="V110" cm="1">
        <f t="array" ref="V110">_xll.VALEURCOURBE($A$27,_xlfn.CONCAT("THEME5=",$B110),SCENARIOS!$A$2,SCENARIOS!$B$2,1,YIELDS!V$1)</f>
        <v>7.25</v>
      </c>
    </row>
    <row r="111" spans="1:22" x14ac:dyDescent="0.25">
      <c r="A111" t="str">
        <v>YRGS28_30</v>
      </c>
      <c r="B111" t="str">
        <v>FC7327</v>
      </c>
      <c r="C111" cm="1">
        <f t="array" ref="C111">_xll.VALEURCOURBE($A$27,_xlfn.CONCAT("THEME5=",$B111),SCENARIOS!$A$2,SCENARIOS!$B$2,1,YIELDS!C$1)</f>
        <v>0</v>
      </c>
      <c r="D111" cm="1">
        <f t="array" ref="D111">_xll.VALEURCOURBE($A$27,_xlfn.CONCAT("THEME5=",$B111),SCENARIOS!$A$2,SCENARIOS!$B$2,1,YIELDS!D$1)</f>
        <v>0</v>
      </c>
      <c r="E111" cm="1">
        <f t="array" ref="E111">_xll.VALEURCOURBE($A$27,_xlfn.CONCAT("THEME5=",$B111),SCENARIOS!$A$2,SCENARIOS!$B$2,1,YIELDS!E$1)</f>
        <v>0</v>
      </c>
      <c r="F111" cm="1">
        <f t="array" ref="F111">_xll.VALEURCOURBE($A$27,_xlfn.CONCAT("THEME5=",$B111),SCENARIOS!$A$2,SCENARIOS!$B$2,1,YIELDS!F$1)</f>
        <v>0</v>
      </c>
      <c r="G111" cm="1">
        <f t="array" ref="G111">_xll.VALEURCOURBE($A$27,_xlfn.CONCAT("THEME5=",$B111),SCENARIOS!$A$2,SCENARIOS!$B$2,1,YIELDS!G$1)</f>
        <v>0</v>
      </c>
      <c r="H111" cm="1">
        <f t="array" ref="H111">_xll.VALEURCOURBE($A$27,_xlfn.CONCAT("THEME5=",$B111),SCENARIOS!$A$2,SCENARIOS!$B$2,1,YIELDS!H$1)</f>
        <v>0</v>
      </c>
      <c r="I111" cm="1">
        <f t="array" ref="I111">_xll.VALEURCOURBE($A$27,_xlfn.CONCAT("THEME5=",$B111),SCENARIOS!$A$2,SCENARIOS!$B$2,1,YIELDS!I$1)</f>
        <v>0</v>
      </c>
      <c r="J111" cm="1">
        <f t="array" ref="J111">_xll.VALEURCOURBE($A$27,_xlfn.CONCAT("THEME5=",$B111),SCENARIOS!$A$2,SCENARIOS!$B$2,1,YIELDS!J$1)</f>
        <v>0</v>
      </c>
      <c r="K111" cm="1">
        <f t="array" ref="K111">_xll.VALEURCOURBE($A$27,_xlfn.CONCAT("THEME5=",$B111),SCENARIOS!$A$2,SCENARIOS!$B$2,1,YIELDS!K$1)</f>
        <v>0</v>
      </c>
      <c r="L111" cm="1">
        <f t="array" ref="L111">_xll.VALEURCOURBE($A$27,_xlfn.CONCAT("THEME5=",$B111),SCENARIOS!$A$2,SCENARIOS!$B$2,1,YIELDS!L$1)</f>
        <v>0.9</v>
      </c>
      <c r="M111" cm="1">
        <f t="array" ref="M111">_xll.VALEURCOURBE($A$27,_xlfn.CONCAT("THEME5=",$B111),SCENARIOS!$A$2,SCENARIOS!$B$2,1,YIELDS!M$1)</f>
        <v>2.48</v>
      </c>
      <c r="N111" cm="1">
        <f t="array" ref="N111">_xll.VALEURCOURBE($A$27,_xlfn.CONCAT("THEME5=",$B111),SCENARIOS!$A$2,SCENARIOS!$B$2,1,YIELDS!N$1)</f>
        <v>4.18</v>
      </c>
      <c r="O111" cm="1">
        <f t="array" ref="O111">_xll.VALEURCOURBE($A$27,_xlfn.CONCAT("THEME5=",$B111),SCENARIOS!$A$2,SCENARIOS!$B$2,1,YIELDS!O$1)</f>
        <v>5.95</v>
      </c>
      <c r="P111" cm="1">
        <f t="array" ref="P111">_xll.VALEURCOURBE($A$27,_xlfn.CONCAT("THEME5=",$B111),SCENARIOS!$A$2,SCENARIOS!$B$2,1,YIELDS!P$1)</f>
        <v>7.77</v>
      </c>
      <c r="Q111" cm="1">
        <f t="array" ref="Q111">_xll.VALEURCOURBE($A$27,_xlfn.CONCAT("THEME5=",$B111),SCENARIOS!$A$2,SCENARIOS!$B$2,1,YIELDS!Q$1)</f>
        <v>9.59</v>
      </c>
      <c r="R111" cm="1">
        <f t="array" ref="R111">_xll.VALEURCOURBE($A$27,_xlfn.CONCAT("THEME5=",$B111),SCENARIOS!$A$2,SCENARIOS!$B$2,1,YIELDS!R$1)</f>
        <v>11.38</v>
      </c>
      <c r="S111" cm="1">
        <f t="array" ref="S111">_xll.VALEURCOURBE($A$27,_xlfn.CONCAT("THEME5=",$B111),SCENARIOS!$A$2,SCENARIOS!$B$2,1,YIELDS!S$1)</f>
        <v>13.13</v>
      </c>
      <c r="T111" cm="1">
        <f t="array" ref="T111">_xll.VALEURCOURBE($A$27,_xlfn.CONCAT("THEME5=",$B111),SCENARIOS!$A$2,SCENARIOS!$B$2,1,YIELDS!T$1)</f>
        <v>14.81</v>
      </c>
      <c r="U111" cm="1">
        <f t="array" ref="U111">_xll.VALEURCOURBE($A$27,_xlfn.CONCAT("THEME5=",$B111),SCENARIOS!$A$2,SCENARIOS!$B$2,1,YIELDS!U$1)</f>
        <v>16.399999999999999</v>
      </c>
      <c r="V111" cm="1">
        <f t="array" ref="V111">_xll.VALEURCOURBE($A$27,_xlfn.CONCAT("THEME5=",$B111),SCENARIOS!$A$2,SCENARIOS!$B$2,1,YIELDS!V$1)</f>
        <v>17.920000000000002</v>
      </c>
    </row>
    <row r="112" spans="1:22" x14ac:dyDescent="0.25">
      <c r="A112" t="str">
        <v>YRGS2_4</v>
      </c>
      <c r="B112" t="str">
        <v>FC7329</v>
      </c>
      <c r="C112" cm="1">
        <f t="array" ref="C112">_xll.VALEURCOURBE($A$27,_xlfn.CONCAT("THEME5=",$B112),SCENARIOS!$A$2,SCENARIOS!$B$2,1,YIELDS!C$1)</f>
        <v>0</v>
      </c>
      <c r="D112" cm="1">
        <f t="array" ref="D112">_xll.VALEURCOURBE($A$27,_xlfn.CONCAT("THEME5=",$B112),SCENARIOS!$A$2,SCENARIOS!$B$2,1,YIELDS!D$1)</f>
        <v>0</v>
      </c>
      <c r="E112" cm="1">
        <f t="array" ref="E112">_xll.VALEURCOURBE($A$27,_xlfn.CONCAT("THEME5=",$B112),SCENARIOS!$A$2,SCENARIOS!$B$2,1,YIELDS!E$1)</f>
        <v>0.8</v>
      </c>
      <c r="F112" cm="1">
        <f t="array" ref="F112">_xll.VALEURCOURBE($A$27,_xlfn.CONCAT("THEME5=",$B112),SCENARIOS!$A$2,SCENARIOS!$B$2,1,YIELDS!F$1)</f>
        <v>1.61</v>
      </c>
      <c r="G112" cm="1">
        <f t="array" ref="G112">_xll.VALEURCOURBE($A$27,_xlfn.CONCAT("THEME5=",$B112),SCENARIOS!$A$2,SCENARIOS!$B$2,1,YIELDS!G$1)</f>
        <v>2.4</v>
      </c>
      <c r="H112" cm="1">
        <f t="array" ref="H112">_xll.VALEURCOURBE($A$27,_xlfn.CONCAT("THEME5=",$B112),SCENARIOS!$A$2,SCENARIOS!$B$2,1,YIELDS!H$1)</f>
        <v>3.21</v>
      </c>
      <c r="I112" cm="1">
        <f t="array" ref="I112">_xll.VALEURCOURBE($A$27,_xlfn.CONCAT("THEME5=",$B112),SCENARIOS!$A$2,SCENARIOS!$B$2,1,YIELDS!I$1)</f>
        <v>4.01</v>
      </c>
      <c r="J112" cm="1">
        <f t="array" ref="J112">_xll.VALEURCOURBE($A$27,_xlfn.CONCAT("THEME5=",$B112),SCENARIOS!$A$2,SCENARIOS!$B$2,1,YIELDS!J$1)</f>
        <v>6.86</v>
      </c>
      <c r="K112" cm="1">
        <f t="array" ref="K112">_xll.VALEURCOURBE($A$27,_xlfn.CONCAT("THEME5=",$B112),SCENARIOS!$A$2,SCENARIOS!$B$2,1,YIELDS!K$1)</f>
        <v>9.64</v>
      </c>
      <c r="L112" cm="1">
        <f t="array" ref="L112">_xll.VALEURCOURBE($A$27,_xlfn.CONCAT("THEME5=",$B112),SCENARIOS!$A$2,SCENARIOS!$B$2,1,YIELDS!L$1)</f>
        <v>12.31</v>
      </c>
      <c r="M112" cm="1">
        <f t="array" ref="M112">_xll.VALEURCOURBE($A$27,_xlfn.CONCAT("THEME5=",$B112),SCENARIOS!$A$2,SCENARIOS!$B$2,1,YIELDS!M$1)</f>
        <v>14.89</v>
      </c>
      <c r="N112" cm="1">
        <f t="array" ref="N112">_xll.VALEURCOURBE($A$27,_xlfn.CONCAT("THEME5=",$B112),SCENARIOS!$A$2,SCENARIOS!$B$2,1,YIELDS!N$1)</f>
        <v>17.28</v>
      </c>
      <c r="O112" cm="1">
        <f t="array" ref="O112">_xll.VALEURCOURBE($A$27,_xlfn.CONCAT("THEME5=",$B112),SCENARIOS!$A$2,SCENARIOS!$B$2,1,YIELDS!O$1)</f>
        <v>19.53</v>
      </c>
      <c r="P112" cm="1">
        <f t="array" ref="P112">_xll.VALEURCOURBE($A$27,_xlfn.CONCAT("THEME5=",$B112),SCENARIOS!$A$2,SCENARIOS!$B$2,1,YIELDS!P$1)</f>
        <v>21.56</v>
      </c>
      <c r="Q112" cm="1">
        <f t="array" ref="Q112">_xll.VALEURCOURBE($A$27,_xlfn.CONCAT("THEME5=",$B112),SCENARIOS!$A$2,SCENARIOS!$B$2,1,YIELDS!Q$1)</f>
        <v>23.4</v>
      </c>
      <c r="R112" cm="1">
        <f t="array" ref="R112">_xll.VALEURCOURBE($A$27,_xlfn.CONCAT("THEME5=",$B112),SCENARIOS!$A$2,SCENARIOS!$B$2,1,YIELDS!R$1)</f>
        <v>25.04</v>
      </c>
      <c r="S112" cm="1">
        <f t="array" ref="S112">_xll.VALEURCOURBE($A$27,_xlfn.CONCAT("THEME5=",$B112),SCENARIOS!$A$2,SCENARIOS!$B$2,1,YIELDS!S$1)</f>
        <v>26.48</v>
      </c>
      <c r="T112" cm="1">
        <f t="array" ref="T112">_xll.VALEURCOURBE($A$27,_xlfn.CONCAT("THEME5=",$B112),SCENARIOS!$A$2,SCENARIOS!$B$2,1,YIELDS!T$1)</f>
        <v>27.7</v>
      </c>
      <c r="U112" cm="1">
        <f t="array" ref="U112">_xll.VALEURCOURBE($A$27,_xlfn.CONCAT("THEME5=",$B112),SCENARIOS!$A$2,SCENARIOS!$B$2,1,YIELDS!U$1)</f>
        <v>28.73</v>
      </c>
      <c r="V112" cm="1">
        <f t="array" ref="V112">_xll.VALEURCOURBE($A$27,_xlfn.CONCAT("THEME5=",$B112),SCENARIOS!$A$2,SCENARIOS!$B$2,1,YIELDS!V$1)</f>
        <v>29.54</v>
      </c>
    </row>
    <row r="113" spans="1:22" x14ac:dyDescent="0.25">
      <c r="A113" t="str">
        <v>YRGS30_32</v>
      </c>
      <c r="B113" t="str">
        <v>FC7331</v>
      </c>
      <c r="C113" cm="1">
        <f t="array" ref="C113">_xll.VALEURCOURBE($A$27,_xlfn.CONCAT("THEME5=",$B113),SCENARIOS!$A$2,SCENARIOS!$B$2,1,YIELDS!C$1)</f>
        <v>0</v>
      </c>
      <c r="D113" cm="1">
        <f t="array" ref="D113">_xll.VALEURCOURBE($A$27,_xlfn.CONCAT("THEME5=",$B113),SCENARIOS!$A$2,SCENARIOS!$B$2,1,YIELDS!D$1)</f>
        <v>0</v>
      </c>
      <c r="E113" cm="1">
        <f t="array" ref="E113">_xll.VALEURCOURBE($A$27,_xlfn.CONCAT("THEME5=",$B113),SCENARIOS!$A$2,SCENARIOS!$B$2,1,YIELDS!E$1)</f>
        <v>0</v>
      </c>
      <c r="F113" cm="1">
        <f t="array" ref="F113">_xll.VALEURCOURBE($A$27,_xlfn.CONCAT("THEME5=",$B113),SCENARIOS!$A$2,SCENARIOS!$B$2,1,YIELDS!F$1)</f>
        <v>0</v>
      </c>
      <c r="G113" cm="1">
        <f t="array" ref="G113">_xll.VALEURCOURBE($A$27,_xlfn.CONCAT("THEME5=",$B113),SCENARIOS!$A$2,SCENARIOS!$B$2,1,YIELDS!G$1)</f>
        <v>0</v>
      </c>
      <c r="H113" cm="1">
        <f t="array" ref="H113">_xll.VALEURCOURBE($A$27,_xlfn.CONCAT("THEME5=",$B113),SCENARIOS!$A$2,SCENARIOS!$B$2,1,YIELDS!H$1)</f>
        <v>0</v>
      </c>
      <c r="I113" cm="1">
        <f t="array" ref="I113">_xll.VALEURCOURBE($A$27,_xlfn.CONCAT("THEME5=",$B113),SCENARIOS!$A$2,SCENARIOS!$B$2,1,YIELDS!I$1)</f>
        <v>0</v>
      </c>
      <c r="J113" cm="1">
        <f t="array" ref="J113">_xll.VALEURCOURBE($A$27,_xlfn.CONCAT("THEME5=",$B113),SCENARIOS!$A$2,SCENARIOS!$B$2,1,YIELDS!J$1)</f>
        <v>2.94</v>
      </c>
      <c r="K113" cm="1">
        <f t="array" ref="K113">_xll.VALEURCOURBE($A$27,_xlfn.CONCAT("THEME5=",$B113),SCENARIOS!$A$2,SCENARIOS!$B$2,1,YIELDS!K$1)</f>
        <v>7.66</v>
      </c>
      <c r="L113" cm="1">
        <f t="array" ref="L113">_xll.VALEURCOURBE($A$27,_xlfn.CONCAT("THEME5=",$B113),SCENARIOS!$A$2,SCENARIOS!$B$2,1,YIELDS!L$1)</f>
        <v>12.37</v>
      </c>
      <c r="M113" cm="1">
        <f t="array" ref="M113">_xll.VALEURCOURBE($A$27,_xlfn.CONCAT("THEME5=",$B113),SCENARIOS!$A$2,SCENARIOS!$B$2,1,YIELDS!M$1)</f>
        <v>16.97</v>
      </c>
      <c r="N113" cm="1">
        <f t="array" ref="N113">_xll.VALEURCOURBE($A$27,_xlfn.CONCAT("THEME5=",$B113),SCENARIOS!$A$2,SCENARIOS!$B$2,1,YIELDS!N$1)</f>
        <v>21.38</v>
      </c>
      <c r="O113" cm="1">
        <f t="array" ref="O113">_xll.VALEURCOURBE($A$27,_xlfn.CONCAT("THEME5=",$B113),SCENARIOS!$A$2,SCENARIOS!$B$2,1,YIELDS!O$1)</f>
        <v>25.5</v>
      </c>
      <c r="P113" cm="1">
        <f t="array" ref="P113">_xll.VALEURCOURBE($A$27,_xlfn.CONCAT("THEME5=",$B113),SCENARIOS!$A$2,SCENARIOS!$B$2,1,YIELDS!P$1)</f>
        <v>29.32</v>
      </c>
      <c r="Q113" cm="1">
        <f t="array" ref="Q113">_xll.VALEURCOURBE($A$27,_xlfn.CONCAT("THEME5=",$B113),SCENARIOS!$A$2,SCENARIOS!$B$2,1,YIELDS!Q$1)</f>
        <v>32.78</v>
      </c>
      <c r="R113" cm="1">
        <f t="array" ref="R113">_xll.VALEURCOURBE($A$27,_xlfn.CONCAT("THEME5=",$B113),SCENARIOS!$A$2,SCENARIOS!$B$2,1,YIELDS!R$1)</f>
        <v>35.869999999999997</v>
      </c>
      <c r="S113" cm="1">
        <f t="array" ref="S113">_xll.VALEURCOURBE($A$27,_xlfn.CONCAT("THEME5=",$B113),SCENARIOS!$A$2,SCENARIOS!$B$2,1,YIELDS!S$1)</f>
        <v>38.590000000000003</v>
      </c>
      <c r="T113" cm="1">
        <f t="array" ref="T113">_xll.VALEURCOURBE($A$27,_xlfn.CONCAT("THEME5=",$B113),SCENARIOS!$A$2,SCENARIOS!$B$2,1,YIELDS!T$1)</f>
        <v>40.92</v>
      </c>
      <c r="U113" cm="1">
        <f t="array" ref="U113">_xll.VALEURCOURBE($A$27,_xlfn.CONCAT("THEME5=",$B113),SCENARIOS!$A$2,SCENARIOS!$B$2,1,YIELDS!U$1)</f>
        <v>42.89</v>
      </c>
      <c r="V113" cm="1">
        <f t="array" ref="V113">_xll.VALEURCOURBE($A$27,_xlfn.CONCAT("THEME5=",$B113),SCENARIOS!$A$2,SCENARIOS!$B$2,1,YIELDS!V$1)</f>
        <v>44.5</v>
      </c>
    </row>
    <row r="114" spans="1:22" x14ac:dyDescent="0.25">
      <c r="A114" t="str">
        <v>YRGS32_34</v>
      </c>
      <c r="B114" t="str">
        <v>FC7337</v>
      </c>
      <c r="C114" cm="1">
        <f t="array" ref="C114">_xll.VALEURCOURBE($A$27,_xlfn.CONCAT("THEME5=",$B114),SCENARIOS!$A$2,SCENARIOS!$B$2,1,YIELDS!C$1)</f>
        <v>0</v>
      </c>
      <c r="D114" cm="1">
        <f t="array" ref="D114">_xll.VALEURCOURBE($A$27,_xlfn.CONCAT("THEME5=",$B114),SCENARIOS!$A$2,SCENARIOS!$B$2,1,YIELDS!D$1)</f>
        <v>0</v>
      </c>
      <c r="E114" cm="1">
        <f t="array" ref="E114">_xll.VALEURCOURBE($A$27,_xlfn.CONCAT("THEME5=",$B114),SCENARIOS!$A$2,SCENARIOS!$B$2,1,YIELDS!E$1)</f>
        <v>0</v>
      </c>
      <c r="F114" cm="1">
        <f t="array" ref="F114">_xll.VALEURCOURBE($A$27,_xlfn.CONCAT("THEME5=",$B114),SCENARIOS!$A$2,SCENARIOS!$B$2,1,YIELDS!F$1)</f>
        <v>0</v>
      </c>
      <c r="G114" cm="1">
        <f t="array" ref="G114">_xll.VALEURCOURBE($A$27,_xlfn.CONCAT("THEME5=",$B114),SCENARIOS!$A$2,SCENARIOS!$B$2,1,YIELDS!G$1)</f>
        <v>0</v>
      </c>
      <c r="H114" cm="1">
        <f t="array" ref="H114">_xll.VALEURCOURBE($A$27,_xlfn.CONCAT("THEME5=",$B114),SCENARIOS!$A$2,SCENARIOS!$B$2,1,YIELDS!H$1)</f>
        <v>11.84</v>
      </c>
      <c r="I114" cm="1">
        <f t="array" ref="I114">_xll.VALEURCOURBE($A$27,_xlfn.CONCAT("THEME5=",$B114),SCENARIOS!$A$2,SCENARIOS!$B$2,1,YIELDS!I$1)</f>
        <v>23.69</v>
      </c>
      <c r="J114" cm="1">
        <f t="array" ref="J114">_xll.VALEURCOURBE($A$27,_xlfn.CONCAT("THEME5=",$B114),SCENARIOS!$A$2,SCENARIOS!$B$2,1,YIELDS!J$1)</f>
        <v>35.53</v>
      </c>
      <c r="K114" cm="1">
        <f t="array" ref="K114">_xll.VALEURCOURBE($A$27,_xlfn.CONCAT("THEME5=",$B114),SCENARIOS!$A$2,SCENARIOS!$B$2,1,YIELDS!K$1)</f>
        <v>47.38</v>
      </c>
      <c r="L114" cm="1">
        <f t="array" ref="L114">_xll.VALEURCOURBE($A$27,_xlfn.CONCAT("THEME5=",$B114),SCENARIOS!$A$2,SCENARIOS!$B$2,1,YIELDS!L$1)</f>
        <v>59.22</v>
      </c>
      <c r="M114" cm="1">
        <f t="array" ref="M114">_xll.VALEURCOURBE($A$27,_xlfn.CONCAT("THEME5=",$B114),SCENARIOS!$A$2,SCENARIOS!$B$2,1,YIELDS!M$1)</f>
        <v>71.069999999999993</v>
      </c>
      <c r="N114" cm="1">
        <f t="array" ref="N114">_xll.VALEURCOURBE($A$27,_xlfn.CONCAT("THEME5=",$B114),SCENARIOS!$A$2,SCENARIOS!$B$2,1,YIELDS!N$1)</f>
        <v>86.74</v>
      </c>
      <c r="O114" cm="1">
        <f t="array" ref="O114">_xll.VALEURCOURBE($A$27,_xlfn.CONCAT("THEME5=",$B114),SCENARIOS!$A$2,SCENARIOS!$B$2,1,YIELDS!O$1)</f>
        <v>97.97</v>
      </c>
      <c r="P114" cm="1">
        <f t="array" ref="P114">_xll.VALEURCOURBE($A$27,_xlfn.CONCAT("THEME5=",$B114),SCENARIOS!$A$2,SCENARIOS!$B$2,1,YIELDS!P$1)</f>
        <v>107.35</v>
      </c>
      <c r="Q114" cm="1">
        <f t="array" ref="Q114">_xll.VALEURCOURBE($A$27,_xlfn.CONCAT("THEME5=",$B114),SCENARIOS!$A$2,SCENARIOS!$B$2,1,YIELDS!Q$1)</f>
        <v>114.95</v>
      </c>
      <c r="R114" cm="1">
        <f t="array" ref="R114">_xll.VALEURCOURBE($A$27,_xlfn.CONCAT("THEME5=",$B114),SCENARIOS!$A$2,SCENARIOS!$B$2,1,YIELDS!R$1)</f>
        <v>120.87</v>
      </c>
      <c r="S114" cm="1">
        <f t="array" ref="S114">_xll.VALEURCOURBE($A$27,_xlfn.CONCAT("THEME5=",$B114),SCENARIOS!$A$2,SCENARIOS!$B$2,1,YIELDS!S$1)</f>
        <v>125.26</v>
      </c>
      <c r="T114" cm="1">
        <f t="array" ref="T114">_xll.VALEURCOURBE($A$27,_xlfn.CONCAT("THEME5=",$B114),SCENARIOS!$A$2,SCENARIOS!$B$2,1,YIELDS!T$1)</f>
        <v>128.21</v>
      </c>
      <c r="U114" cm="1">
        <f t="array" ref="U114">_xll.VALEURCOURBE($A$27,_xlfn.CONCAT("THEME5=",$B114),SCENARIOS!$A$2,SCENARIOS!$B$2,1,YIELDS!U$1)</f>
        <v>129.88999999999999</v>
      </c>
      <c r="V114" cm="1">
        <f t="array" ref="V114">_xll.VALEURCOURBE($A$27,_xlfn.CONCAT("THEME5=",$B114),SCENARIOS!$A$2,SCENARIOS!$B$2,1,YIELDS!V$1)</f>
        <v>130.4</v>
      </c>
    </row>
    <row r="115" spans="1:22" x14ac:dyDescent="0.25">
      <c r="A115" t="str">
        <v>YRGS34_36</v>
      </c>
      <c r="B115" t="str">
        <v>FC7346</v>
      </c>
      <c r="C115" cm="1">
        <f t="array" ref="C115">_xll.VALEURCOURBE($A$27,_xlfn.CONCAT("THEME5=",$B115),SCENARIOS!$A$2,SCENARIOS!$B$2,1,YIELDS!C$1)</f>
        <v>0</v>
      </c>
      <c r="D115" cm="1">
        <f t="array" ref="D115">_xll.VALEURCOURBE($A$27,_xlfn.CONCAT("THEME5=",$B115),SCENARIOS!$A$2,SCENARIOS!$B$2,1,YIELDS!D$1)</f>
        <v>0</v>
      </c>
      <c r="E115" cm="1">
        <f t="array" ref="E115">_xll.VALEURCOURBE($A$27,_xlfn.CONCAT("THEME5=",$B115),SCENARIOS!$A$2,SCENARIOS!$B$2,1,YIELDS!E$1)</f>
        <v>0</v>
      </c>
      <c r="F115" cm="1">
        <f t="array" ref="F115">_xll.VALEURCOURBE($A$27,_xlfn.CONCAT("THEME5=",$B115),SCENARIOS!$A$2,SCENARIOS!$B$2,1,YIELDS!F$1)</f>
        <v>0</v>
      </c>
      <c r="G115" cm="1">
        <f t="array" ref="G115">_xll.VALEURCOURBE($A$27,_xlfn.CONCAT("THEME5=",$B115),SCENARIOS!$A$2,SCENARIOS!$B$2,1,YIELDS!G$1)</f>
        <v>9.5</v>
      </c>
      <c r="H115" cm="1">
        <f t="array" ref="H115">_xll.VALEURCOURBE($A$27,_xlfn.CONCAT("THEME5=",$B115),SCENARIOS!$A$2,SCENARIOS!$B$2,1,YIELDS!H$1)</f>
        <v>27.62</v>
      </c>
      <c r="I115" cm="1">
        <f t="array" ref="I115">_xll.VALEURCOURBE($A$27,_xlfn.CONCAT("THEME5=",$B115),SCENARIOS!$A$2,SCENARIOS!$B$2,1,YIELDS!I$1)</f>
        <v>50.93</v>
      </c>
      <c r="J115" cm="1">
        <f t="array" ref="J115">_xll.VALEURCOURBE($A$27,_xlfn.CONCAT("THEME5=",$B115),SCENARIOS!$A$2,SCENARIOS!$B$2,1,YIELDS!J$1)</f>
        <v>75.099999999999994</v>
      </c>
      <c r="K115" cm="1">
        <f t="array" ref="K115">_xll.VALEURCOURBE($A$27,_xlfn.CONCAT("THEME5=",$B115),SCENARIOS!$A$2,SCENARIOS!$B$2,1,YIELDS!K$1)</f>
        <v>98.41</v>
      </c>
      <c r="L115" cm="1">
        <f t="array" ref="L115">_xll.VALEURCOURBE($A$27,_xlfn.CONCAT("THEME5=",$B115),SCENARIOS!$A$2,SCENARIOS!$B$2,1,YIELDS!L$1)</f>
        <v>118.26</v>
      </c>
      <c r="M115" cm="1">
        <f t="array" ref="M115">_xll.VALEURCOURBE($A$27,_xlfn.CONCAT("THEME5=",$B115),SCENARIOS!$A$2,SCENARIOS!$B$2,1,YIELDS!M$1)</f>
        <v>133.80000000000001</v>
      </c>
      <c r="N115" cm="1">
        <f t="array" ref="N115">_xll.VALEURCOURBE($A$27,_xlfn.CONCAT("THEME5=",$B115),SCENARIOS!$A$2,SCENARIOS!$B$2,1,YIELDS!N$1)</f>
        <v>146.75</v>
      </c>
      <c r="O115" cm="1">
        <f t="array" ref="O115">_xll.VALEURCOURBE($A$27,_xlfn.CONCAT("THEME5=",$B115),SCENARIOS!$A$2,SCENARIOS!$B$2,1,YIELDS!O$1)</f>
        <v>158.83000000000001</v>
      </c>
      <c r="P115" cm="1">
        <f t="array" ref="P115">_xll.VALEURCOURBE($A$27,_xlfn.CONCAT("THEME5=",$B115),SCENARIOS!$A$2,SCENARIOS!$B$2,1,YIELDS!P$1)</f>
        <v>169.19</v>
      </c>
      <c r="Q115" cm="1">
        <f t="array" ref="Q115">_xll.VALEURCOURBE($A$27,_xlfn.CONCAT("THEME5=",$B115),SCENARIOS!$A$2,SCENARIOS!$B$2,1,YIELDS!Q$1)</f>
        <v>177.82</v>
      </c>
      <c r="R115" cm="1">
        <f t="array" ref="R115">_xll.VALEURCOURBE($A$27,_xlfn.CONCAT("THEME5=",$B115),SCENARIOS!$A$2,SCENARIOS!$B$2,1,YIELDS!R$1)</f>
        <v>185.59</v>
      </c>
      <c r="S115" cm="1">
        <f t="array" ref="S115">_xll.VALEURCOURBE($A$27,_xlfn.CONCAT("THEME5=",$B115),SCENARIOS!$A$2,SCENARIOS!$B$2,1,YIELDS!S$1)</f>
        <v>190.77</v>
      </c>
      <c r="T115" cm="1">
        <f t="array" ref="T115">_xll.VALEURCOURBE($A$27,_xlfn.CONCAT("THEME5=",$B115),SCENARIOS!$A$2,SCENARIOS!$B$2,1,YIELDS!T$1)</f>
        <v>195.09</v>
      </c>
      <c r="U115" cm="1">
        <f t="array" ref="U115">_xll.VALEURCOURBE($A$27,_xlfn.CONCAT("THEME5=",$B115),SCENARIOS!$A$2,SCENARIOS!$B$2,1,YIELDS!U$1)</f>
        <v>196.81</v>
      </c>
      <c r="V115" cm="1">
        <f t="array" ref="V115">_xll.VALEURCOURBE($A$27,_xlfn.CONCAT("THEME5=",$B115),SCENARIOS!$A$2,SCENARIOS!$B$2,1,YIELDS!V$1)</f>
        <v>197.68</v>
      </c>
    </row>
    <row r="116" spans="1:22" x14ac:dyDescent="0.25">
      <c r="A116" t="str">
        <v>YRGS36_38</v>
      </c>
      <c r="B116" t="str">
        <v>FC7347</v>
      </c>
      <c r="C116" cm="1">
        <f t="array" ref="C116">_xll.VALEURCOURBE($A$27,_xlfn.CONCAT("THEME5=",$B116),SCENARIOS!$A$2,SCENARIOS!$B$2,1,YIELDS!C$1)</f>
        <v>0</v>
      </c>
      <c r="D116" cm="1">
        <f t="array" ref="D116">_xll.VALEURCOURBE($A$27,_xlfn.CONCAT("THEME5=",$B116),SCENARIOS!$A$2,SCENARIOS!$B$2,1,YIELDS!D$1)</f>
        <v>0</v>
      </c>
      <c r="E116" cm="1">
        <f t="array" ref="E116">_xll.VALEURCOURBE($A$27,_xlfn.CONCAT("THEME5=",$B116),SCENARIOS!$A$2,SCENARIOS!$B$2,1,YIELDS!E$1)</f>
        <v>0</v>
      </c>
      <c r="F116" cm="1">
        <f t="array" ref="F116">_xll.VALEURCOURBE($A$27,_xlfn.CONCAT("THEME5=",$B116),SCENARIOS!$A$2,SCENARIOS!$B$2,1,YIELDS!F$1)</f>
        <v>0</v>
      </c>
      <c r="G116" cm="1">
        <f t="array" ref="G116">_xll.VALEURCOURBE($A$27,_xlfn.CONCAT("THEME5=",$B116),SCENARIOS!$A$2,SCENARIOS!$B$2,1,YIELDS!G$1)</f>
        <v>12.95</v>
      </c>
      <c r="H116" cm="1">
        <f t="array" ref="H116">_xll.VALEURCOURBE($A$27,_xlfn.CONCAT("THEME5=",$B116),SCENARIOS!$A$2,SCENARIOS!$B$2,1,YIELDS!H$1)</f>
        <v>30.21</v>
      </c>
      <c r="I116" cm="1">
        <f t="array" ref="I116">_xll.VALEURCOURBE($A$27,_xlfn.CONCAT("THEME5=",$B116),SCENARIOS!$A$2,SCENARIOS!$B$2,1,YIELDS!I$1)</f>
        <v>51.79</v>
      </c>
      <c r="J116" cm="1">
        <f t="array" ref="J116">_xll.VALEURCOURBE($A$27,_xlfn.CONCAT("THEME5=",$B116),SCENARIOS!$A$2,SCENARIOS!$B$2,1,YIELDS!J$1)</f>
        <v>75.959999999999994</v>
      </c>
      <c r="K116" cm="1">
        <f t="array" ref="K116">_xll.VALEURCOURBE($A$27,_xlfn.CONCAT("THEME5=",$B116),SCENARIOS!$A$2,SCENARIOS!$B$2,1,YIELDS!K$1)</f>
        <v>98.41</v>
      </c>
      <c r="L116" cm="1">
        <f t="array" ref="L116">_xll.VALEURCOURBE($A$27,_xlfn.CONCAT("THEME5=",$B116),SCENARIOS!$A$2,SCENARIOS!$B$2,1,YIELDS!L$1)</f>
        <v>117.4</v>
      </c>
      <c r="M116" cm="1">
        <f t="array" ref="M116">_xll.VALEURCOURBE($A$27,_xlfn.CONCAT("THEME5=",$B116),SCENARIOS!$A$2,SCENARIOS!$B$2,1,YIELDS!M$1)</f>
        <v>132.93</v>
      </c>
      <c r="N116" cm="1">
        <f t="array" ref="N116">_xll.VALEURCOURBE($A$27,_xlfn.CONCAT("THEME5=",$B116),SCENARIOS!$A$2,SCENARIOS!$B$2,1,YIELDS!N$1)</f>
        <v>145.02000000000001</v>
      </c>
      <c r="O116" cm="1">
        <f t="array" ref="O116">_xll.VALEURCOURBE($A$27,_xlfn.CONCAT("THEME5=",$B116),SCENARIOS!$A$2,SCENARIOS!$B$2,1,YIELDS!O$1)</f>
        <v>157.1</v>
      </c>
      <c r="P116" cm="1">
        <f t="array" ref="P116">_xll.VALEURCOURBE($A$27,_xlfn.CONCAT("THEME5=",$B116),SCENARIOS!$A$2,SCENARIOS!$B$2,1,YIELDS!P$1)</f>
        <v>168.33</v>
      </c>
      <c r="Q116" cm="1">
        <f t="array" ref="Q116">_xll.VALEURCOURBE($A$27,_xlfn.CONCAT("THEME5=",$B116),SCENARIOS!$A$2,SCENARIOS!$B$2,1,YIELDS!Q$1)</f>
        <v>177.82</v>
      </c>
      <c r="R116" cm="1">
        <f t="array" ref="R116">_xll.VALEURCOURBE($A$27,_xlfn.CONCAT("THEME5=",$B116),SCENARIOS!$A$2,SCENARIOS!$B$2,1,YIELDS!R$1)</f>
        <v>185.59</v>
      </c>
      <c r="S116" cm="1">
        <f t="array" ref="S116">_xll.VALEURCOURBE($A$27,_xlfn.CONCAT("THEME5=",$B116),SCENARIOS!$A$2,SCENARIOS!$B$2,1,YIELDS!S$1)</f>
        <v>191.63</v>
      </c>
      <c r="T116" cm="1">
        <f t="array" ref="T116">_xll.VALEURCOURBE($A$27,_xlfn.CONCAT("THEME5=",$B116),SCENARIOS!$A$2,SCENARIOS!$B$2,1,YIELDS!T$1)</f>
        <v>195.95</v>
      </c>
      <c r="U116" cm="1">
        <f t="array" ref="U116">_xll.VALEURCOURBE($A$27,_xlfn.CONCAT("THEME5=",$B116),SCENARIOS!$A$2,SCENARIOS!$B$2,1,YIELDS!U$1)</f>
        <v>198.54</v>
      </c>
      <c r="V116" cm="1">
        <f t="array" ref="V116">_xll.VALEURCOURBE($A$27,_xlfn.CONCAT("THEME5=",$B116),SCENARIOS!$A$2,SCENARIOS!$B$2,1,YIELDS!V$1)</f>
        <v>199.4</v>
      </c>
    </row>
    <row r="117" spans="1:22" x14ac:dyDescent="0.25">
      <c r="A117" t="str">
        <v>YRGS38_40</v>
      </c>
      <c r="B117" t="str">
        <v>FC7358</v>
      </c>
      <c r="C117" cm="1">
        <f t="array" ref="C117">_xll.VALEURCOURBE($A$27,_xlfn.CONCAT("THEME5=",$B117),SCENARIOS!$A$2,SCENARIOS!$B$2,1,YIELDS!C$1)</f>
        <v>0</v>
      </c>
      <c r="D117" cm="1">
        <f t="array" ref="D117">_xll.VALEURCOURBE($A$27,_xlfn.CONCAT("THEME5=",$B117),SCENARIOS!$A$2,SCENARIOS!$B$2,1,YIELDS!D$1)</f>
        <v>0</v>
      </c>
      <c r="E117" cm="1">
        <f t="array" ref="E117">_xll.VALEURCOURBE($A$27,_xlfn.CONCAT("THEME5=",$B117),SCENARIOS!$A$2,SCENARIOS!$B$2,1,YIELDS!E$1)</f>
        <v>1.98</v>
      </c>
      <c r="F117" cm="1">
        <f t="array" ref="F117">_xll.VALEURCOURBE($A$27,_xlfn.CONCAT("THEME5=",$B117),SCENARIOS!$A$2,SCENARIOS!$B$2,1,YIELDS!F$1)</f>
        <v>4.99</v>
      </c>
      <c r="G117" cm="1">
        <f t="array" ref="G117">_xll.VALEURCOURBE($A$27,_xlfn.CONCAT("THEME5=",$B117),SCENARIOS!$A$2,SCENARIOS!$B$2,1,YIELDS!G$1)</f>
        <v>8.48</v>
      </c>
      <c r="H117" cm="1">
        <f t="array" ref="H117">_xll.VALEURCOURBE($A$27,_xlfn.CONCAT("THEME5=",$B117),SCENARIOS!$A$2,SCENARIOS!$B$2,1,YIELDS!H$1)</f>
        <v>12.43</v>
      </c>
      <c r="I117" cm="1">
        <f t="array" ref="I117">_xll.VALEURCOURBE($A$27,_xlfn.CONCAT("THEME5=",$B117),SCENARIOS!$A$2,SCENARIOS!$B$2,1,YIELDS!I$1)</f>
        <v>16.96</v>
      </c>
      <c r="J117" cm="1">
        <f t="array" ref="J117">_xll.VALEURCOURBE($A$27,_xlfn.CONCAT("THEME5=",$B117),SCENARIOS!$A$2,SCENARIOS!$B$2,1,YIELDS!J$1)</f>
        <v>21.96</v>
      </c>
      <c r="K117" cm="1">
        <f t="array" ref="K117">_xll.VALEURCOURBE($A$27,_xlfn.CONCAT("THEME5=",$B117),SCENARIOS!$A$2,SCENARIOS!$B$2,1,YIELDS!K$1)</f>
        <v>26.48</v>
      </c>
      <c r="L117" cm="1">
        <f t="array" ref="L117">_xll.VALEURCOURBE($A$27,_xlfn.CONCAT("THEME5=",$B117),SCENARIOS!$A$2,SCENARIOS!$B$2,1,YIELDS!L$1)</f>
        <v>31.13</v>
      </c>
      <c r="M117" cm="1">
        <f t="array" ref="M117">_xll.VALEURCOURBE($A$27,_xlfn.CONCAT("THEME5=",$B117),SCENARIOS!$A$2,SCENARIOS!$B$2,1,YIELDS!M$1)</f>
        <v>35.31</v>
      </c>
      <c r="N117" cm="1">
        <f t="array" ref="N117">_xll.VALEURCOURBE($A$27,_xlfn.CONCAT("THEME5=",$B117),SCENARIOS!$A$2,SCENARIOS!$B$2,1,YIELDS!N$1)</f>
        <v>39.14</v>
      </c>
      <c r="O117" cm="1">
        <f t="array" ref="O117">_xll.VALEURCOURBE($A$27,_xlfn.CONCAT("THEME5=",$B117),SCENARIOS!$A$2,SCENARIOS!$B$2,1,YIELDS!O$1)</f>
        <v>42.52</v>
      </c>
      <c r="P117" cm="1">
        <f t="array" ref="P117">_xll.VALEURCOURBE($A$27,_xlfn.CONCAT("THEME5=",$B117),SCENARIOS!$A$2,SCENARIOS!$B$2,1,YIELDS!P$1)</f>
        <v>45.3</v>
      </c>
      <c r="Q117" cm="1">
        <f t="array" ref="Q117">_xll.VALEURCOURBE($A$27,_xlfn.CONCAT("THEME5=",$B117),SCENARIOS!$A$2,SCENARIOS!$B$2,1,YIELDS!Q$1)</f>
        <v>47.51</v>
      </c>
      <c r="R117" cm="1">
        <f t="array" ref="R117">_xll.VALEURCOURBE($A$27,_xlfn.CONCAT("THEME5=",$B117),SCENARIOS!$A$2,SCENARIOS!$B$2,1,YIELDS!R$1)</f>
        <v>48.9</v>
      </c>
      <c r="S117" cm="1">
        <f t="array" ref="S117">_xll.VALEURCOURBE($A$27,_xlfn.CONCAT("THEME5=",$B117),SCENARIOS!$A$2,SCENARIOS!$B$2,1,YIELDS!S$1)</f>
        <v>49.48</v>
      </c>
      <c r="T117" cm="1">
        <f t="array" ref="T117">_xll.VALEURCOURBE($A$27,_xlfn.CONCAT("THEME5=",$B117),SCENARIOS!$A$2,SCENARIOS!$B$2,1,YIELDS!T$1)</f>
        <v>49.36</v>
      </c>
      <c r="U117" cm="1">
        <f t="array" ref="U117">_xll.VALEURCOURBE($A$27,_xlfn.CONCAT("THEME5=",$B117),SCENARIOS!$A$2,SCENARIOS!$B$2,1,YIELDS!U$1)</f>
        <v>48.32</v>
      </c>
      <c r="V117" cm="1">
        <f t="array" ref="V117">_xll.VALEURCOURBE($A$27,_xlfn.CONCAT("THEME5=",$B117),SCENARIOS!$A$2,SCENARIOS!$B$2,1,YIELDS!V$1)</f>
        <v>46.57</v>
      </c>
    </row>
    <row r="118" spans="1:22" x14ac:dyDescent="0.25">
      <c r="A118" t="str">
        <v>YRGS40_42</v>
      </c>
      <c r="B118" t="str">
        <v>FC7359</v>
      </c>
      <c r="C118" cm="1">
        <f t="array" ref="C118">_xll.VALEURCOURBE($A$27,_xlfn.CONCAT("THEME5=",$B118),SCENARIOS!$A$2,SCENARIOS!$B$2,1,YIELDS!C$1)</f>
        <v>0</v>
      </c>
      <c r="D118" cm="1">
        <f t="array" ref="D118">_xll.VALEURCOURBE($A$27,_xlfn.CONCAT("THEME5=",$B118),SCENARIOS!$A$2,SCENARIOS!$B$2,1,YIELDS!D$1)</f>
        <v>0</v>
      </c>
      <c r="E118" cm="1">
        <f t="array" ref="E118">_xll.VALEURCOURBE($A$27,_xlfn.CONCAT("THEME5=",$B118),SCENARIOS!$A$2,SCENARIOS!$B$2,1,YIELDS!E$1)</f>
        <v>1.63</v>
      </c>
      <c r="F118" cm="1">
        <f t="array" ref="F118">_xll.VALEURCOURBE($A$27,_xlfn.CONCAT("THEME5=",$B118),SCENARIOS!$A$2,SCENARIOS!$B$2,1,YIELDS!F$1)</f>
        <v>4.53</v>
      </c>
      <c r="G118" cm="1">
        <f t="array" ref="G118">_xll.VALEURCOURBE($A$27,_xlfn.CONCAT("THEME5=",$B118),SCENARIOS!$A$2,SCENARIOS!$B$2,1,YIELDS!G$1)</f>
        <v>8.01</v>
      </c>
      <c r="H118" cm="1">
        <f t="array" ref="H118">_xll.VALEURCOURBE($A$27,_xlfn.CONCAT("THEME5=",$B118),SCENARIOS!$A$2,SCENARIOS!$B$2,1,YIELDS!H$1)</f>
        <v>11.97</v>
      </c>
      <c r="I118" cm="1">
        <f t="array" ref="I118">_xll.VALEURCOURBE($A$27,_xlfn.CONCAT("THEME5=",$B118),SCENARIOS!$A$2,SCENARIOS!$B$2,1,YIELDS!I$1)</f>
        <v>16.38</v>
      </c>
      <c r="J118" cm="1">
        <f t="array" ref="J118">_xll.VALEURCOURBE($A$27,_xlfn.CONCAT("THEME5=",$B118),SCENARIOS!$A$2,SCENARIOS!$B$2,1,YIELDS!J$1)</f>
        <v>21.25</v>
      </c>
      <c r="K118" cm="1">
        <f t="array" ref="K118">_xll.VALEURCOURBE($A$27,_xlfn.CONCAT("THEME5=",$B118),SCENARIOS!$A$2,SCENARIOS!$B$2,1,YIELDS!K$1)</f>
        <v>25.9</v>
      </c>
      <c r="L118" cm="1">
        <f t="array" ref="L118">_xll.VALEURCOURBE($A$27,_xlfn.CONCAT("THEME5=",$B118),SCENARIOS!$A$2,SCENARIOS!$B$2,1,YIELDS!L$1)</f>
        <v>30.31</v>
      </c>
      <c r="M118" cm="1">
        <f t="array" ref="M118">_xll.VALEURCOURBE($A$27,_xlfn.CONCAT("THEME5=",$B118),SCENARIOS!$A$2,SCENARIOS!$B$2,1,YIELDS!M$1)</f>
        <v>34.380000000000003</v>
      </c>
      <c r="N118" cm="1">
        <f t="array" ref="N118">_xll.VALEURCOURBE($A$27,_xlfn.CONCAT("THEME5=",$B118),SCENARIOS!$A$2,SCENARIOS!$B$2,1,YIELDS!N$1)</f>
        <v>38.21</v>
      </c>
      <c r="O118" cm="1">
        <f t="array" ref="O118">_xll.VALEURCOURBE($A$27,_xlfn.CONCAT("THEME5=",$B118),SCENARIOS!$A$2,SCENARIOS!$B$2,1,YIELDS!O$1)</f>
        <v>41.47</v>
      </c>
      <c r="P118" cm="1">
        <f t="array" ref="P118">_xll.VALEURCOURBE($A$27,_xlfn.CONCAT("THEME5=",$B118),SCENARIOS!$A$2,SCENARIOS!$B$2,1,YIELDS!P$1)</f>
        <v>44.26</v>
      </c>
      <c r="Q118" cm="1">
        <f t="array" ref="Q118">_xll.VALEURCOURBE($A$27,_xlfn.CONCAT("THEME5=",$B118),SCENARIOS!$A$2,SCENARIOS!$B$2,1,YIELDS!Q$1)</f>
        <v>46.35</v>
      </c>
      <c r="R118" cm="1">
        <f t="array" ref="R118">_xll.VALEURCOURBE($A$27,_xlfn.CONCAT("THEME5=",$B118),SCENARIOS!$A$2,SCENARIOS!$B$2,1,YIELDS!R$1)</f>
        <v>47.73</v>
      </c>
      <c r="S118" cm="1">
        <f t="array" ref="S118">_xll.VALEURCOURBE($A$27,_xlfn.CONCAT("THEME5=",$B118),SCENARIOS!$A$2,SCENARIOS!$B$2,1,YIELDS!S$1)</f>
        <v>48.44</v>
      </c>
      <c r="T118" cm="1">
        <f t="array" ref="T118">_xll.VALEURCOURBE($A$27,_xlfn.CONCAT("THEME5=",$B118),SCENARIOS!$A$2,SCENARIOS!$B$2,1,YIELDS!T$1)</f>
        <v>48.32</v>
      </c>
      <c r="U118" cm="1">
        <f t="array" ref="U118">_xll.VALEURCOURBE($A$27,_xlfn.CONCAT("THEME5=",$B118),SCENARIOS!$A$2,SCENARIOS!$B$2,1,YIELDS!U$1)</f>
        <v>47.39</v>
      </c>
      <c r="V118" cm="1">
        <f t="array" ref="V118">_xll.VALEURCOURBE($A$27,_xlfn.CONCAT("THEME5=",$B118),SCENARIOS!$A$2,SCENARIOS!$B$2,1,YIELDS!V$1)</f>
        <v>45.64</v>
      </c>
    </row>
    <row r="119" spans="1:22" x14ac:dyDescent="0.25">
      <c r="A119" t="str">
        <v>YRGS42_44</v>
      </c>
      <c r="B119" t="str">
        <v>FC7366</v>
      </c>
      <c r="C119" cm="1">
        <f t="array" ref="C119">_xll.VALEURCOURBE($A$27,_xlfn.CONCAT("THEME5=",$B119),SCENARIOS!$A$2,SCENARIOS!$B$2,1,YIELDS!C$1)</f>
        <v>0</v>
      </c>
      <c r="D119" cm="1">
        <f t="array" ref="D119">_xll.VALEURCOURBE($A$27,_xlfn.CONCAT("THEME5=",$B119),SCENARIOS!$A$2,SCENARIOS!$B$2,1,YIELDS!D$1)</f>
        <v>0</v>
      </c>
      <c r="E119" cm="1">
        <f t="array" ref="E119">_xll.VALEURCOURBE($A$27,_xlfn.CONCAT("THEME5=",$B119),SCENARIOS!$A$2,SCENARIOS!$B$2,1,YIELDS!E$1)</f>
        <v>0.93</v>
      </c>
      <c r="F119" cm="1">
        <f t="array" ref="F119">_xll.VALEURCOURBE($A$27,_xlfn.CONCAT("THEME5=",$B119),SCENARIOS!$A$2,SCENARIOS!$B$2,1,YIELDS!F$1)</f>
        <v>3.49</v>
      </c>
      <c r="G119" cm="1">
        <f t="array" ref="G119">_xll.VALEURCOURBE($A$27,_xlfn.CONCAT("THEME5=",$B119),SCENARIOS!$A$2,SCENARIOS!$B$2,1,YIELDS!G$1)</f>
        <v>6.63</v>
      </c>
      <c r="H119" cm="1">
        <f t="array" ref="H119">_xll.VALEURCOURBE($A$27,_xlfn.CONCAT("THEME5=",$B119),SCENARIOS!$A$2,SCENARIOS!$B$2,1,YIELDS!H$1)</f>
        <v>10.1</v>
      </c>
      <c r="I119" cm="1">
        <f t="array" ref="I119">_xll.VALEURCOURBE($A$27,_xlfn.CONCAT("THEME5=",$B119),SCENARIOS!$A$2,SCENARIOS!$B$2,1,YIELDS!I$1)</f>
        <v>14.17</v>
      </c>
      <c r="J119" cm="1">
        <f t="array" ref="J119">_xll.VALEURCOURBE($A$27,_xlfn.CONCAT("THEME5=",$B119),SCENARIOS!$A$2,SCENARIOS!$B$2,1,YIELDS!J$1)</f>
        <v>18.47</v>
      </c>
      <c r="K119" cm="1">
        <f t="array" ref="K119">_xll.VALEURCOURBE($A$27,_xlfn.CONCAT("THEME5=",$B119),SCENARIOS!$A$2,SCENARIOS!$B$2,1,YIELDS!K$1)</f>
        <v>22.41</v>
      </c>
      <c r="L119" cm="1">
        <f t="array" ref="L119">_xll.VALEURCOURBE($A$27,_xlfn.CONCAT("THEME5=",$B119),SCENARIOS!$A$2,SCENARIOS!$B$2,1,YIELDS!L$1)</f>
        <v>26.13</v>
      </c>
      <c r="M119" cm="1">
        <f t="array" ref="M119">_xll.VALEURCOURBE($A$27,_xlfn.CONCAT("THEME5=",$B119),SCENARIOS!$A$2,SCENARIOS!$B$2,1,YIELDS!M$1)</f>
        <v>29.39</v>
      </c>
      <c r="N119" cm="1">
        <f t="array" ref="N119">_xll.VALEURCOURBE($A$27,_xlfn.CONCAT("THEME5=",$B119),SCENARIOS!$A$2,SCENARIOS!$B$2,1,YIELDS!N$1)</f>
        <v>32.869999999999997</v>
      </c>
      <c r="O119" cm="1">
        <f t="array" ref="O119">_xll.VALEURCOURBE($A$27,_xlfn.CONCAT("THEME5=",$B119),SCENARIOS!$A$2,SCENARIOS!$B$2,1,YIELDS!O$1)</f>
        <v>35.78</v>
      </c>
      <c r="P119" cm="1">
        <f t="array" ref="P119">_xll.VALEURCOURBE($A$27,_xlfn.CONCAT("THEME5=",$B119),SCENARIOS!$A$2,SCENARIOS!$B$2,1,YIELDS!P$1)</f>
        <v>38.1</v>
      </c>
      <c r="Q119" cm="1">
        <f t="array" ref="Q119">_xll.VALEURCOURBE($A$27,_xlfn.CONCAT("THEME5=",$B119),SCENARIOS!$A$2,SCENARIOS!$B$2,1,YIELDS!Q$1)</f>
        <v>39.840000000000003</v>
      </c>
      <c r="R119" cm="1">
        <f t="array" ref="R119">_xll.VALEURCOURBE($A$27,_xlfn.CONCAT("THEME5=",$B119),SCENARIOS!$A$2,SCENARIOS!$B$2,1,YIELDS!R$1)</f>
        <v>40.880000000000003</v>
      </c>
      <c r="S119" cm="1">
        <f t="array" ref="S119">_xll.VALEURCOURBE($A$27,_xlfn.CONCAT("THEME5=",$B119),SCENARIOS!$A$2,SCENARIOS!$B$2,1,YIELDS!S$1)</f>
        <v>41.35</v>
      </c>
      <c r="T119" cm="1">
        <f t="array" ref="T119">_xll.VALEURCOURBE($A$27,_xlfn.CONCAT("THEME5=",$B119),SCENARIOS!$A$2,SCENARIOS!$B$2,1,YIELDS!T$1)</f>
        <v>41.12</v>
      </c>
      <c r="U119" cm="1">
        <f t="array" ref="U119">_xll.VALEURCOURBE($A$27,_xlfn.CONCAT("THEME5=",$B119),SCENARIOS!$A$2,SCENARIOS!$B$2,1,YIELDS!U$1)</f>
        <v>40.299999999999997</v>
      </c>
      <c r="V119" cm="1">
        <f t="array" ref="V119">_xll.VALEURCOURBE($A$27,_xlfn.CONCAT("THEME5=",$B119),SCENARIOS!$A$2,SCENARIOS!$B$2,1,YIELDS!V$1)</f>
        <v>38.68</v>
      </c>
    </row>
    <row r="120" spans="1:22" x14ac:dyDescent="0.25">
      <c r="A120" t="str">
        <v>YRGS44_99</v>
      </c>
      <c r="B120" t="str">
        <v>FC7367</v>
      </c>
      <c r="C120" cm="1">
        <f t="array" ref="C120">_xll.VALEURCOURBE($A$27,_xlfn.CONCAT("THEME5=",$B120),SCENARIOS!$A$2,SCENARIOS!$B$2,1,YIELDS!C$1)</f>
        <v>0</v>
      </c>
      <c r="D120" cm="1">
        <f t="array" ref="D120">_xll.VALEURCOURBE($A$27,_xlfn.CONCAT("THEME5=",$B120),SCENARIOS!$A$2,SCENARIOS!$B$2,1,YIELDS!D$1)</f>
        <v>0</v>
      </c>
      <c r="E120" cm="1">
        <f t="array" ref="E120">_xll.VALEURCOURBE($A$27,_xlfn.CONCAT("THEME5=",$B120),SCENARIOS!$A$2,SCENARIOS!$B$2,1,YIELDS!E$1)</f>
        <v>0.57999999999999996</v>
      </c>
      <c r="F120" cm="1">
        <f t="array" ref="F120">_xll.VALEURCOURBE($A$27,_xlfn.CONCAT("THEME5=",$B120),SCENARIOS!$A$2,SCENARIOS!$B$2,1,YIELDS!F$1)</f>
        <v>3.02</v>
      </c>
      <c r="G120" cm="1">
        <f t="array" ref="G120">_xll.VALEURCOURBE($A$27,_xlfn.CONCAT("THEME5=",$B120),SCENARIOS!$A$2,SCENARIOS!$B$2,1,YIELDS!G$1)</f>
        <v>6.16</v>
      </c>
      <c r="H120" cm="1">
        <f t="array" ref="H120">_xll.VALEURCOURBE($A$27,_xlfn.CONCAT("THEME5=",$B120),SCENARIOS!$A$2,SCENARIOS!$B$2,1,YIELDS!H$1)</f>
        <v>9.64</v>
      </c>
      <c r="I120" cm="1">
        <f t="array" ref="I120">_xll.VALEURCOURBE($A$27,_xlfn.CONCAT("THEME5=",$B120),SCENARIOS!$A$2,SCENARIOS!$B$2,1,YIELDS!I$1)</f>
        <v>13.59</v>
      </c>
      <c r="J120" cm="1">
        <f t="array" ref="J120">_xll.VALEURCOURBE($A$27,_xlfn.CONCAT("THEME5=",$B120),SCENARIOS!$A$2,SCENARIOS!$B$2,1,YIELDS!J$1)</f>
        <v>17.89</v>
      </c>
      <c r="K120" cm="1">
        <f t="array" ref="K120">_xll.VALEURCOURBE($A$27,_xlfn.CONCAT("THEME5=",$B120),SCENARIOS!$A$2,SCENARIOS!$B$2,1,YIELDS!K$1)</f>
        <v>21.83</v>
      </c>
      <c r="L120" cm="1">
        <f t="array" ref="L120">_xll.VALEURCOURBE($A$27,_xlfn.CONCAT("THEME5=",$B120),SCENARIOS!$A$2,SCENARIOS!$B$2,1,YIELDS!L$1)</f>
        <v>25.55</v>
      </c>
      <c r="M120" cm="1">
        <f t="array" ref="M120">_xll.VALEURCOURBE($A$27,_xlfn.CONCAT("THEME5=",$B120),SCENARIOS!$A$2,SCENARIOS!$B$2,1,YIELDS!M$1)</f>
        <v>28.81</v>
      </c>
      <c r="N120" cm="1">
        <f t="array" ref="N120">_xll.VALEURCOURBE($A$27,_xlfn.CONCAT("THEME5=",$B120),SCENARIOS!$A$2,SCENARIOS!$B$2,1,YIELDS!N$1)</f>
        <v>32.4</v>
      </c>
      <c r="O120" cm="1">
        <f t="array" ref="O120">_xll.VALEURCOURBE($A$27,_xlfn.CONCAT("THEME5=",$B120),SCENARIOS!$A$2,SCENARIOS!$B$2,1,YIELDS!O$1)</f>
        <v>35.200000000000003</v>
      </c>
      <c r="P120" cm="1">
        <f t="array" ref="P120">_xll.VALEURCOURBE($A$27,_xlfn.CONCAT("THEME5=",$B120),SCENARIOS!$A$2,SCENARIOS!$B$2,1,YIELDS!P$1)</f>
        <v>37.520000000000003</v>
      </c>
      <c r="Q120" cm="1">
        <f t="array" ref="Q120">_xll.VALEURCOURBE($A$27,_xlfn.CONCAT("THEME5=",$B120),SCENARIOS!$A$2,SCENARIOS!$B$2,1,YIELDS!Q$1)</f>
        <v>39.26</v>
      </c>
      <c r="R120" cm="1">
        <f t="array" ref="R120">_xll.VALEURCOURBE($A$27,_xlfn.CONCAT("THEME5=",$B120),SCENARIOS!$A$2,SCENARIOS!$B$2,1,YIELDS!R$1)</f>
        <v>40.43</v>
      </c>
      <c r="S120" cm="1">
        <f t="array" ref="S120">_xll.VALEURCOURBE($A$27,_xlfn.CONCAT("THEME5=",$B120),SCENARIOS!$A$2,SCENARIOS!$B$2,1,YIELDS!S$1)</f>
        <v>41</v>
      </c>
      <c r="T120" cm="1">
        <f t="array" ref="T120">_xll.VALEURCOURBE($A$27,_xlfn.CONCAT("THEME5=",$B120),SCENARIOS!$A$2,SCENARIOS!$B$2,1,YIELDS!T$1)</f>
        <v>40.770000000000003</v>
      </c>
      <c r="U120" cm="1">
        <f t="array" ref="U120">_xll.VALEURCOURBE($A$27,_xlfn.CONCAT("THEME5=",$B120),SCENARIOS!$A$2,SCENARIOS!$B$2,1,YIELDS!U$1)</f>
        <v>39.96</v>
      </c>
      <c r="V120" cm="1">
        <f t="array" ref="V120">_xll.VALEURCOURBE($A$27,_xlfn.CONCAT("THEME5=",$B120),SCENARIOS!$A$2,SCENARIOS!$B$2,1,YIELDS!V$1)</f>
        <v>38.450000000000003</v>
      </c>
    </row>
    <row r="121" spans="1:22" x14ac:dyDescent="0.25">
      <c r="A121" t="str">
        <v>YRGS4_6</v>
      </c>
      <c r="B121" t="str">
        <v>FC7372</v>
      </c>
      <c r="C121" cm="1">
        <f t="array" ref="C121">_xll.VALEURCOURBE($A$27,_xlfn.CONCAT("THEME5=",$B121),SCENARIOS!$A$2,SCENARIOS!$B$2,1,YIELDS!C$1)</f>
        <v>0</v>
      </c>
      <c r="D121" cm="1">
        <f t="array" ref="D121">_xll.VALEURCOURBE($A$27,_xlfn.CONCAT("THEME5=",$B121),SCENARIOS!$A$2,SCENARIOS!$B$2,1,YIELDS!D$1)</f>
        <v>0</v>
      </c>
      <c r="E121" cm="1">
        <f t="array" ref="E121">_xll.VALEURCOURBE($A$27,_xlfn.CONCAT("THEME5=",$B121),SCENARIOS!$A$2,SCENARIOS!$B$2,1,YIELDS!E$1)</f>
        <v>0.43</v>
      </c>
      <c r="F121" cm="1">
        <f t="array" ref="F121">_xll.VALEURCOURBE($A$27,_xlfn.CONCAT("THEME5=",$B121),SCENARIOS!$A$2,SCENARIOS!$B$2,1,YIELDS!F$1)</f>
        <v>0.85</v>
      </c>
      <c r="G121" cm="1">
        <f t="array" ref="G121">_xll.VALEURCOURBE($A$27,_xlfn.CONCAT("THEME5=",$B121),SCENARIOS!$A$2,SCENARIOS!$B$2,1,YIELDS!G$1)</f>
        <v>1.29</v>
      </c>
      <c r="H121" cm="1">
        <f t="array" ref="H121">_xll.VALEURCOURBE($A$27,_xlfn.CONCAT("THEME5=",$B121),SCENARIOS!$A$2,SCENARIOS!$B$2,1,YIELDS!H$1)</f>
        <v>1.71</v>
      </c>
      <c r="I121" cm="1">
        <f t="array" ref="I121">_xll.VALEURCOURBE($A$27,_xlfn.CONCAT("THEME5=",$B121),SCENARIOS!$A$2,SCENARIOS!$B$2,1,YIELDS!I$1)</f>
        <v>2.14</v>
      </c>
      <c r="J121" cm="1">
        <f t="array" ref="J121">_xll.VALEURCOURBE($A$27,_xlfn.CONCAT("THEME5=",$B121),SCENARIOS!$A$2,SCENARIOS!$B$2,1,YIELDS!J$1)</f>
        <v>3.81</v>
      </c>
      <c r="K121" cm="1">
        <f t="array" ref="K121">_xll.VALEURCOURBE($A$27,_xlfn.CONCAT("THEME5=",$B121),SCENARIOS!$A$2,SCENARIOS!$B$2,1,YIELDS!K$1)</f>
        <v>5.73</v>
      </c>
      <c r="L121" cm="1">
        <f t="array" ref="L121">_xll.VALEURCOURBE($A$27,_xlfn.CONCAT("THEME5=",$B121),SCENARIOS!$A$2,SCENARIOS!$B$2,1,YIELDS!L$1)</f>
        <v>7.79</v>
      </c>
      <c r="M121" cm="1">
        <f t="array" ref="M121">_xll.VALEURCOURBE($A$27,_xlfn.CONCAT("THEME5=",$B121),SCENARIOS!$A$2,SCENARIOS!$B$2,1,YIELDS!M$1)</f>
        <v>9.93</v>
      </c>
      <c r="N121" cm="1">
        <f t="array" ref="N121">_xll.VALEURCOURBE($A$27,_xlfn.CONCAT("THEME5=",$B121),SCENARIOS!$A$2,SCENARIOS!$B$2,1,YIELDS!N$1)</f>
        <v>12.05</v>
      </c>
      <c r="O121" cm="1">
        <f t="array" ref="O121">_xll.VALEURCOURBE($A$27,_xlfn.CONCAT("THEME5=",$B121),SCENARIOS!$A$2,SCENARIOS!$B$2,1,YIELDS!O$1)</f>
        <v>14.11</v>
      </c>
      <c r="P121" cm="1">
        <f t="array" ref="P121">_xll.VALEURCOURBE($A$27,_xlfn.CONCAT("THEME5=",$B121),SCENARIOS!$A$2,SCENARIOS!$B$2,1,YIELDS!P$1)</f>
        <v>16.07</v>
      </c>
      <c r="Q121" cm="1">
        <f t="array" ref="Q121">_xll.VALEURCOURBE($A$27,_xlfn.CONCAT("THEME5=",$B121),SCENARIOS!$A$2,SCENARIOS!$B$2,1,YIELDS!Q$1)</f>
        <v>17.89</v>
      </c>
      <c r="R121" cm="1">
        <f t="array" ref="R121">_xll.VALEURCOURBE($A$27,_xlfn.CONCAT("THEME5=",$B121),SCENARIOS!$A$2,SCENARIOS!$B$2,1,YIELDS!R$1)</f>
        <v>19.559999999999999</v>
      </c>
      <c r="S121" cm="1">
        <f t="array" ref="S121">_xll.VALEURCOURBE($A$27,_xlfn.CONCAT("THEME5=",$B121),SCENARIOS!$A$2,SCENARIOS!$B$2,1,YIELDS!S$1)</f>
        <v>21.06</v>
      </c>
      <c r="T121" cm="1">
        <f t="array" ref="T121">_xll.VALEURCOURBE($A$27,_xlfn.CONCAT("THEME5=",$B121),SCENARIOS!$A$2,SCENARIOS!$B$2,1,YIELDS!T$1)</f>
        <v>22.38</v>
      </c>
      <c r="U121" cm="1">
        <f t="array" ref="U121">_xll.VALEURCOURBE($A$27,_xlfn.CONCAT("THEME5=",$B121),SCENARIOS!$A$2,SCENARIOS!$B$2,1,YIELDS!U$1)</f>
        <v>23.52</v>
      </c>
      <c r="V121" cm="1">
        <f t="array" ref="V121">_xll.VALEURCOURBE($A$27,_xlfn.CONCAT("THEME5=",$B121),SCENARIOS!$A$2,SCENARIOS!$B$2,1,YIELDS!V$1)</f>
        <v>24.49</v>
      </c>
    </row>
    <row r="122" spans="1:22" x14ac:dyDescent="0.25">
      <c r="A122" t="str">
        <v>YRGS6_8</v>
      </c>
      <c r="B122" t="str">
        <v>FC7373</v>
      </c>
      <c r="C122" cm="1">
        <f t="array" ref="C122">_xll.VALEURCOURBE($A$27,_xlfn.CONCAT("THEME5=",$B122),SCENARIOS!$A$2,SCENARIOS!$B$2,1,YIELDS!C$1)</f>
        <v>0</v>
      </c>
      <c r="D122" cm="1">
        <f t="array" ref="D122">_xll.VALEURCOURBE($A$27,_xlfn.CONCAT("THEME5=",$B122),SCENARIOS!$A$2,SCENARIOS!$B$2,1,YIELDS!D$1)</f>
        <v>0</v>
      </c>
      <c r="E122" cm="1">
        <f t="array" ref="E122">_xll.VALEURCOURBE($A$27,_xlfn.CONCAT("THEME5=",$B122),SCENARIOS!$A$2,SCENARIOS!$B$2,1,YIELDS!E$1)</f>
        <v>0</v>
      </c>
      <c r="F122" cm="1">
        <f t="array" ref="F122">_xll.VALEURCOURBE($A$27,_xlfn.CONCAT("THEME5=",$B122),SCENARIOS!$A$2,SCENARIOS!$B$2,1,YIELDS!F$1)</f>
        <v>0</v>
      </c>
      <c r="G122" cm="1">
        <f t="array" ref="G122">_xll.VALEURCOURBE($A$27,_xlfn.CONCAT("THEME5=",$B122),SCENARIOS!$A$2,SCENARIOS!$B$2,1,YIELDS!G$1)</f>
        <v>0</v>
      </c>
      <c r="H122" cm="1">
        <f t="array" ref="H122">_xll.VALEURCOURBE($A$27,_xlfn.CONCAT("THEME5=",$B122),SCENARIOS!$A$2,SCENARIOS!$B$2,1,YIELDS!H$1)</f>
        <v>0</v>
      </c>
      <c r="I122" cm="1">
        <f t="array" ref="I122">_xll.VALEURCOURBE($A$27,_xlfn.CONCAT("THEME5=",$B122),SCENARIOS!$A$2,SCENARIOS!$B$2,1,YIELDS!I$1)</f>
        <v>0</v>
      </c>
      <c r="J122" cm="1">
        <f t="array" ref="J122">_xll.VALEURCOURBE($A$27,_xlfn.CONCAT("THEME5=",$B122),SCENARIOS!$A$2,SCENARIOS!$B$2,1,YIELDS!J$1)</f>
        <v>0</v>
      </c>
      <c r="K122" cm="1">
        <f t="array" ref="K122">_xll.VALEURCOURBE($A$27,_xlfn.CONCAT("THEME5=",$B122),SCENARIOS!$A$2,SCENARIOS!$B$2,1,YIELDS!K$1)</f>
        <v>0</v>
      </c>
      <c r="L122" cm="1">
        <f t="array" ref="L122">_xll.VALEURCOURBE($A$27,_xlfn.CONCAT("THEME5=",$B122),SCENARIOS!$A$2,SCENARIOS!$B$2,1,YIELDS!L$1)</f>
        <v>3.26</v>
      </c>
      <c r="M122" cm="1">
        <f t="array" ref="M122">_xll.VALEURCOURBE($A$27,_xlfn.CONCAT("THEME5=",$B122),SCENARIOS!$A$2,SCENARIOS!$B$2,1,YIELDS!M$1)</f>
        <v>7.07</v>
      </c>
      <c r="N122" cm="1">
        <f t="array" ref="N122">_xll.VALEURCOURBE($A$27,_xlfn.CONCAT("THEME5=",$B122),SCENARIOS!$A$2,SCENARIOS!$B$2,1,YIELDS!N$1)</f>
        <v>10.79</v>
      </c>
      <c r="O122" cm="1">
        <f t="array" ref="O122">_xll.VALEURCOURBE($A$27,_xlfn.CONCAT("THEME5=",$B122),SCENARIOS!$A$2,SCENARIOS!$B$2,1,YIELDS!O$1)</f>
        <v>14.36</v>
      </c>
      <c r="P122" cm="1">
        <f t="array" ref="P122">_xll.VALEURCOURBE($A$27,_xlfn.CONCAT("THEME5=",$B122),SCENARIOS!$A$2,SCENARIOS!$B$2,1,YIELDS!P$1)</f>
        <v>17.760000000000002</v>
      </c>
      <c r="Q122" cm="1">
        <f t="array" ref="Q122">_xll.VALEURCOURBE($A$27,_xlfn.CONCAT("THEME5=",$B122),SCENARIOS!$A$2,SCENARIOS!$B$2,1,YIELDS!Q$1)</f>
        <v>20.94</v>
      </c>
      <c r="R122" cm="1">
        <f t="array" ref="R122">_xll.VALEURCOURBE($A$27,_xlfn.CONCAT("THEME5=",$B122),SCENARIOS!$A$2,SCENARIOS!$B$2,1,YIELDS!R$1)</f>
        <v>23.87</v>
      </c>
      <c r="S122" cm="1">
        <f t="array" ref="S122">_xll.VALEURCOURBE($A$27,_xlfn.CONCAT("THEME5=",$B122),SCENARIOS!$A$2,SCENARIOS!$B$2,1,YIELDS!S$1)</f>
        <v>26.57</v>
      </c>
      <c r="T122" cm="1">
        <f t="array" ref="T122">_xll.VALEURCOURBE($A$27,_xlfn.CONCAT("THEME5=",$B122),SCENARIOS!$A$2,SCENARIOS!$B$2,1,YIELDS!T$1)</f>
        <v>28.98</v>
      </c>
      <c r="U122" cm="1">
        <f t="array" ref="U122">_xll.VALEURCOURBE($A$27,_xlfn.CONCAT("THEME5=",$B122),SCENARIOS!$A$2,SCENARIOS!$B$2,1,YIELDS!U$1)</f>
        <v>31.15</v>
      </c>
      <c r="V122" cm="1">
        <f t="array" ref="V122">_xll.VALEURCOURBE($A$27,_xlfn.CONCAT("THEME5=",$B122),SCENARIOS!$A$2,SCENARIOS!$B$2,1,YIELDS!V$1)</f>
        <v>33.03</v>
      </c>
    </row>
    <row r="123" spans="1:22" x14ac:dyDescent="0.25">
      <c r="A123" t="str">
        <v>YRGS8_10</v>
      </c>
      <c r="B123" t="str">
        <v>FC7376</v>
      </c>
      <c r="C123" cm="1">
        <f t="array" ref="C123">_xll.VALEURCOURBE($A$27,_xlfn.CONCAT("THEME5=",$B123),SCENARIOS!$A$2,SCENARIOS!$B$2,1,YIELDS!C$1)</f>
        <v>0</v>
      </c>
      <c r="D123" cm="1">
        <f t="array" ref="D123">_xll.VALEURCOURBE($A$27,_xlfn.CONCAT("THEME5=",$B123),SCENARIOS!$A$2,SCENARIOS!$B$2,1,YIELDS!D$1)</f>
        <v>0</v>
      </c>
      <c r="E123" cm="1">
        <f t="array" ref="E123">_xll.VALEURCOURBE($A$27,_xlfn.CONCAT("THEME5=",$B123),SCENARIOS!$A$2,SCENARIOS!$B$2,1,YIELDS!E$1)</f>
        <v>0</v>
      </c>
      <c r="F123" cm="1">
        <f t="array" ref="F123">_xll.VALEURCOURBE($A$27,_xlfn.CONCAT("THEME5=",$B123),SCENARIOS!$A$2,SCENARIOS!$B$2,1,YIELDS!F$1)</f>
        <v>0</v>
      </c>
      <c r="G123" cm="1">
        <f t="array" ref="G123">_xll.VALEURCOURBE($A$27,_xlfn.CONCAT("THEME5=",$B123),SCENARIOS!$A$2,SCENARIOS!$B$2,1,YIELDS!G$1)</f>
        <v>0</v>
      </c>
      <c r="H123" cm="1">
        <f t="array" ref="H123">_xll.VALEURCOURBE($A$27,_xlfn.CONCAT("THEME5=",$B123),SCENARIOS!$A$2,SCENARIOS!$B$2,1,YIELDS!H$1)</f>
        <v>0</v>
      </c>
      <c r="I123" cm="1">
        <f t="array" ref="I123">_xll.VALEURCOURBE($A$27,_xlfn.CONCAT("THEME5=",$B123),SCENARIOS!$A$2,SCENARIOS!$B$2,1,YIELDS!I$1)</f>
        <v>1.96</v>
      </c>
      <c r="J123" cm="1">
        <f t="array" ref="J123">_xll.VALEURCOURBE($A$27,_xlfn.CONCAT("THEME5=",$B123),SCENARIOS!$A$2,SCENARIOS!$B$2,1,YIELDS!J$1)</f>
        <v>4.7300000000000004</v>
      </c>
      <c r="K123" cm="1">
        <f t="array" ref="K123">_xll.VALEURCOURBE($A$27,_xlfn.CONCAT("THEME5=",$B123),SCENARIOS!$A$2,SCENARIOS!$B$2,1,YIELDS!K$1)</f>
        <v>7.5</v>
      </c>
      <c r="L123" cm="1">
        <f t="array" ref="L123">_xll.VALEURCOURBE($A$27,_xlfn.CONCAT("THEME5=",$B123),SCENARIOS!$A$2,SCENARIOS!$B$2,1,YIELDS!L$1)</f>
        <v>10.210000000000001</v>
      </c>
      <c r="M123" cm="1">
        <f t="array" ref="M123">_xll.VALEURCOURBE($A$27,_xlfn.CONCAT("THEME5=",$B123),SCENARIOS!$A$2,SCENARIOS!$B$2,1,YIELDS!M$1)</f>
        <v>12.8</v>
      </c>
      <c r="N123" cm="1">
        <f t="array" ref="N123">_xll.VALEURCOURBE($A$27,_xlfn.CONCAT("THEME5=",$B123),SCENARIOS!$A$2,SCENARIOS!$B$2,1,YIELDS!N$1)</f>
        <v>15.23</v>
      </c>
      <c r="O123" cm="1">
        <f t="array" ref="O123">_xll.VALEURCOURBE($A$27,_xlfn.CONCAT("THEME5=",$B123),SCENARIOS!$A$2,SCENARIOS!$B$2,1,YIELDS!O$1)</f>
        <v>17.47</v>
      </c>
      <c r="P123" cm="1">
        <f t="array" ref="P123">_xll.VALEURCOURBE($A$27,_xlfn.CONCAT("THEME5=",$B123),SCENARIOS!$A$2,SCENARIOS!$B$2,1,YIELDS!P$1)</f>
        <v>19.510000000000002</v>
      </c>
      <c r="Q123" cm="1">
        <f t="array" ref="Q123">_xll.VALEURCOURBE($A$27,_xlfn.CONCAT("THEME5=",$B123),SCENARIOS!$A$2,SCENARIOS!$B$2,1,YIELDS!Q$1)</f>
        <v>21.32</v>
      </c>
      <c r="R123" cm="1">
        <f t="array" ref="R123">_xll.VALEURCOURBE($A$27,_xlfn.CONCAT("THEME5=",$B123),SCENARIOS!$A$2,SCENARIOS!$B$2,1,YIELDS!R$1)</f>
        <v>22.91</v>
      </c>
      <c r="S123" cm="1">
        <f t="array" ref="S123">_xll.VALEURCOURBE($A$27,_xlfn.CONCAT("THEME5=",$B123),SCENARIOS!$A$2,SCENARIOS!$B$2,1,YIELDS!S$1)</f>
        <v>24.29</v>
      </c>
      <c r="T123" cm="1">
        <f t="array" ref="T123">_xll.VALEURCOURBE($A$27,_xlfn.CONCAT("THEME5=",$B123),SCENARIOS!$A$2,SCENARIOS!$B$2,1,YIELDS!T$1)</f>
        <v>25.45</v>
      </c>
      <c r="U123" cm="1">
        <f t="array" ref="U123">_xll.VALEURCOURBE($A$27,_xlfn.CONCAT("THEME5=",$B123),SCENARIOS!$A$2,SCENARIOS!$B$2,1,YIELDS!U$1)</f>
        <v>26.4</v>
      </c>
      <c r="V123" cm="1">
        <f t="array" ref="V123">_xll.VALEURCOURBE($A$27,_xlfn.CONCAT("THEME5=",$B123),SCENARIOS!$A$2,SCENARIOS!$B$2,1,YIELDS!V$1)</f>
        <v>27.15</v>
      </c>
    </row>
    <row r="124" spans="1:22" x14ac:dyDescent="0.25">
      <c r="A124" t="str">
        <v>YADM</v>
      </c>
      <c r="B124" t="str">
        <v>FC7378</v>
      </c>
      <c r="C124" cm="1">
        <f t="array" ref="C124">_xll.VALEURCOURBE($A$27,_xlfn.CONCAT("THEME5=",$B124),SCENARIOS!$A$2,SCENARIOS!$B$2,1,YIELDS!C$1)</f>
        <v>0</v>
      </c>
      <c r="D124" cm="1">
        <f t="array" ref="D124">_xll.VALEURCOURBE($A$27,_xlfn.CONCAT("THEME5=",$B124),SCENARIOS!$A$2,SCENARIOS!$B$2,1,YIELDS!D$1)</f>
        <v>0</v>
      </c>
      <c r="E124" cm="1">
        <f t="array" ref="E124">_xll.VALEURCOURBE($A$27,_xlfn.CONCAT("THEME5=",$B124),SCENARIOS!$A$2,SCENARIOS!$B$2,1,YIELDS!E$1)</f>
        <v>0</v>
      </c>
      <c r="F124" cm="1">
        <f t="array" ref="F124">_xll.VALEURCOURBE($A$27,_xlfn.CONCAT("THEME5=",$B124),SCENARIOS!$A$2,SCENARIOS!$B$2,1,YIELDS!F$1)</f>
        <v>5.72</v>
      </c>
      <c r="G124" cm="1">
        <f t="array" ref="G124">_xll.VALEURCOURBE($A$27,_xlfn.CONCAT("THEME5=",$B124),SCENARIOS!$A$2,SCENARIOS!$B$2,1,YIELDS!G$1)</f>
        <v>11.46</v>
      </c>
      <c r="H124" cm="1">
        <f t="array" ref="H124">_xll.VALEURCOURBE($A$27,_xlfn.CONCAT("THEME5=",$B124),SCENARIOS!$A$2,SCENARIOS!$B$2,1,YIELDS!H$1)</f>
        <v>17.170000000000002</v>
      </c>
      <c r="I124" cm="1">
        <f t="array" ref="I124">_xll.VALEURCOURBE($A$27,_xlfn.CONCAT("THEME5=",$B124),SCENARIOS!$A$2,SCENARIOS!$B$2,1,YIELDS!I$1)</f>
        <v>22.9</v>
      </c>
      <c r="J124" cm="1">
        <f t="array" ref="J124">_xll.VALEURCOURBE($A$27,_xlfn.CONCAT("THEME5=",$B124),SCENARIOS!$A$2,SCENARIOS!$B$2,1,YIELDS!J$1)</f>
        <v>28.63</v>
      </c>
      <c r="K124" cm="1">
        <f t="array" ref="K124">_xll.VALEURCOURBE($A$27,_xlfn.CONCAT("THEME5=",$B124),SCENARIOS!$A$2,SCENARIOS!$B$2,1,YIELDS!K$1)</f>
        <v>34.36</v>
      </c>
      <c r="L124" cm="1">
        <f t="array" ref="L124">_xll.VALEURCOURBE($A$27,_xlfn.CONCAT("THEME5=",$B124),SCENARIOS!$A$2,SCENARIOS!$B$2,1,YIELDS!L$1)</f>
        <v>40.43</v>
      </c>
      <c r="M124" cm="1">
        <f t="array" ref="M124">_xll.VALEURCOURBE($A$27,_xlfn.CONCAT("THEME5=",$B124),SCENARIOS!$A$2,SCENARIOS!$B$2,1,YIELDS!M$1)</f>
        <v>45.86</v>
      </c>
      <c r="N124" cm="1">
        <f t="array" ref="N124">_xll.VALEURCOURBE($A$27,_xlfn.CONCAT("THEME5=",$B124),SCENARIOS!$A$2,SCENARIOS!$B$2,1,YIELDS!N$1)</f>
        <v>50.63</v>
      </c>
      <c r="O124" cm="1">
        <f t="array" ref="O124">_xll.VALEURCOURBE($A$27,_xlfn.CONCAT("THEME5=",$B124),SCENARIOS!$A$2,SCENARIOS!$B$2,1,YIELDS!O$1)</f>
        <v>54.68</v>
      </c>
      <c r="P124" cm="1">
        <f t="array" ref="P124">_xll.VALEURCOURBE($A$27,_xlfn.CONCAT("THEME5=",$B124),SCENARIOS!$A$2,SCENARIOS!$B$2,1,YIELDS!P$1)</f>
        <v>58.07</v>
      </c>
      <c r="Q124" cm="1">
        <f t="array" ref="Q124">_xll.VALEURCOURBE($A$27,_xlfn.CONCAT("THEME5=",$B124),SCENARIOS!$A$2,SCENARIOS!$B$2,1,YIELDS!Q$1)</f>
        <v>60.79</v>
      </c>
      <c r="R124" cm="1">
        <f t="array" ref="R124">_xll.VALEURCOURBE($A$27,_xlfn.CONCAT("THEME5=",$B124),SCENARIOS!$A$2,SCENARIOS!$B$2,1,YIELDS!R$1)</f>
        <v>62.86</v>
      </c>
      <c r="S124" cm="1">
        <f t="array" ref="S124">_xll.VALEURCOURBE($A$27,_xlfn.CONCAT("THEME5=",$B124),SCENARIOS!$A$2,SCENARIOS!$B$2,1,YIELDS!S$1)</f>
        <v>64.33</v>
      </c>
      <c r="T124" cm="1">
        <f t="array" ref="T124">_xll.VALEURCOURBE($A$27,_xlfn.CONCAT("THEME5=",$B124),SCENARIOS!$A$2,SCENARIOS!$B$2,1,YIELDS!T$1)</f>
        <v>65.239999999999995</v>
      </c>
      <c r="U124" cm="1">
        <f t="array" ref="U124">_xll.VALEURCOURBE($A$27,_xlfn.CONCAT("THEME5=",$B124),SCENARIOS!$A$2,SCENARIOS!$B$2,1,YIELDS!U$1)</f>
        <v>65.61</v>
      </c>
      <c r="V124" cm="1">
        <f t="array" ref="V124">_xll.VALEURCOURBE($A$27,_xlfn.CONCAT("THEME5=",$B124),SCENARIOS!$A$2,SCENARIOS!$B$2,1,YIELDS!V$1)</f>
        <v>65.540000000000006</v>
      </c>
    </row>
    <row r="125" spans="1:22" x14ac:dyDescent="0.25">
      <c r="A125" t="str">
        <v>YJEUNEACCEPTE</v>
      </c>
      <c r="B125" t="str">
        <v>FC7380</v>
      </c>
      <c r="C125" cm="1">
        <f t="array" ref="C125">_xll.VALEURCOURBE($A$27,_xlfn.CONCAT("THEME5=",$B125),SCENARIOS!$A$2,SCENARIOS!$B$2,1,YIELDS!C$1)</f>
        <v>0</v>
      </c>
      <c r="D125" cm="1">
        <f t="array" ref="D125">_xll.VALEURCOURBE($A$27,_xlfn.CONCAT("THEME5=",$B125),SCENARIOS!$A$2,SCENARIOS!$B$2,1,YIELDS!D$1)</f>
        <v>0</v>
      </c>
      <c r="E125" cm="1">
        <f t="array" ref="E125">_xll.VALEURCOURBE($A$27,_xlfn.CONCAT("THEME5=",$B125),SCENARIOS!$A$2,SCENARIOS!$B$2,1,YIELDS!E$1)</f>
        <v>0</v>
      </c>
      <c r="F125" cm="1">
        <f t="array" ref="F125">_xll.VALEURCOURBE($A$27,_xlfn.CONCAT("THEME5=",$B125),SCENARIOS!$A$2,SCENARIOS!$B$2,1,YIELDS!F$1)</f>
        <v>0</v>
      </c>
      <c r="G125" cm="1">
        <f t="array" ref="G125">_xll.VALEURCOURBE($A$27,_xlfn.CONCAT("THEME5=",$B125),SCENARIOS!$A$2,SCENARIOS!$B$2,1,YIELDS!G$1)</f>
        <v>0</v>
      </c>
      <c r="H125" cm="1">
        <f t="array" ref="H125">_xll.VALEURCOURBE($A$27,_xlfn.CONCAT("THEME5=",$B125),SCENARIOS!$A$2,SCENARIOS!$B$2,1,YIELDS!H$1)</f>
        <v>0</v>
      </c>
      <c r="I125" cm="1">
        <f t="array" ref="I125">_xll.VALEURCOURBE($A$27,_xlfn.CONCAT("THEME5=",$B125),SCENARIOS!$A$2,SCENARIOS!$B$2,1,YIELDS!I$1)</f>
        <v>0</v>
      </c>
      <c r="J125" cm="1">
        <f t="array" ref="J125">_xll.VALEURCOURBE($A$27,_xlfn.CONCAT("THEME5=",$B125),SCENARIOS!$A$2,SCENARIOS!$B$2,1,YIELDS!J$1)</f>
        <v>0</v>
      </c>
      <c r="K125" cm="1">
        <f t="array" ref="K125">_xll.VALEURCOURBE($A$27,_xlfn.CONCAT("THEME5=",$B125),SCENARIOS!$A$2,SCENARIOS!$B$2,1,YIELDS!K$1)</f>
        <v>0</v>
      </c>
      <c r="L125" cm="1">
        <f t="array" ref="L125">_xll.VALEURCOURBE($A$27,_xlfn.CONCAT("THEME5=",$B125),SCENARIOS!$A$2,SCENARIOS!$B$2,1,YIELDS!L$1)</f>
        <v>2.0699999999999998</v>
      </c>
      <c r="M125" cm="1">
        <f t="array" ref="M125">_xll.VALEURCOURBE($A$27,_xlfn.CONCAT("THEME5=",$B125),SCENARIOS!$A$2,SCENARIOS!$B$2,1,YIELDS!M$1)</f>
        <v>12.57</v>
      </c>
      <c r="N125" cm="1">
        <f t="array" ref="N125">_xll.VALEURCOURBE($A$27,_xlfn.CONCAT("THEME5=",$B125),SCENARIOS!$A$2,SCENARIOS!$B$2,1,YIELDS!N$1)</f>
        <v>21.85</v>
      </c>
      <c r="O125" cm="1">
        <f t="array" ref="O125">_xll.VALEURCOURBE($A$27,_xlfn.CONCAT("THEME5=",$B125),SCENARIOS!$A$2,SCENARIOS!$B$2,1,YIELDS!O$1)</f>
        <v>30.11</v>
      </c>
      <c r="P125" cm="1">
        <f t="array" ref="P125">_xll.VALEURCOURBE($A$27,_xlfn.CONCAT("THEME5=",$B125),SCENARIOS!$A$2,SCENARIOS!$B$2,1,YIELDS!P$1)</f>
        <v>37.450000000000003</v>
      </c>
      <c r="Q125" cm="1">
        <f t="array" ref="Q125">_xll.VALEURCOURBE($A$27,_xlfn.CONCAT("THEME5=",$B125),SCENARIOS!$A$2,SCENARIOS!$B$2,1,YIELDS!Q$1)</f>
        <v>43.88</v>
      </c>
      <c r="R125" cm="1">
        <f t="array" ref="R125">_xll.VALEURCOURBE($A$27,_xlfn.CONCAT("THEME5=",$B125),SCENARIOS!$A$2,SCENARIOS!$B$2,1,YIELDS!R$1)</f>
        <v>49.5</v>
      </c>
      <c r="S125" cm="1">
        <f t="array" ref="S125">_xll.VALEURCOURBE($A$27,_xlfn.CONCAT("THEME5=",$B125),SCENARIOS!$A$2,SCENARIOS!$B$2,1,YIELDS!S$1)</f>
        <v>54.33</v>
      </c>
      <c r="T125" cm="1">
        <f t="array" ref="T125">_xll.VALEURCOURBE($A$27,_xlfn.CONCAT("THEME5=",$B125),SCENARIOS!$A$2,SCENARIOS!$B$2,1,YIELDS!T$1)</f>
        <v>58.48</v>
      </c>
      <c r="U125" cm="1">
        <f t="array" ref="U125">_xll.VALEURCOURBE($A$27,_xlfn.CONCAT("THEME5=",$B125),SCENARIOS!$A$2,SCENARIOS!$B$2,1,YIELDS!U$1)</f>
        <v>61.98</v>
      </c>
      <c r="V125" cm="1">
        <f t="array" ref="V125">_xll.VALEURCOURBE($A$27,_xlfn.CONCAT("THEME5=",$B125),SCENARIOS!$A$2,SCENARIOS!$B$2,1,YIELDS!V$1)</f>
        <v>64.88</v>
      </c>
    </row>
    <row r="126" spans="1:22" x14ac:dyDescent="0.25">
      <c r="A126" t="str">
        <v>YJEUNEALERTE</v>
      </c>
      <c r="B126" t="str">
        <v>FC7383</v>
      </c>
      <c r="C126" cm="1">
        <f t="array" ref="C126">_xll.VALEURCOURBE($A$27,_xlfn.CONCAT("THEME5=",$B126),SCENARIOS!$A$2,SCENARIOS!$B$2,1,YIELDS!C$1)</f>
        <v>0</v>
      </c>
      <c r="D126" cm="1">
        <f t="array" ref="D126">_xll.VALEURCOURBE($A$27,_xlfn.CONCAT("THEME5=",$B126),SCENARIOS!$A$2,SCENARIOS!$B$2,1,YIELDS!D$1)</f>
        <v>0</v>
      </c>
      <c r="E126" cm="1">
        <f t="array" ref="E126">_xll.VALEURCOURBE($A$27,_xlfn.CONCAT("THEME5=",$B126),SCENARIOS!$A$2,SCENARIOS!$B$2,1,YIELDS!E$1)</f>
        <v>0</v>
      </c>
      <c r="F126" cm="1">
        <f t="array" ref="F126">_xll.VALEURCOURBE($A$27,_xlfn.CONCAT("THEME5=",$B126),SCENARIOS!$A$2,SCENARIOS!$B$2,1,YIELDS!F$1)</f>
        <v>0</v>
      </c>
      <c r="G126" cm="1">
        <f t="array" ref="G126">_xll.VALEURCOURBE($A$27,_xlfn.CONCAT("THEME5=",$B126),SCENARIOS!$A$2,SCENARIOS!$B$2,1,YIELDS!G$1)</f>
        <v>0</v>
      </c>
      <c r="H126" cm="1">
        <f t="array" ref="H126">_xll.VALEURCOURBE($A$27,_xlfn.CONCAT("THEME5=",$B126),SCENARIOS!$A$2,SCENARIOS!$B$2,1,YIELDS!H$1)</f>
        <v>0</v>
      </c>
      <c r="I126" cm="1">
        <f t="array" ref="I126">_xll.VALEURCOURBE($A$27,_xlfn.CONCAT("THEME5=",$B126),SCENARIOS!$A$2,SCENARIOS!$B$2,1,YIELDS!I$1)</f>
        <v>0</v>
      </c>
      <c r="J126" cm="1">
        <f t="array" ref="J126">_xll.VALEURCOURBE($A$27,_xlfn.CONCAT("THEME5=",$B126),SCENARIOS!$A$2,SCENARIOS!$B$2,1,YIELDS!J$1)</f>
        <v>0</v>
      </c>
      <c r="K126" cm="1">
        <f t="array" ref="K126">_xll.VALEURCOURBE($A$27,_xlfn.CONCAT("THEME5=",$B126),SCENARIOS!$A$2,SCENARIOS!$B$2,1,YIELDS!K$1)</f>
        <v>0</v>
      </c>
      <c r="L126" cm="1">
        <f t="array" ref="L126">_xll.VALEURCOURBE($A$27,_xlfn.CONCAT("THEME5=",$B126),SCENARIOS!$A$2,SCENARIOS!$B$2,1,YIELDS!L$1)</f>
        <v>5.21</v>
      </c>
      <c r="M126" cm="1">
        <f t="array" ref="M126">_xll.VALEURCOURBE($A$27,_xlfn.CONCAT("THEME5=",$B126),SCENARIOS!$A$2,SCENARIOS!$B$2,1,YIELDS!M$1)</f>
        <v>15.57</v>
      </c>
      <c r="N126" cm="1">
        <f t="array" ref="N126">_xll.VALEURCOURBE($A$27,_xlfn.CONCAT("THEME5=",$B126),SCENARIOS!$A$2,SCENARIOS!$B$2,1,YIELDS!N$1)</f>
        <v>25.66</v>
      </c>
      <c r="O126" cm="1">
        <f t="array" ref="O126">_xll.VALEURCOURBE($A$27,_xlfn.CONCAT("THEME5=",$B126),SCENARIOS!$A$2,SCENARIOS!$B$2,1,YIELDS!O$1)</f>
        <v>35.1</v>
      </c>
      <c r="P126" cm="1">
        <f t="array" ref="P126">_xll.VALEURCOURBE($A$27,_xlfn.CONCAT("THEME5=",$B126),SCENARIOS!$A$2,SCENARIOS!$B$2,1,YIELDS!P$1)</f>
        <v>43.81</v>
      </c>
      <c r="Q126" cm="1">
        <f t="array" ref="Q126">_xll.VALEURCOURBE($A$27,_xlfn.CONCAT("THEME5=",$B126),SCENARIOS!$A$2,SCENARIOS!$B$2,1,YIELDS!Q$1)</f>
        <v>51.75</v>
      </c>
      <c r="R126" cm="1">
        <f t="array" ref="R126">_xll.VALEURCOURBE($A$27,_xlfn.CONCAT("THEME5=",$B126),SCENARIOS!$A$2,SCENARIOS!$B$2,1,YIELDS!R$1)</f>
        <v>58.86</v>
      </c>
      <c r="S126" cm="1">
        <f t="array" ref="S126">_xll.VALEURCOURBE($A$27,_xlfn.CONCAT("THEME5=",$B126),SCENARIOS!$A$2,SCENARIOS!$B$2,1,YIELDS!S$1)</f>
        <v>64.989999999999995</v>
      </c>
      <c r="T126" cm="1">
        <f t="array" ref="T126">_xll.VALEURCOURBE($A$27,_xlfn.CONCAT("THEME5=",$B126),SCENARIOS!$A$2,SCENARIOS!$B$2,1,YIELDS!T$1)</f>
        <v>70.23</v>
      </c>
      <c r="U126" cm="1">
        <f t="array" ref="U126">_xll.VALEURCOURBE($A$27,_xlfn.CONCAT("THEME5=",$B126),SCENARIOS!$A$2,SCENARIOS!$B$2,1,YIELDS!U$1)</f>
        <v>74.73</v>
      </c>
      <c r="V126" cm="1">
        <f t="array" ref="V126">_xll.VALEURCOURBE($A$27,_xlfn.CONCAT("THEME5=",$B126),SCENARIOS!$A$2,SCENARIOS!$B$2,1,YIELDS!V$1)</f>
        <v>78.489999999999995</v>
      </c>
    </row>
    <row r="127" spans="1:22" x14ac:dyDescent="0.25">
      <c r="A127" t="str">
        <v>YREGE</v>
      </c>
      <c r="B127" t="str">
        <v>FC7386</v>
      </c>
      <c r="C127" cm="1">
        <f t="array" ref="C127">_xll.VALEURCOURBE($A$27,_xlfn.CONCAT("THEME5=",$B127),SCENARIOS!$A$2,SCENARIOS!$B$2,1,YIELDS!C$1)</f>
        <v>0</v>
      </c>
      <c r="D127" cm="1">
        <f t="array" ref="D127">_xll.VALEURCOURBE($A$27,_xlfn.CONCAT("THEME5=",$B127),SCENARIOS!$A$2,SCENARIOS!$B$2,1,YIELDS!D$1)</f>
        <v>0</v>
      </c>
      <c r="E127" cm="1">
        <f t="array" ref="E127">_xll.VALEURCOURBE($A$27,_xlfn.CONCAT("THEME5=",$B127),SCENARIOS!$A$2,SCENARIOS!$B$2,1,YIELDS!E$1)</f>
        <v>0</v>
      </c>
      <c r="F127" cm="1">
        <f t="array" ref="F127">_xll.VALEURCOURBE($A$27,_xlfn.CONCAT("THEME5=",$B127),SCENARIOS!$A$2,SCENARIOS!$B$2,1,YIELDS!F$1)</f>
        <v>0</v>
      </c>
      <c r="G127" cm="1">
        <f t="array" ref="G127">_xll.VALEURCOURBE($A$27,_xlfn.CONCAT("THEME5=",$B127),SCENARIOS!$A$2,SCENARIOS!$B$2,1,YIELDS!G$1)</f>
        <v>0</v>
      </c>
      <c r="H127" cm="1">
        <f t="array" ref="H127">_xll.VALEURCOURBE($A$27,_xlfn.CONCAT("THEME5=",$B127),SCENARIOS!$A$2,SCENARIOS!$B$2,1,YIELDS!H$1)</f>
        <v>0</v>
      </c>
      <c r="I127" cm="1">
        <f t="array" ref="I127">_xll.VALEURCOURBE($A$27,_xlfn.CONCAT("THEME5=",$B127),SCENARIOS!$A$2,SCENARIOS!$B$2,1,YIELDS!I$1)</f>
        <v>0</v>
      </c>
      <c r="J127" cm="1">
        <f t="array" ref="J127">_xll.VALEURCOURBE($A$27,_xlfn.CONCAT("THEME5=",$B127),SCENARIOS!$A$2,SCENARIOS!$B$2,1,YIELDS!J$1)</f>
        <v>0</v>
      </c>
      <c r="K127" cm="1">
        <f t="array" ref="K127">_xll.VALEURCOURBE($A$27,_xlfn.CONCAT("THEME5=",$B127),SCENARIOS!$A$2,SCENARIOS!$B$2,1,YIELDS!K$1)</f>
        <v>0</v>
      </c>
      <c r="L127" cm="1">
        <f t="array" ref="L127">_xll.VALEURCOURBE($A$27,_xlfn.CONCAT("THEME5=",$B127),SCENARIOS!$A$2,SCENARIOS!$B$2,1,YIELDS!L$1)</f>
        <v>0</v>
      </c>
      <c r="M127" cm="1">
        <f t="array" ref="M127">_xll.VALEURCOURBE($A$27,_xlfn.CONCAT("THEME5=",$B127),SCENARIOS!$A$2,SCENARIOS!$B$2,1,YIELDS!M$1)</f>
        <v>0</v>
      </c>
      <c r="N127" cm="1">
        <f t="array" ref="N127">_xll.VALEURCOURBE($A$27,_xlfn.CONCAT("THEME5=",$B127),SCENARIOS!$A$2,SCENARIOS!$B$2,1,YIELDS!N$1)</f>
        <v>0</v>
      </c>
      <c r="O127" cm="1">
        <f t="array" ref="O127">_xll.VALEURCOURBE($A$27,_xlfn.CONCAT("THEME5=",$B127),SCENARIOS!$A$2,SCENARIOS!$B$2,1,YIELDS!O$1)</f>
        <v>0</v>
      </c>
      <c r="P127" cm="1">
        <f t="array" ref="P127">_xll.VALEURCOURBE($A$27,_xlfn.CONCAT("THEME5=",$B127),SCENARIOS!$A$2,SCENARIOS!$B$2,1,YIELDS!P$1)</f>
        <v>0</v>
      </c>
      <c r="Q127" cm="1">
        <f t="array" ref="Q127">_xll.VALEURCOURBE($A$27,_xlfn.CONCAT("THEME5=",$B127),SCENARIOS!$A$2,SCENARIOS!$B$2,1,YIELDS!Q$1)</f>
        <v>0</v>
      </c>
      <c r="R127" cm="1">
        <f t="array" ref="R127">_xll.VALEURCOURBE($A$27,_xlfn.CONCAT("THEME5=",$B127),SCENARIOS!$A$2,SCENARIOS!$B$2,1,YIELDS!R$1)</f>
        <v>0</v>
      </c>
      <c r="S127" cm="1">
        <f t="array" ref="S127">_xll.VALEURCOURBE($A$27,_xlfn.CONCAT("THEME5=",$B127),SCENARIOS!$A$2,SCENARIOS!$B$2,1,YIELDS!S$1)</f>
        <v>0</v>
      </c>
      <c r="T127" cm="1">
        <f t="array" ref="T127">_xll.VALEURCOURBE($A$27,_xlfn.CONCAT("THEME5=",$B127),SCENARIOS!$A$2,SCENARIOS!$B$2,1,YIELDS!T$1)</f>
        <v>0</v>
      </c>
      <c r="U127" cm="1">
        <f t="array" ref="U127">_xll.VALEURCOURBE($A$27,_xlfn.CONCAT("THEME5=",$B127),SCENARIOS!$A$2,SCENARIOS!$B$2,1,YIELDS!U$1)</f>
        <v>0</v>
      </c>
      <c r="V127" cm="1">
        <f t="array" ref="V127">_xll.VALEURCOURBE($A$27,_xlfn.CONCAT("THEME5=",$B127),SCENARIOS!$A$2,SCENARIOS!$B$2,1,YIELDS!V$1)</f>
        <v>0</v>
      </c>
    </row>
    <row r="128" spans="1:22" x14ac:dyDescent="0.25">
      <c r="A128" t="str">
        <v>YVACCEPTE</v>
      </c>
      <c r="B128" t="str">
        <v>FC7387</v>
      </c>
      <c r="C128" cm="1">
        <f t="array" ref="C128">_xll.VALEURCOURBE($A$27,_xlfn.CONCAT("THEME5=",$B128),SCENARIOS!$A$2,SCENARIOS!$B$2,1,YIELDS!C$1)</f>
        <v>0</v>
      </c>
      <c r="D128" cm="1">
        <f t="array" ref="D128">_xll.VALEURCOURBE($A$27,_xlfn.CONCAT("THEME5=",$B128),SCENARIOS!$A$2,SCENARIOS!$B$2,1,YIELDS!D$1)</f>
        <v>0</v>
      </c>
      <c r="E128" cm="1">
        <f t="array" ref="E128">_xll.VALEURCOURBE($A$27,_xlfn.CONCAT("THEME5=",$B128),SCENARIOS!$A$2,SCENARIOS!$B$2,1,YIELDS!E$1)</f>
        <v>0</v>
      </c>
      <c r="F128" cm="1">
        <f t="array" ref="F128">_xll.VALEURCOURBE($A$27,_xlfn.CONCAT("THEME5=",$B128),SCENARIOS!$A$2,SCENARIOS!$B$2,1,YIELDS!F$1)</f>
        <v>0</v>
      </c>
      <c r="G128" cm="1">
        <f t="array" ref="G128">_xll.VALEURCOURBE($A$27,_xlfn.CONCAT("THEME5=",$B128),SCENARIOS!$A$2,SCENARIOS!$B$2,1,YIELDS!G$1)</f>
        <v>0</v>
      </c>
      <c r="H128" cm="1">
        <f t="array" ref="H128">_xll.VALEURCOURBE($A$27,_xlfn.CONCAT("THEME5=",$B128),SCENARIOS!$A$2,SCENARIOS!$B$2,1,YIELDS!H$1)</f>
        <v>0</v>
      </c>
      <c r="I128" cm="1">
        <f t="array" ref="I128">_xll.VALEURCOURBE($A$27,_xlfn.CONCAT("THEME5=",$B128),SCENARIOS!$A$2,SCENARIOS!$B$2,1,YIELDS!I$1)</f>
        <v>0</v>
      </c>
      <c r="J128" cm="1">
        <f t="array" ref="J128">_xll.VALEURCOURBE($A$27,_xlfn.CONCAT("THEME5=",$B128),SCENARIOS!$A$2,SCENARIOS!$B$2,1,YIELDS!J$1)</f>
        <v>0</v>
      </c>
      <c r="K128" cm="1">
        <f t="array" ref="K128">_xll.VALEURCOURBE($A$27,_xlfn.CONCAT("THEME5=",$B128),SCENARIOS!$A$2,SCENARIOS!$B$2,1,YIELDS!K$1)</f>
        <v>0</v>
      </c>
      <c r="L128" cm="1">
        <f t="array" ref="L128">_xll.VALEURCOURBE($A$27,_xlfn.CONCAT("THEME5=",$B128),SCENARIOS!$A$2,SCENARIOS!$B$2,1,YIELDS!L$1)</f>
        <v>0</v>
      </c>
      <c r="M128" cm="1">
        <f t="array" ref="M128">_xll.VALEURCOURBE($A$27,_xlfn.CONCAT("THEME5=",$B128),SCENARIOS!$A$2,SCENARIOS!$B$2,1,YIELDS!M$1)</f>
        <v>0</v>
      </c>
      <c r="N128" cm="1">
        <f t="array" ref="N128">_xll.VALEURCOURBE($A$27,_xlfn.CONCAT("THEME5=",$B128),SCENARIOS!$A$2,SCENARIOS!$B$2,1,YIELDS!N$1)</f>
        <v>0</v>
      </c>
      <c r="O128" cm="1">
        <f t="array" ref="O128">_xll.VALEURCOURBE($A$27,_xlfn.CONCAT("THEME5=",$B128),SCENARIOS!$A$2,SCENARIOS!$B$2,1,YIELDS!O$1)</f>
        <v>0</v>
      </c>
      <c r="P128" cm="1">
        <f t="array" ref="P128">_xll.VALEURCOURBE($A$27,_xlfn.CONCAT("THEME5=",$B128),SCENARIOS!$A$2,SCENARIOS!$B$2,1,YIELDS!P$1)</f>
        <v>0</v>
      </c>
      <c r="Q128" cm="1">
        <f t="array" ref="Q128">_xll.VALEURCOURBE($A$27,_xlfn.CONCAT("THEME5=",$B128),SCENARIOS!$A$2,SCENARIOS!$B$2,1,YIELDS!Q$1)</f>
        <v>0</v>
      </c>
      <c r="R128" cm="1">
        <f t="array" ref="R128">_xll.VALEURCOURBE($A$27,_xlfn.CONCAT("THEME5=",$B128),SCENARIOS!$A$2,SCENARIOS!$B$2,1,YIELDS!R$1)</f>
        <v>0</v>
      </c>
      <c r="S128" cm="1">
        <f t="array" ref="S128">_xll.VALEURCOURBE($A$27,_xlfn.CONCAT("THEME5=",$B128),SCENARIOS!$A$2,SCENARIOS!$B$2,1,YIELDS!S$1)</f>
        <v>0</v>
      </c>
      <c r="T128" cm="1">
        <f t="array" ref="T128">_xll.VALEURCOURBE($A$27,_xlfn.CONCAT("THEME5=",$B128),SCENARIOS!$A$2,SCENARIOS!$B$2,1,YIELDS!T$1)</f>
        <v>0</v>
      </c>
      <c r="U128" cm="1">
        <f t="array" ref="U128">_xll.VALEURCOURBE($A$27,_xlfn.CONCAT("THEME5=",$B128),SCENARIOS!$A$2,SCENARIOS!$B$2,1,YIELDS!U$1)</f>
        <v>0</v>
      </c>
      <c r="V128" cm="1">
        <f t="array" ref="V128">_xll.VALEURCOURBE($A$27,_xlfn.CONCAT("THEME5=",$B128),SCENARIOS!$A$2,SCENARIOS!$B$2,1,YIELDS!V$1)</f>
        <v>0</v>
      </c>
    </row>
    <row r="129" spans="1:22" x14ac:dyDescent="0.25">
      <c r="A129" t="str">
        <v>YVALERTE</v>
      </c>
      <c r="B129" t="str">
        <v>FC7395</v>
      </c>
      <c r="C129" cm="1">
        <f t="array" ref="C129">_xll.VALEURCOURBE($A$27,_xlfn.CONCAT("THEME5=",$B129),SCENARIOS!$A$2,SCENARIOS!$B$2,1,YIELDS!C$1)</f>
        <v>0</v>
      </c>
      <c r="D129" cm="1">
        <f t="array" ref="D129">_xll.VALEURCOURBE($A$27,_xlfn.CONCAT("THEME5=",$B129),SCENARIOS!$A$2,SCENARIOS!$B$2,1,YIELDS!D$1)</f>
        <v>0</v>
      </c>
      <c r="E129" cm="1">
        <f t="array" ref="E129">_xll.VALEURCOURBE($A$27,_xlfn.CONCAT("THEME5=",$B129),SCENARIOS!$A$2,SCENARIOS!$B$2,1,YIELDS!E$1)</f>
        <v>0</v>
      </c>
      <c r="F129" cm="1">
        <f t="array" ref="F129">_xll.VALEURCOURBE($A$27,_xlfn.CONCAT("THEME5=",$B129),SCENARIOS!$A$2,SCENARIOS!$B$2,1,YIELDS!F$1)</f>
        <v>5.72</v>
      </c>
      <c r="G129" cm="1">
        <f t="array" ref="G129">_xll.VALEURCOURBE($A$27,_xlfn.CONCAT("THEME5=",$B129),SCENARIOS!$A$2,SCENARIOS!$B$2,1,YIELDS!G$1)</f>
        <v>11.46</v>
      </c>
      <c r="H129" cm="1">
        <f t="array" ref="H129">_xll.VALEURCOURBE($A$27,_xlfn.CONCAT("THEME5=",$B129),SCENARIOS!$A$2,SCENARIOS!$B$2,1,YIELDS!H$1)</f>
        <v>17.170000000000002</v>
      </c>
      <c r="I129" cm="1">
        <f t="array" ref="I129">_xll.VALEURCOURBE($A$27,_xlfn.CONCAT("THEME5=",$B129),SCENARIOS!$A$2,SCENARIOS!$B$2,1,YIELDS!I$1)</f>
        <v>22.9</v>
      </c>
      <c r="J129" cm="1">
        <f t="array" ref="J129">_xll.VALEURCOURBE($A$27,_xlfn.CONCAT("THEME5=",$B129),SCENARIOS!$A$2,SCENARIOS!$B$2,1,YIELDS!J$1)</f>
        <v>28.63</v>
      </c>
      <c r="K129" cm="1">
        <f t="array" ref="K129">_xll.VALEURCOURBE($A$27,_xlfn.CONCAT("THEME5=",$B129),SCENARIOS!$A$2,SCENARIOS!$B$2,1,YIELDS!K$1)</f>
        <v>34.36</v>
      </c>
      <c r="L129" cm="1">
        <f t="array" ref="L129">_xll.VALEURCOURBE($A$27,_xlfn.CONCAT("THEME5=",$B129),SCENARIOS!$A$2,SCENARIOS!$B$2,1,YIELDS!L$1)</f>
        <v>40.43</v>
      </c>
      <c r="M129" cm="1">
        <f t="array" ref="M129">_xll.VALEURCOURBE($A$27,_xlfn.CONCAT("THEME5=",$B129),SCENARIOS!$A$2,SCENARIOS!$B$2,1,YIELDS!M$1)</f>
        <v>45.86</v>
      </c>
      <c r="N129" cm="1">
        <f t="array" ref="N129">_xll.VALEURCOURBE($A$27,_xlfn.CONCAT("THEME5=",$B129),SCENARIOS!$A$2,SCENARIOS!$B$2,1,YIELDS!N$1)</f>
        <v>50.63</v>
      </c>
      <c r="O129" cm="1">
        <f t="array" ref="O129">_xll.VALEURCOURBE($A$27,_xlfn.CONCAT("THEME5=",$B129),SCENARIOS!$A$2,SCENARIOS!$B$2,1,YIELDS!O$1)</f>
        <v>54.68</v>
      </c>
      <c r="P129" cm="1">
        <f t="array" ref="P129">_xll.VALEURCOURBE($A$27,_xlfn.CONCAT("THEME5=",$B129),SCENARIOS!$A$2,SCENARIOS!$B$2,1,YIELDS!P$1)</f>
        <v>58.07</v>
      </c>
      <c r="Q129" cm="1">
        <f t="array" ref="Q129">_xll.VALEURCOURBE($A$27,_xlfn.CONCAT("THEME5=",$B129),SCENARIOS!$A$2,SCENARIOS!$B$2,1,YIELDS!Q$1)</f>
        <v>60.79</v>
      </c>
      <c r="R129" cm="1">
        <f t="array" ref="R129">_xll.VALEURCOURBE($A$27,_xlfn.CONCAT("THEME5=",$B129),SCENARIOS!$A$2,SCENARIOS!$B$2,1,YIELDS!R$1)</f>
        <v>62.86</v>
      </c>
      <c r="S129" cm="1">
        <f t="array" ref="S129">_xll.VALEURCOURBE($A$27,_xlfn.CONCAT("THEME5=",$B129),SCENARIOS!$A$2,SCENARIOS!$B$2,1,YIELDS!S$1)</f>
        <v>64.33</v>
      </c>
      <c r="T129" cm="1">
        <f t="array" ref="T129">_xll.VALEURCOURBE($A$27,_xlfn.CONCAT("THEME5=",$B129),SCENARIOS!$A$2,SCENARIOS!$B$2,1,YIELDS!T$1)</f>
        <v>65.239999999999995</v>
      </c>
      <c r="U129" cm="1">
        <f t="array" ref="U129">_xll.VALEURCOURBE($A$27,_xlfn.CONCAT("THEME5=",$B129),SCENARIOS!$A$2,SCENARIOS!$B$2,1,YIELDS!U$1)</f>
        <v>65.61</v>
      </c>
      <c r="V129" cm="1">
        <f t="array" ref="V129">_xll.VALEURCOURBE($A$27,_xlfn.CONCAT("THEME5=",$B129),SCENARIOS!$A$2,SCENARIOS!$B$2,1,YIELDS!V$1)</f>
        <v>65.540000000000006</v>
      </c>
    </row>
    <row r="130" spans="1:22" x14ac:dyDescent="0.25">
      <c r="A130" t="str">
        <v>YRESREF</v>
      </c>
      <c r="B130" t="str">
        <v>FC7397</v>
      </c>
      <c r="C130" cm="1">
        <f t="array" ref="C130">_xll.VALEURCOURBE($A$27,_xlfn.CONCAT("THEME5=",$B130),SCENARIOS!$A$2,SCENARIOS!$B$2,1,YIELDS!C$1)</f>
        <v>0</v>
      </c>
      <c r="D130" cm="1">
        <f t="array" ref="D130">_xll.VALEURCOURBE($A$27,_xlfn.CONCAT("THEME5=",$B130),SCENARIOS!$A$2,SCENARIOS!$B$2,1,YIELDS!D$1)</f>
        <v>0</v>
      </c>
      <c r="E130" cm="1">
        <f t="array" ref="E130">_xll.VALEURCOURBE($A$27,_xlfn.CONCAT("THEME5=",$B130),SCENARIOS!$A$2,SCENARIOS!$B$2,1,YIELDS!E$1)</f>
        <v>0</v>
      </c>
      <c r="F130" cm="1">
        <f t="array" ref="F130">_xll.VALEURCOURBE($A$27,_xlfn.CONCAT("THEME5=",$B130),SCENARIOS!$A$2,SCENARIOS!$B$2,1,YIELDS!F$1)</f>
        <v>0</v>
      </c>
      <c r="G130" cm="1">
        <f t="array" ref="G130">_xll.VALEURCOURBE($A$27,_xlfn.CONCAT("THEME5=",$B130),SCENARIOS!$A$2,SCENARIOS!$B$2,1,YIELDS!G$1)</f>
        <v>0</v>
      </c>
      <c r="H130" cm="1">
        <f t="array" ref="H130">_xll.VALEURCOURBE($A$27,_xlfn.CONCAT("THEME5=",$B130),SCENARIOS!$A$2,SCENARIOS!$B$2,1,YIELDS!H$1)</f>
        <v>0</v>
      </c>
      <c r="I130" cm="1">
        <f t="array" ref="I130">_xll.VALEURCOURBE($A$27,_xlfn.CONCAT("THEME5=",$B130),SCENARIOS!$A$2,SCENARIOS!$B$2,1,YIELDS!I$1)</f>
        <v>0</v>
      </c>
      <c r="J130" cm="1">
        <f t="array" ref="J130">_xll.VALEURCOURBE($A$27,_xlfn.CONCAT("THEME5=",$B130),SCENARIOS!$A$2,SCENARIOS!$B$2,1,YIELDS!J$1)</f>
        <v>1.19</v>
      </c>
      <c r="K130" cm="1">
        <f t="array" ref="K130">_xll.VALEURCOURBE($A$27,_xlfn.CONCAT("THEME5=",$B130),SCENARIOS!$A$2,SCENARIOS!$B$2,1,YIELDS!K$1)</f>
        <v>11.5</v>
      </c>
      <c r="L130" cm="1">
        <f t="array" ref="L130">_xll.VALEURCOURBE($A$27,_xlfn.CONCAT("THEME5=",$B130),SCENARIOS!$A$2,SCENARIOS!$B$2,1,YIELDS!L$1)</f>
        <v>20.87</v>
      </c>
      <c r="M130" cm="1">
        <f t="array" ref="M130">_xll.VALEURCOURBE($A$27,_xlfn.CONCAT("THEME5=",$B130),SCENARIOS!$A$2,SCENARIOS!$B$2,1,YIELDS!M$1)</f>
        <v>29.16</v>
      </c>
      <c r="N130" cm="1">
        <f t="array" ref="N130">_xll.VALEURCOURBE($A$27,_xlfn.CONCAT("THEME5=",$B130),SCENARIOS!$A$2,SCENARIOS!$B$2,1,YIELDS!N$1)</f>
        <v>36.6</v>
      </c>
      <c r="O130" cm="1">
        <f t="array" ref="O130">_xll.VALEURCOURBE($A$27,_xlfn.CONCAT("THEME5=",$B130),SCENARIOS!$A$2,SCENARIOS!$B$2,1,YIELDS!O$1)</f>
        <v>43.15</v>
      </c>
      <c r="P130" cm="1">
        <f t="array" ref="P130">_xll.VALEURCOURBE($A$27,_xlfn.CONCAT("THEME5=",$B130),SCENARIOS!$A$2,SCENARIOS!$B$2,1,YIELDS!P$1)</f>
        <v>48.84</v>
      </c>
      <c r="Q130" cm="1">
        <f t="array" ref="Q130">_xll.VALEURCOURBE($A$27,_xlfn.CONCAT("THEME5=",$B130),SCENARIOS!$A$2,SCENARIOS!$B$2,1,YIELDS!Q$1)</f>
        <v>53.68</v>
      </c>
      <c r="R130" cm="1">
        <f t="array" ref="R130">_xll.VALEURCOURBE($A$27,_xlfn.CONCAT("THEME5=",$B130),SCENARIOS!$A$2,SCENARIOS!$B$2,1,YIELDS!R$1)</f>
        <v>57.7</v>
      </c>
      <c r="S130" cm="1">
        <f t="array" ref="S130">_xll.VALEURCOURBE($A$27,_xlfn.CONCAT("THEME5=",$B130),SCENARIOS!$A$2,SCENARIOS!$B$2,1,YIELDS!S$1)</f>
        <v>60.96</v>
      </c>
      <c r="T130" cm="1">
        <f t="array" ref="T130">_xll.VALEURCOURBE($A$27,_xlfn.CONCAT("THEME5=",$B130),SCENARIOS!$A$2,SCENARIOS!$B$2,1,YIELDS!T$1)</f>
        <v>63.48</v>
      </c>
      <c r="U130" cm="1">
        <f t="array" ref="U130">_xll.VALEURCOURBE($A$27,_xlfn.CONCAT("THEME5=",$B130),SCENARIOS!$A$2,SCENARIOS!$B$2,1,YIELDS!U$1)</f>
        <v>65.36</v>
      </c>
      <c r="V130" cm="1">
        <f t="array" ref="V130">_xll.VALEURCOURBE($A$27,_xlfn.CONCAT("THEME5=",$B130),SCENARIOS!$A$2,SCENARIOS!$B$2,1,YIELDS!V$1)</f>
        <v>66.62</v>
      </c>
    </row>
    <row r="131" spans="1:22" x14ac:dyDescent="0.25">
      <c r="A131" t="str">
        <v>YVIEUXPCT</v>
      </c>
      <c r="B131" t="str">
        <v>FC7400</v>
      </c>
      <c r="C131" cm="1">
        <f t="array" ref="C131">_xll.VALEURCOURBE($A$27,_xlfn.CONCAT("THEME5=",$B131),SCENARIOS!$A$2,SCENARIOS!$B$2,1,YIELDS!C$1)</f>
        <v>0</v>
      </c>
      <c r="D131" cm="1">
        <f t="array" ref="D131">_xll.VALEURCOURBE($A$27,_xlfn.CONCAT("THEME5=",$B131),SCENARIOS!$A$2,SCENARIOS!$B$2,1,YIELDS!D$1)</f>
        <v>0</v>
      </c>
      <c r="E131" cm="1">
        <f t="array" ref="E131">_xll.VALEURCOURBE($A$27,_xlfn.CONCAT("THEME5=",$B131),SCENARIOS!$A$2,SCENARIOS!$B$2,1,YIELDS!E$1)</f>
        <v>0</v>
      </c>
      <c r="F131" cm="1">
        <f t="array" ref="F131">_xll.VALEURCOURBE($A$27,_xlfn.CONCAT("THEME5=",$B131),SCENARIOS!$A$2,SCENARIOS!$B$2,1,YIELDS!F$1)</f>
        <v>0</v>
      </c>
      <c r="G131" cm="1">
        <f t="array" ref="G131">_xll.VALEURCOURBE($A$27,_xlfn.CONCAT("THEME5=",$B131),SCENARIOS!$A$2,SCENARIOS!$B$2,1,YIELDS!G$1)</f>
        <v>0</v>
      </c>
      <c r="H131" cm="1">
        <f t="array" ref="H131">_xll.VALEURCOURBE($A$27,_xlfn.CONCAT("THEME5=",$B131),SCENARIOS!$A$2,SCENARIOS!$B$2,1,YIELDS!H$1)</f>
        <v>0</v>
      </c>
      <c r="I131" cm="1">
        <f t="array" ref="I131">_xll.VALEURCOURBE($A$27,_xlfn.CONCAT("THEME5=",$B131),SCENARIOS!$A$2,SCENARIOS!$B$2,1,YIELDS!I$1)</f>
        <v>0</v>
      </c>
      <c r="J131" cm="1">
        <f t="array" ref="J131">_xll.VALEURCOURBE($A$27,_xlfn.CONCAT("THEME5=",$B131),SCENARIOS!$A$2,SCENARIOS!$B$2,1,YIELDS!J$1)</f>
        <v>0</v>
      </c>
      <c r="K131" cm="1">
        <f t="array" ref="K131">_xll.VALEURCOURBE($A$27,_xlfn.CONCAT("THEME5=",$B131),SCENARIOS!$A$2,SCENARIOS!$B$2,1,YIELDS!K$1)</f>
        <v>0</v>
      </c>
      <c r="L131" cm="1">
        <f t="array" ref="L131">_xll.VALEURCOURBE($A$27,_xlfn.CONCAT("THEME5=",$B131),SCENARIOS!$A$2,SCENARIOS!$B$2,1,YIELDS!L$1)</f>
        <v>2.0699999999999998</v>
      </c>
      <c r="M131" cm="1">
        <f t="array" ref="M131">_xll.VALEURCOURBE($A$27,_xlfn.CONCAT("THEME5=",$B131),SCENARIOS!$A$2,SCENARIOS!$B$2,1,YIELDS!M$1)</f>
        <v>12.57</v>
      </c>
      <c r="N131" cm="1">
        <f t="array" ref="N131">_xll.VALEURCOURBE($A$27,_xlfn.CONCAT("THEME5=",$B131),SCENARIOS!$A$2,SCENARIOS!$B$2,1,YIELDS!N$1)</f>
        <v>21.85</v>
      </c>
      <c r="O131" cm="1">
        <f t="array" ref="O131">_xll.VALEURCOURBE($A$27,_xlfn.CONCAT("THEME5=",$B131),SCENARIOS!$A$2,SCENARIOS!$B$2,1,YIELDS!O$1)</f>
        <v>30.11</v>
      </c>
      <c r="P131" cm="1">
        <f t="array" ref="P131">_xll.VALEURCOURBE($A$27,_xlfn.CONCAT("THEME5=",$B131),SCENARIOS!$A$2,SCENARIOS!$B$2,1,YIELDS!P$1)</f>
        <v>37.450000000000003</v>
      </c>
      <c r="Q131" cm="1">
        <f t="array" ref="Q131">_xll.VALEURCOURBE($A$27,_xlfn.CONCAT("THEME5=",$B131),SCENARIOS!$A$2,SCENARIOS!$B$2,1,YIELDS!Q$1)</f>
        <v>43.88</v>
      </c>
      <c r="R131" cm="1">
        <f t="array" ref="R131">_xll.VALEURCOURBE($A$27,_xlfn.CONCAT("THEME5=",$B131),SCENARIOS!$A$2,SCENARIOS!$B$2,1,YIELDS!R$1)</f>
        <v>49.5</v>
      </c>
      <c r="S131" cm="1">
        <f t="array" ref="S131">_xll.VALEURCOURBE($A$27,_xlfn.CONCAT("THEME5=",$B131),SCENARIOS!$A$2,SCENARIOS!$B$2,1,YIELDS!S$1)</f>
        <v>54.33</v>
      </c>
      <c r="T131" cm="1">
        <f t="array" ref="T131">_xll.VALEURCOURBE($A$27,_xlfn.CONCAT("THEME5=",$B131),SCENARIOS!$A$2,SCENARIOS!$B$2,1,YIELDS!T$1)</f>
        <v>58.48</v>
      </c>
      <c r="U131" cm="1">
        <f t="array" ref="U131">_xll.VALEURCOURBE($A$27,_xlfn.CONCAT("THEME5=",$B131),SCENARIOS!$A$2,SCENARIOS!$B$2,1,YIELDS!U$1)</f>
        <v>61.98</v>
      </c>
      <c r="V131" cm="1">
        <f t="array" ref="V131">_xll.VALEURCOURBE($A$27,_xlfn.CONCAT("THEME5=",$B131),SCENARIOS!$A$2,SCENARIOS!$B$2,1,YIELDS!V$1)</f>
        <v>64.88</v>
      </c>
    </row>
    <row r="132" spans="1:22" x14ac:dyDescent="0.25">
      <c r="A132" t="str">
        <v>YVIEUXACCEPTE</v>
      </c>
      <c r="B132" t="str">
        <v>FC7409</v>
      </c>
      <c r="C132" cm="1">
        <f t="array" ref="C132">_xll.VALEURCOURBE($A$27,_xlfn.CONCAT("THEME5=",$B132),SCENARIOS!$A$2,SCENARIOS!$B$2,1,YIELDS!C$1)</f>
        <v>0</v>
      </c>
      <c r="D132" cm="1">
        <f t="array" ref="D132">_xll.VALEURCOURBE($A$27,_xlfn.CONCAT("THEME5=",$B132),SCENARIOS!$A$2,SCENARIOS!$B$2,1,YIELDS!D$1)</f>
        <v>0</v>
      </c>
      <c r="E132" cm="1">
        <f t="array" ref="E132">_xll.VALEURCOURBE($A$27,_xlfn.CONCAT("THEME5=",$B132),SCENARIOS!$A$2,SCENARIOS!$B$2,1,YIELDS!E$1)</f>
        <v>0</v>
      </c>
      <c r="F132" cm="1">
        <f t="array" ref="F132">_xll.VALEURCOURBE($A$27,_xlfn.CONCAT("THEME5=",$B132),SCENARIOS!$A$2,SCENARIOS!$B$2,1,YIELDS!F$1)</f>
        <v>7.28</v>
      </c>
      <c r="G132" cm="1">
        <f t="array" ref="G132">_xll.VALEURCOURBE($A$27,_xlfn.CONCAT("THEME5=",$B132),SCENARIOS!$A$2,SCENARIOS!$B$2,1,YIELDS!G$1)</f>
        <v>14.57</v>
      </c>
      <c r="H132" cm="1">
        <f t="array" ref="H132">_xll.VALEURCOURBE($A$27,_xlfn.CONCAT("THEME5=",$B132),SCENARIOS!$A$2,SCENARIOS!$B$2,1,YIELDS!H$1)</f>
        <v>24.98</v>
      </c>
      <c r="I132" cm="1">
        <f t="array" ref="I132">_xll.VALEURCOURBE($A$27,_xlfn.CONCAT("THEME5=",$B132),SCENARIOS!$A$2,SCENARIOS!$B$2,1,YIELDS!I$1)</f>
        <v>38.5</v>
      </c>
      <c r="J132" cm="1">
        <f t="array" ref="J132">_xll.VALEURCOURBE($A$27,_xlfn.CONCAT("THEME5=",$B132),SCENARIOS!$A$2,SCENARIOS!$B$2,1,YIELDS!J$1)</f>
        <v>53.67</v>
      </c>
      <c r="K132" cm="1">
        <f t="array" ref="K132">_xll.VALEURCOURBE($A$27,_xlfn.CONCAT("THEME5=",$B132),SCENARIOS!$A$2,SCENARIOS!$B$2,1,YIELDS!K$1)</f>
        <v>69.349999999999994</v>
      </c>
      <c r="L132" cm="1">
        <f t="array" ref="L132">_xll.VALEURCOURBE($A$27,_xlfn.CONCAT("THEME5=",$B132),SCENARIOS!$A$2,SCENARIOS!$B$2,1,YIELDS!L$1)</f>
        <v>84.7</v>
      </c>
      <c r="M132" cm="1">
        <f t="array" ref="M132">_xll.VALEURCOURBE($A$27,_xlfn.CONCAT("THEME5=",$B132),SCENARIOS!$A$2,SCENARIOS!$B$2,1,YIELDS!M$1)</f>
        <v>99.06</v>
      </c>
      <c r="N132" cm="1">
        <f t="array" ref="N132">_xll.VALEURCOURBE($A$27,_xlfn.CONCAT("THEME5=",$B132),SCENARIOS!$A$2,SCENARIOS!$B$2,1,YIELDS!N$1)</f>
        <v>111.99</v>
      </c>
      <c r="O132" cm="1">
        <f t="array" ref="O132">_xll.VALEURCOURBE($A$27,_xlfn.CONCAT("THEME5=",$B132),SCENARIOS!$A$2,SCENARIOS!$B$2,1,YIELDS!O$1)</f>
        <v>123.2</v>
      </c>
      <c r="P132" cm="1">
        <f t="array" ref="P132">_xll.VALEURCOURBE($A$27,_xlfn.CONCAT("THEME5=",$B132),SCENARIOS!$A$2,SCENARIOS!$B$2,1,YIELDS!P$1)</f>
        <v>132.55000000000001</v>
      </c>
      <c r="Q132" cm="1">
        <f t="array" ref="Q132">_xll.VALEURCOURBE($A$27,_xlfn.CONCAT("THEME5=",$B132),SCENARIOS!$A$2,SCENARIOS!$B$2,1,YIELDS!Q$1)</f>
        <v>140</v>
      </c>
      <c r="R132" cm="1">
        <f t="array" ref="R132">_xll.VALEURCOURBE($A$27,_xlfn.CONCAT("THEME5=",$B132),SCENARIOS!$A$2,SCENARIOS!$B$2,1,YIELDS!R$1)</f>
        <v>145.63</v>
      </c>
      <c r="S132" cm="1">
        <f t="array" ref="S132">_xll.VALEURCOURBE($A$27,_xlfn.CONCAT("THEME5=",$B132),SCENARIOS!$A$2,SCENARIOS!$B$2,1,YIELDS!S$1)</f>
        <v>149.51</v>
      </c>
      <c r="T132" cm="1">
        <f t="array" ref="T132">_xll.VALEURCOURBE($A$27,_xlfn.CONCAT("THEME5=",$B132),SCENARIOS!$A$2,SCENARIOS!$B$2,1,YIELDS!T$1)</f>
        <v>151.84</v>
      </c>
      <c r="U132" cm="1">
        <f t="array" ref="U132">_xll.VALEURCOURBE($A$27,_xlfn.CONCAT("THEME5=",$B132),SCENARIOS!$A$2,SCENARIOS!$B$2,1,YIELDS!U$1)</f>
        <v>152.80000000000001</v>
      </c>
      <c r="V132" cm="1">
        <f t="array" ref="V132">_xll.VALEURCOURBE($A$27,_xlfn.CONCAT("THEME5=",$B132),SCENARIOS!$A$2,SCENARIOS!$B$2,1,YIELDS!V$1)</f>
        <v>152.59</v>
      </c>
    </row>
    <row r="133" spans="1:22" x14ac:dyDescent="0.25">
      <c r="A133" t="str">
        <v>YVIEUXALERTE</v>
      </c>
      <c r="B133" t="str">
        <v>FC7413</v>
      </c>
      <c r="C133" cm="1">
        <f t="array" ref="C133">_xll.VALEURCOURBE($A$27,_xlfn.CONCAT("THEME5=",$B133),SCENARIOS!$A$2,SCENARIOS!$B$2,1,YIELDS!C$1)</f>
        <v>0</v>
      </c>
      <c r="D133" cm="1">
        <f t="array" ref="D133">_xll.VALEURCOURBE($A$27,_xlfn.CONCAT("THEME5=",$B133),SCENARIOS!$A$2,SCENARIOS!$B$2,1,YIELDS!D$1)</f>
        <v>0</v>
      </c>
      <c r="E133" cm="1">
        <f t="array" ref="E133">_xll.VALEURCOURBE($A$27,_xlfn.CONCAT("THEME5=",$B133),SCENARIOS!$A$2,SCENARIOS!$B$2,1,YIELDS!E$1)</f>
        <v>0</v>
      </c>
      <c r="F133" cm="1">
        <f t="array" ref="F133">_xll.VALEURCOURBE($A$27,_xlfn.CONCAT("THEME5=",$B133),SCENARIOS!$A$2,SCENARIOS!$B$2,1,YIELDS!F$1)</f>
        <v>7.28</v>
      </c>
      <c r="G133" cm="1">
        <f t="array" ref="G133">_xll.VALEURCOURBE($A$27,_xlfn.CONCAT("THEME5=",$B133),SCENARIOS!$A$2,SCENARIOS!$B$2,1,YIELDS!G$1)</f>
        <v>14.57</v>
      </c>
      <c r="H133" cm="1">
        <f t="array" ref="H133">_xll.VALEURCOURBE($A$27,_xlfn.CONCAT("THEME5=",$B133),SCENARIOS!$A$2,SCENARIOS!$B$2,1,YIELDS!H$1)</f>
        <v>24.98</v>
      </c>
      <c r="I133" cm="1">
        <f t="array" ref="I133">_xll.VALEURCOURBE($A$27,_xlfn.CONCAT("THEME5=",$B133),SCENARIOS!$A$2,SCENARIOS!$B$2,1,YIELDS!I$1)</f>
        <v>38.5</v>
      </c>
      <c r="J133" cm="1">
        <f t="array" ref="J133">_xll.VALEURCOURBE($A$27,_xlfn.CONCAT("THEME5=",$B133),SCENARIOS!$A$2,SCENARIOS!$B$2,1,YIELDS!J$1)</f>
        <v>53.67</v>
      </c>
      <c r="K133" cm="1">
        <f t="array" ref="K133">_xll.VALEURCOURBE($A$27,_xlfn.CONCAT("THEME5=",$B133),SCENARIOS!$A$2,SCENARIOS!$B$2,1,YIELDS!K$1)</f>
        <v>69.349999999999994</v>
      </c>
      <c r="L133" cm="1">
        <f t="array" ref="L133">_xll.VALEURCOURBE($A$27,_xlfn.CONCAT("THEME5=",$B133),SCENARIOS!$A$2,SCENARIOS!$B$2,1,YIELDS!L$1)</f>
        <v>84.7</v>
      </c>
      <c r="M133" cm="1">
        <f t="array" ref="M133">_xll.VALEURCOURBE($A$27,_xlfn.CONCAT("THEME5=",$B133),SCENARIOS!$A$2,SCENARIOS!$B$2,1,YIELDS!M$1)</f>
        <v>99.06</v>
      </c>
      <c r="N133" cm="1">
        <f t="array" ref="N133">_xll.VALEURCOURBE($A$27,_xlfn.CONCAT("THEME5=",$B133),SCENARIOS!$A$2,SCENARIOS!$B$2,1,YIELDS!N$1)</f>
        <v>111.99</v>
      </c>
      <c r="O133" cm="1">
        <f t="array" ref="O133">_xll.VALEURCOURBE($A$27,_xlfn.CONCAT("THEME5=",$B133),SCENARIOS!$A$2,SCENARIOS!$B$2,1,YIELDS!O$1)</f>
        <v>123.2</v>
      </c>
      <c r="P133" cm="1">
        <f t="array" ref="P133">_xll.VALEURCOURBE($A$27,_xlfn.CONCAT("THEME5=",$B133),SCENARIOS!$A$2,SCENARIOS!$B$2,1,YIELDS!P$1)</f>
        <v>132.55000000000001</v>
      </c>
      <c r="Q133" cm="1">
        <f t="array" ref="Q133">_xll.VALEURCOURBE($A$27,_xlfn.CONCAT("THEME5=",$B133),SCENARIOS!$A$2,SCENARIOS!$B$2,1,YIELDS!Q$1)</f>
        <v>140</v>
      </c>
      <c r="R133" cm="1">
        <f t="array" ref="R133">_xll.VALEURCOURBE($A$27,_xlfn.CONCAT("THEME5=",$B133),SCENARIOS!$A$2,SCENARIOS!$B$2,1,YIELDS!R$1)</f>
        <v>145.63</v>
      </c>
      <c r="S133" cm="1">
        <f t="array" ref="S133">_xll.VALEURCOURBE($A$27,_xlfn.CONCAT("THEME5=",$B133),SCENARIOS!$A$2,SCENARIOS!$B$2,1,YIELDS!S$1)</f>
        <v>149.51</v>
      </c>
      <c r="T133" cm="1">
        <f t="array" ref="T133">_xll.VALEURCOURBE($A$27,_xlfn.CONCAT("THEME5=",$B133),SCENARIOS!$A$2,SCENARIOS!$B$2,1,YIELDS!T$1)</f>
        <v>151.84</v>
      </c>
      <c r="U133" cm="1">
        <f t="array" ref="U133">_xll.VALEURCOURBE($A$27,_xlfn.CONCAT("THEME5=",$B133),SCENARIOS!$A$2,SCENARIOS!$B$2,1,YIELDS!U$1)</f>
        <v>152.80000000000001</v>
      </c>
      <c r="V133" cm="1">
        <f t="array" ref="V133">_xll.VALEURCOURBE($A$27,_xlfn.CONCAT("THEME5=",$B133),SCENARIOS!$A$2,SCENARIOS!$B$2,1,YIELDS!V$1)</f>
        <v>152.59</v>
      </c>
    </row>
    <row r="134" spans="1:22" x14ac:dyDescent="0.25">
      <c r="A134" t="str">
        <v>YVIEUX</v>
      </c>
      <c r="B134" t="str">
        <v>FC7434</v>
      </c>
      <c r="C134" cm="1">
        <f t="array" ref="C134">_xll.VALEURCOURBE($A$27,_xlfn.CONCAT("THEME5=",$B134),SCENARIOS!$A$2,SCENARIOS!$B$2,1,YIELDS!C$1)</f>
        <v>0</v>
      </c>
      <c r="D134" cm="1">
        <f t="array" ref="D134">_xll.VALEURCOURBE($A$27,_xlfn.CONCAT("THEME5=",$B134),SCENARIOS!$A$2,SCENARIOS!$B$2,1,YIELDS!D$1)</f>
        <v>0</v>
      </c>
      <c r="E134" cm="1">
        <f t="array" ref="E134">_xll.VALEURCOURBE($A$27,_xlfn.CONCAT("THEME5=",$B134),SCENARIOS!$A$2,SCENARIOS!$B$2,1,YIELDS!E$1)</f>
        <v>0</v>
      </c>
      <c r="F134" cm="1">
        <f t="array" ref="F134">_xll.VALEURCOURBE($A$27,_xlfn.CONCAT("THEME5=",$B134),SCENARIOS!$A$2,SCENARIOS!$B$2,1,YIELDS!F$1)</f>
        <v>4.79</v>
      </c>
      <c r="G134" cm="1">
        <f t="array" ref="G134">_xll.VALEURCOURBE($A$27,_xlfn.CONCAT("THEME5=",$B134),SCENARIOS!$A$2,SCENARIOS!$B$2,1,YIELDS!G$1)</f>
        <v>20.77</v>
      </c>
      <c r="H134" cm="1">
        <f t="array" ref="H134">_xll.VALEURCOURBE($A$27,_xlfn.CONCAT("THEME5=",$B134),SCENARIOS!$A$2,SCENARIOS!$B$2,1,YIELDS!H$1)</f>
        <v>43.14</v>
      </c>
      <c r="I134" cm="1">
        <f t="array" ref="I134">_xll.VALEURCOURBE($A$27,_xlfn.CONCAT("THEME5=",$B134),SCENARIOS!$A$2,SCENARIOS!$B$2,1,YIELDS!I$1)</f>
        <v>69.5</v>
      </c>
      <c r="J134" cm="1">
        <f t="array" ref="J134">_xll.VALEURCOURBE($A$27,_xlfn.CONCAT("THEME5=",$B134),SCENARIOS!$A$2,SCENARIOS!$B$2,1,YIELDS!J$1)</f>
        <v>95.06</v>
      </c>
      <c r="K134" cm="1">
        <f t="array" ref="K134">_xll.VALEURCOURBE($A$27,_xlfn.CONCAT("THEME5=",$B134),SCENARIOS!$A$2,SCENARIOS!$B$2,1,YIELDS!K$1)</f>
        <v>117.43</v>
      </c>
      <c r="L134" cm="1">
        <f t="array" ref="L134">_xll.VALEURCOURBE($A$27,_xlfn.CONCAT("THEME5=",$B134),SCENARIOS!$A$2,SCENARIOS!$B$2,1,YIELDS!L$1)</f>
        <v>133.41</v>
      </c>
      <c r="M134" cm="1">
        <f t="array" ref="M134">_xll.VALEURCOURBE($A$27,_xlfn.CONCAT("THEME5=",$B134),SCENARIOS!$A$2,SCENARIOS!$B$2,1,YIELDS!M$1)</f>
        <v>146.99</v>
      </c>
      <c r="N134" cm="1">
        <f t="array" ref="N134">_xll.VALEURCOURBE($A$27,_xlfn.CONCAT("THEME5=",$B134),SCENARIOS!$A$2,SCENARIOS!$B$2,1,YIELDS!N$1)</f>
        <v>159.77000000000001</v>
      </c>
      <c r="O134" cm="1">
        <f t="array" ref="O134">_xll.VALEURCOURBE($A$27,_xlfn.CONCAT("THEME5=",$B134),SCENARIOS!$A$2,SCENARIOS!$B$2,1,YIELDS!O$1)</f>
        <v>174.15</v>
      </c>
      <c r="P134" cm="1">
        <f t="array" ref="P134">_xll.VALEURCOURBE($A$27,_xlfn.CONCAT("THEME5=",$B134),SCENARIOS!$A$2,SCENARIOS!$B$2,1,YIELDS!P$1)</f>
        <v>184.54</v>
      </c>
      <c r="Q134" cm="1">
        <f t="array" ref="Q134">_xll.VALEURCOURBE($A$27,_xlfn.CONCAT("THEME5=",$B134),SCENARIOS!$A$2,SCENARIOS!$B$2,1,YIELDS!Q$1)</f>
        <v>194.12</v>
      </c>
      <c r="R134" cm="1">
        <f t="array" ref="R134">_xll.VALEURCOURBE($A$27,_xlfn.CONCAT("THEME5=",$B134),SCENARIOS!$A$2,SCENARIOS!$B$2,1,YIELDS!R$1)</f>
        <v>201.31</v>
      </c>
      <c r="S134" cm="1">
        <f t="array" ref="S134">_xll.VALEURCOURBE($A$27,_xlfn.CONCAT("THEME5=",$B134),SCENARIOS!$A$2,SCENARIOS!$B$2,1,YIELDS!S$1)</f>
        <v>206.9</v>
      </c>
      <c r="T134" cm="1">
        <f t="array" ref="T134">_xll.VALEURCOURBE($A$27,_xlfn.CONCAT("THEME5=",$B134),SCENARIOS!$A$2,SCENARIOS!$B$2,1,YIELDS!T$1)</f>
        <v>210.9</v>
      </c>
      <c r="U134" cm="1">
        <f t="array" ref="U134">_xll.VALEURCOURBE($A$27,_xlfn.CONCAT("THEME5=",$B134),SCENARIOS!$A$2,SCENARIOS!$B$2,1,YIELDS!U$1)</f>
        <v>214.09</v>
      </c>
      <c r="V134" cm="1">
        <f t="array" ref="V134">_xll.VALEURCOURBE($A$27,_xlfn.CONCAT("THEME5=",$B134),SCENARIOS!$A$2,SCENARIOS!$B$2,1,YIELDS!V$1)</f>
        <v>214.89</v>
      </c>
    </row>
    <row r="135" spans="1:22" x14ac:dyDescent="0.25">
      <c r="A135" t="str">
        <v>YTBE_CL1A</v>
      </c>
      <c r="B135" t="str">
        <v>FC7530</v>
      </c>
      <c r="C135" cm="1">
        <f t="array" ref="C135">_xll.VALEURCOURBE($A$27,_xlfn.CONCAT("THEME5=",$B135),SCENARIOS!$A$2,SCENARIOS!$B$2,1,YIELDS!C$1)</f>
        <v>0</v>
      </c>
      <c r="D135" cm="1">
        <f t="array" ref="D135">_xll.VALEURCOURBE($A$27,_xlfn.CONCAT("THEME5=",$B135),SCENARIOS!$A$2,SCENARIOS!$B$2,1,YIELDS!D$1)</f>
        <v>0</v>
      </c>
      <c r="E135" cm="1">
        <f t="array" ref="E135">_xll.VALEURCOURBE($A$27,_xlfn.CONCAT("THEME5=",$B135),SCENARIOS!$A$2,SCENARIOS!$B$2,1,YIELDS!E$1)</f>
        <v>0</v>
      </c>
      <c r="F135" cm="1">
        <f t="array" ref="F135">_xll.VALEURCOURBE($A$27,_xlfn.CONCAT("THEME5=",$B135),SCENARIOS!$A$2,SCENARIOS!$B$2,1,YIELDS!F$1)</f>
        <v>4.79</v>
      </c>
      <c r="G135" cm="1">
        <f t="array" ref="G135">_xll.VALEURCOURBE($A$27,_xlfn.CONCAT("THEME5=",$B135),SCENARIOS!$A$2,SCENARIOS!$B$2,1,YIELDS!G$1)</f>
        <v>20.77</v>
      </c>
      <c r="H135" cm="1">
        <f t="array" ref="H135">_xll.VALEURCOURBE($A$27,_xlfn.CONCAT("THEME5=",$B135),SCENARIOS!$A$2,SCENARIOS!$B$2,1,YIELDS!H$1)</f>
        <v>43.14</v>
      </c>
      <c r="I135" cm="1">
        <f t="array" ref="I135">_xll.VALEURCOURBE($A$27,_xlfn.CONCAT("THEME5=",$B135),SCENARIOS!$A$2,SCENARIOS!$B$2,1,YIELDS!I$1)</f>
        <v>69.5</v>
      </c>
      <c r="J135" cm="1">
        <f t="array" ref="J135">_xll.VALEURCOURBE($A$27,_xlfn.CONCAT("THEME5=",$B135),SCENARIOS!$A$2,SCENARIOS!$B$2,1,YIELDS!J$1)</f>
        <v>95.06</v>
      </c>
      <c r="K135" cm="1">
        <f t="array" ref="K135">_xll.VALEURCOURBE($A$27,_xlfn.CONCAT("THEME5=",$B135),SCENARIOS!$A$2,SCENARIOS!$B$2,1,YIELDS!K$1)</f>
        <v>117.43</v>
      </c>
      <c r="L135" cm="1">
        <f t="array" ref="L135">_xll.VALEURCOURBE($A$27,_xlfn.CONCAT("THEME5=",$B135),SCENARIOS!$A$2,SCENARIOS!$B$2,1,YIELDS!L$1)</f>
        <v>133.41</v>
      </c>
      <c r="M135" cm="1">
        <f t="array" ref="M135">_xll.VALEURCOURBE($A$27,_xlfn.CONCAT("THEME5=",$B135),SCENARIOS!$A$2,SCENARIOS!$B$2,1,YIELDS!M$1)</f>
        <v>146.99</v>
      </c>
      <c r="N135" cm="1">
        <f t="array" ref="N135">_xll.VALEURCOURBE($A$27,_xlfn.CONCAT("THEME5=",$B135),SCENARIOS!$A$2,SCENARIOS!$B$2,1,YIELDS!N$1)</f>
        <v>159.77000000000001</v>
      </c>
      <c r="O135" cm="1">
        <f t="array" ref="O135">_xll.VALEURCOURBE($A$27,_xlfn.CONCAT("THEME5=",$B135),SCENARIOS!$A$2,SCENARIOS!$B$2,1,YIELDS!O$1)</f>
        <v>174.15</v>
      </c>
      <c r="P135" cm="1">
        <f t="array" ref="P135">_xll.VALEURCOURBE($A$27,_xlfn.CONCAT("THEME5=",$B135),SCENARIOS!$A$2,SCENARIOS!$B$2,1,YIELDS!P$1)</f>
        <v>184.54</v>
      </c>
      <c r="Q135" cm="1">
        <f t="array" ref="Q135">_xll.VALEURCOURBE($A$27,_xlfn.CONCAT("THEME5=",$B135),SCENARIOS!$A$2,SCENARIOS!$B$2,1,YIELDS!Q$1)</f>
        <v>194.12</v>
      </c>
      <c r="R135" cm="1">
        <f t="array" ref="R135">_xll.VALEURCOURBE($A$27,_xlfn.CONCAT("THEME5=",$B135),SCENARIOS!$A$2,SCENARIOS!$B$2,1,YIELDS!R$1)</f>
        <v>201.31</v>
      </c>
      <c r="S135" cm="1">
        <f t="array" ref="S135">_xll.VALEURCOURBE($A$27,_xlfn.CONCAT("THEME5=",$B135),SCENARIOS!$A$2,SCENARIOS!$B$2,1,YIELDS!S$1)</f>
        <v>206.9</v>
      </c>
      <c r="T135" cm="1">
        <f t="array" ref="T135">_xll.VALEURCOURBE($A$27,_xlfn.CONCAT("THEME5=",$B135),SCENARIOS!$A$2,SCENARIOS!$B$2,1,YIELDS!T$1)</f>
        <v>210.9</v>
      </c>
      <c r="U135" cm="1">
        <f t="array" ref="U135">_xll.VALEURCOURBE($A$27,_xlfn.CONCAT("THEME5=",$B135),SCENARIOS!$A$2,SCENARIOS!$B$2,1,YIELDS!U$1)</f>
        <v>214.09</v>
      </c>
      <c r="V135" cm="1">
        <f t="array" ref="V135">_xll.VALEURCOURBE($A$27,_xlfn.CONCAT("THEME5=",$B135),SCENARIOS!$A$2,SCENARIOS!$B$2,1,YIELDS!V$1)</f>
        <v>214.89</v>
      </c>
    </row>
    <row r="136" spans="1:22" x14ac:dyDescent="0.25">
      <c r="A136" t="str">
        <v>YTBE_CL2A</v>
      </c>
      <c r="B136" t="str">
        <v>FC7569</v>
      </c>
      <c r="C136" cm="1">
        <f t="array" ref="C136">_xll.VALEURCOURBE($A$27,_xlfn.CONCAT("THEME5=",$B136),SCENARIOS!$A$2,SCENARIOS!$B$2,1,YIELDS!C$1)</f>
        <v>0</v>
      </c>
      <c r="D136" cm="1">
        <f t="array" ref="D136">_xll.VALEURCOURBE($A$27,_xlfn.CONCAT("THEME5=",$B136),SCENARIOS!$A$2,SCENARIOS!$B$2,1,YIELDS!D$1)</f>
        <v>0</v>
      </c>
      <c r="E136" cm="1">
        <f t="array" ref="E136">_xll.VALEURCOURBE($A$27,_xlfn.CONCAT("THEME5=",$B136),SCENARIOS!$A$2,SCENARIOS!$B$2,1,YIELDS!E$1)</f>
        <v>2.83</v>
      </c>
      <c r="F136" cm="1">
        <f t="array" ref="F136">_xll.VALEURCOURBE($A$27,_xlfn.CONCAT("THEME5=",$B136),SCENARIOS!$A$2,SCENARIOS!$B$2,1,YIELDS!F$1)</f>
        <v>17.93</v>
      </c>
      <c r="G136" cm="1">
        <f t="array" ref="G136">_xll.VALEURCOURBE($A$27,_xlfn.CONCAT("THEME5=",$B136),SCENARIOS!$A$2,SCENARIOS!$B$2,1,YIELDS!G$1)</f>
        <v>51.91</v>
      </c>
      <c r="H136" cm="1">
        <f t="array" ref="H136">_xll.VALEURCOURBE($A$27,_xlfn.CONCAT("THEME5=",$B136),SCENARIOS!$A$2,SCENARIOS!$B$2,1,YIELDS!H$1)</f>
        <v>99.09</v>
      </c>
      <c r="I136" cm="1">
        <f t="array" ref="I136">_xll.VALEURCOURBE($A$27,_xlfn.CONCAT("THEME5=",$B136),SCENARIOS!$A$2,SCENARIOS!$B$2,1,YIELDS!I$1)</f>
        <v>151</v>
      </c>
      <c r="J136" cm="1">
        <f t="array" ref="J136">_xll.VALEURCOURBE($A$27,_xlfn.CONCAT("THEME5=",$B136),SCENARIOS!$A$2,SCENARIOS!$B$2,1,YIELDS!J$1)</f>
        <v>201.02</v>
      </c>
      <c r="K136" cm="1">
        <f t="array" ref="K136">_xll.VALEURCOURBE($A$27,_xlfn.CONCAT("THEME5=",$B136),SCENARIOS!$A$2,SCENARIOS!$B$2,1,YIELDS!K$1)</f>
        <v>248.21</v>
      </c>
      <c r="L136" cm="1">
        <f t="array" ref="L136">_xll.VALEURCOURBE($A$27,_xlfn.CONCAT("THEME5=",$B136),SCENARIOS!$A$2,SCENARIOS!$B$2,1,YIELDS!L$1)</f>
        <v>290.68</v>
      </c>
      <c r="M136" cm="1">
        <f t="array" ref="M136">_xll.VALEURCOURBE($A$27,_xlfn.CONCAT("THEME5=",$B136),SCENARIOS!$A$2,SCENARIOS!$B$2,1,YIELDS!M$1)</f>
        <v>329.37</v>
      </c>
      <c r="N136" cm="1">
        <f t="array" ref="N136">_xll.VALEURCOURBE($A$27,_xlfn.CONCAT("THEME5=",$B136),SCENARIOS!$A$2,SCENARIOS!$B$2,1,YIELDS!N$1)</f>
        <v>365.23</v>
      </c>
      <c r="O136" cm="1">
        <f t="array" ref="O136">_xll.VALEURCOURBE($A$27,_xlfn.CONCAT("THEME5=",$B136),SCENARIOS!$A$2,SCENARIOS!$B$2,1,YIELDS!O$1)</f>
        <v>406.76</v>
      </c>
      <c r="P136" cm="1">
        <f t="array" ref="P136">_xll.VALEURCOURBE($A$27,_xlfn.CONCAT("THEME5=",$B136),SCENARIOS!$A$2,SCENARIOS!$B$2,1,YIELDS!P$1)</f>
        <v>434.13</v>
      </c>
      <c r="Q136" cm="1">
        <f t="array" ref="Q136">_xll.VALEURCOURBE($A$27,_xlfn.CONCAT("THEME5=",$B136),SCENARIOS!$A$2,SCENARIOS!$B$2,1,YIELDS!Q$1)</f>
        <v>453.95</v>
      </c>
      <c r="R136" cm="1">
        <f t="array" ref="R136">_xll.VALEURCOURBE($A$27,_xlfn.CONCAT("THEME5=",$B136),SCENARIOS!$A$2,SCENARIOS!$B$2,1,YIELDS!R$1)</f>
        <v>465.27</v>
      </c>
      <c r="S136" cm="1">
        <f t="array" ref="S136">_xll.VALEURCOURBE($A$27,_xlfn.CONCAT("THEME5=",$B136),SCENARIOS!$A$2,SCENARIOS!$B$2,1,YIELDS!S$1)</f>
        <v>469.05</v>
      </c>
      <c r="T136" cm="1">
        <f t="array" ref="T136">_xll.VALEURCOURBE($A$27,_xlfn.CONCAT("THEME5=",$B136),SCENARIOS!$A$2,SCENARIOS!$B$2,1,YIELDS!T$1)</f>
        <v>463.39</v>
      </c>
      <c r="U136" cm="1">
        <f t="array" ref="U136">_xll.VALEURCOURBE($A$27,_xlfn.CONCAT("THEME5=",$B136),SCENARIOS!$A$2,SCENARIOS!$B$2,1,YIELDS!U$1)</f>
        <v>450.17</v>
      </c>
      <c r="V136" cm="1">
        <f t="array" ref="V136">_xll.VALEURCOURBE($A$27,_xlfn.CONCAT("THEME5=",$B136),SCENARIOS!$A$2,SCENARIOS!$B$2,1,YIELDS!V$1)</f>
        <v>428.47</v>
      </c>
    </row>
    <row r="137" spans="1:22" x14ac:dyDescent="0.25">
      <c r="A137" t="str">
        <v>YTBE_CL2B</v>
      </c>
      <c r="B137" t="str">
        <v>FC7626</v>
      </c>
      <c r="C137" cm="1">
        <f t="array" ref="C137">_xll.VALEURCOURBE($A$27,_xlfn.CONCAT("THEME5=",$B137),SCENARIOS!$A$2,SCENARIOS!$B$2,1,YIELDS!C$1)</f>
        <v>0</v>
      </c>
      <c r="D137" cm="1">
        <f t="array" ref="D137">_xll.VALEURCOURBE($A$27,_xlfn.CONCAT("THEME5=",$B137),SCENARIOS!$A$2,SCENARIOS!$B$2,1,YIELDS!D$1)</f>
        <v>0</v>
      </c>
      <c r="E137" cm="1">
        <f t="array" ref="E137">_xll.VALEURCOURBE($A$27,_xlfn.CONCAT("THEME5=",$B137),SCENARIOS!$A$2,SCENARIOS!$B$2,1,YIELDS!E$1)</f>
        <v>0</v>
      </c>
      <c r="F137" cm="1">
        <f t="array" ref="F137">_xll.VALEURCOURBE($A$27,_xlfn.CONCAT("THEME5=",$B137),SCENARIOS!$A$2,SCENARIOS!$B$2,1,YIELDS!F$1)</f>
        <v>5.18</v>
      </c>
      <c r="G137" cm="1">
        <f t="array" ref="G137">_xll.VALEURCOURBE($A$27,_xlfn.CONCAT("THEME5=",$B137),SCENARIOS!$A$2,SCENARIOS!$B$2,1,YIELDS!G$1)</f>
        <v>22.44</v>
      </c>
      <c r="H137" cm="1">
        <f t="array" ref="H137">_xll.VALEURCOURBE($A$27,_xlfn.CONCAT("THEME5=",$B137),SCENARIOS!$A$2,SCENARIOS!$B$2,1,YIELDS!H$1)</f>
        <v>46.61</v>
      </c>
      <c r="I137" cm="1">
        <f t="array" ref="I137">_xll.VALEURCOURBE($A$27,_xlfn.CONCAT("THEME5=",$B137),SCENARIOS!$A$2,SCENARIOS!$B$2,1,YIELDS!I$1)</f>
        <v>75.099999999999994</v>
      </c>
      <c r="J137" cm="1">
        <f t="array" ref="J137">_xll.VALEURCOURBE($A$27,_xlfn.CONCAT("THEME5=",$B137),SCENARIOS!$A$2,SCENARIOS!$B$2,1,YIELDS!J$1)</f>
        <v>102.72</v>
      </c>
      <c r="K137" cm="1">
        <f t="array" ref="K137">_xll.VALEURCOURBE($A$27,_xlfn.CONCAT("THEME5=",$B137),SCENARIOS!$A$2,SCENARIOS!$B$2,1,YIELDS!K$1)</f>
        <v>126.89</v>
      </c>
      <c r="L137" cm="1">
        <f t="array" ref="L137">_xll.VALEURCOURBE($A$27,_xlfn.CONCAT("THEME5=",$B137),SCENARIOS!$A$2,SCENARIOS!$B$2,1,YIELDS!L$1)</f>
        <v>144.16</v>
      </c>
      <c r="M137" cm="1">
        <f t="array" ref="M137">_xll.VALEURCOURBE($A$27,_xlfn.CONCAT("THEME5=",$B137),SCENARIOS!$A$2,SCENARIOS!$B$2,1,YIELDS!M$1)</f>
        <v>158.83000000000001</v>
      </c>
      <c r="N137" cm="1">
        <f t="array" ref="N137">_xll.VALEURCOURBE($A$27,_xlfn.CONCAT("THEME5=",$B137),SCENARIOS!$A$2,SCENARIOS!$B$2,1,YIELDS!N$1)</f>
        <v>172.64</v>
      </c>
      <c r="O137" cm="1">
        <f t="array" ref="O137">_xll.VALEURCOURBE($A$27,_xlfn.CONCAT("THEME5=",$B137),SCENARIOS!$A$2,SCENARIOS!$B$2,1,YIELDS!O$1)</f>
        <v>188.18</v>
      </c>
      <c r="P137" cm="1">
        <f t="array" ref="P137">_xll.VALEURCOURBE($A$27,_xlfn.CONCAT("THEME5=",$B137),SCENARIOS!$A$2,SCENARIOS!$B$2,1,YIELDS!P$1)</f>
        <v>199.4</v>
      </c>
      <c r="Q137" cm="1">
        <f t="array" ref="Q137">_xll.VALEURCOURBE($A$27,_xlfn.CONCAT("THEME5=",$B137),SCENARIOS!$A$2,SCENARIOS!$B$2,1,YIELDS!Q$1)</f>
        <v>209.76</v>
      </c>
      <c r="R137" cm="1">
        <f t="array" ref="R137">_xll.VALEURCOURBE($A$27,_xlfn.CONCAT("THEME5=",$B137),SCENARIOS!$A$2,SCENARIOS!$B$2,1,YIELDS!R$1)</f>
        <v>217.53</v>
      </c>
      <c r="S137" cm="1">
        <f t="array" ref="S137">_xll.VALEURCOURBE($A$27,_xlfn.CONCAT("THEME5=",$B137),SCENARIOS!$A$2,SCENARIOS!$B$2,1,YIELDS!S$1)</f>
        <v>223.57</v>
      </c>
      <c r="T137" cm="1">
        <f t="array" ref="T137">_xll.VALEURCOURBE($A$27,_xlfn.CONCAT("THEME5=",$B137),SCENARIOS!$A$2,SCENARIOS!$B$2,1,YIELDS!T$1)</f>
        <v>227.89</v>
      </c>
      <c r="U137" cm="1">
        <f t="array" ref="U137">_xll.VALEURCOURBE($A$27,_xlfn.CONCAT("THEME5=",$B137),SCENARIOS!$A$2,SCENARIOS!$B$2,1,YIELDS!U$1)</f>
        <v>231.34</v>
      </c>
      <c r="V137" cm="1">
        <f t="array" ref="V137">_xll.VALEURCOURBE($A$27,_xlfn.CONCAT("THEME5=",$B137),SCENARIOS!$A$2,SCENARIOS!$B$2,1,YIELDS!V$1)</f>
        <v>232.2</v>
      </c>
    </row>
    <row r="138" spans="1:22" x14ac:dyDescent="0.25">
      <c r="A138" t="str">
        <v>YTBE_CL2C</v>
      </c>
      <c r="B138" t="str">
        <v>FC7666</v>
      </c>
      <c r="C138" cm="1">
        <f t="array" ref="C138">_xll.VALEURCOURBE($A$27,_xlfn.CONCAT("THEME5=",$B138),SCENARIOS!$A$2,SCENARIOS!$B$2,1,YIELDS!C$1)</f>
        <v>0</v>
      </c>
      <c r="D138" cm="1">
        <f t="array" ref="D138">_xll.VALEURCOURBE($A$27,_xlfn.CONCAT("THEME5=",$B138),SCENARIOS!$A$2,SCENARIOS!$B$2,1,YIELDS!D$1)</f>
        <v>0</v>
      </c>
      <c r="E138" cm="1">
        <f t="array" ref="E138">_xll.VALEURCOURBE($A$27,_xlfn.CONCAT("THEME5=",$B138),SCENARIOS!$A$2,SCENARIOS!$B$2,1,YIELDS!E$1)</f>
        <v>0.64</v>
      </c>
      <c r="F138" cm="1">
        <f t="array" ref="F138">_xll.VALEURCOURBE($A$27,_xlfn.CONCAT("THEME5=",$B138),SCENARIOS!$A$2,SCENARIOS!$B$2,1,YIELDS!F$1)</f>
        <v>3.31</v>
      </c>
      <c r="G138" cm="1">
        <f t="array" ref="G138">_xll.VALEURCOURBE($A$27,_xlfn.CONCAT("THEME5=",$B138),SCENARIOS!$A$2,SCENARIOS!$B$2,1,YIELDS!G$1)</f>
        <v>6.75</v>
      </c>
      <c r="H138" cm="1">
        <f t="array" ref="H138">_xll.VALEURCOURBE($A$27,_xlfn.CONCAT("THEME5=",$B138),SCENARIOS!$A$2,SCENARIOS!$B$2,1,YIELDS!H$1)</f>
        <v>10.57</v>
      </c>
      <c r="I138" cm="1">
        <f t="array" ref="I138">_xll.VALEURCOURBE($A$27,_xlfn.CONCAT("THEME5=",$B138),SCENARIOS!$A$2,SCENARIOS!$B$2,1,YIELDS!I$1)</f>
        <v>14.9</v>
      </c>
      <c r="J138" cm="1">
        <f t="array" ref="J138">_xll.VALEURCOURBE($A$27,_xlfn.CONCAT("THEME5=",$B138),SCENARIOS!$A$2,SCENARIOS!$B$2,1,YIELDS!J$1)</f>
        <v>19.62</v>
      </c>
      <c r="K138" cm="1">
        <f t="array" ref="K138">_xll.VALEURCOURBE($A$27,_xlfn.CONCAT("THEME5=",$B138),SCENARIOS!$A$2,SCENARIOS!$B$2,1,YIELDS!K$1)</f>
        <v>23.95</v>
      </c>
      <c r="L138" cm="1">
        <f t="array" ref="L138">_xll.VALEURCOURBE($A$27,_xlfn.CONCAT("THEME5=",$B138),SCENARIOS!$A$2,SCENARIOS!$B$2,1,YIELDS!L$1)</f>
        <v>28.03</v>
      </c>
      <c r="M138" cm="1">
        <f t="array" ref="M138">_xll.VALEURCOURBE($A$27,_xlfn.CONCAT("THEME5=",$B138),SCENARIOS!$A$2,SCENARIOS!$B$2,1,YIELDS!M$1)</f>
        <v>31.59</v>
      </c>
      <c r="N138" cm="1">
        <f t="array" ref="N138">_xll.VALEURCOURBE($A$27,_xlfn.CONCAT("THEME5=",$B138),SCENARIOS!$A$2,SCENARIOS!$B$2,1,YIELDS!N$1)</f>
        <v>35.54</v>
      </c>
      <c r="O138" cm="1">
        <f t="array" ref="O138">_xll.VALEURCOURBE($A$27,_xlfn.CONCAT("THEME5=",$B138),SCENARIOS!$A$2,SCENARIOS!$B$2,1,YIELDS!O$1)</f>
        <v>38.6</v>
      </c>
      <c r="P138" cm="1">
        <f t="array" ref="P138">_xll.VALEURCOURBE($A$27,_xlfn.CONCAT("THEME5=",$B138),SCENARIOS!$A$2,SCENARIOS!$B$2,1,YIELDS!P$1)</f>
        <v>41.15</v>
      </c>
      <c r="Q138" cm="1">
        <f t="array" ref="Q138">_xll.VALEURCOURBE($A$27,_xlfn.CONCAT("THEME5=",$B138),SCENARIOS!$A$2,SCENARIOS!$B$2,1,YIELDS!Q$1)</f>
        <v>43.06</v>
      </c>
      <c r="R138" cm="1">
        <f t="array" ref="R138">_xll.VALEURCOURBE($A$27,_xlfn.CONCAT("THEME5=",$B138),SCENARIOS!$A$2,SCENARIOS!$B$2,1,YIELDS!R$1)</f>
        <v>44.33</v>
      </c>
      <c r="S138" cm="1">
        <f t="array" ref="S138">_xll.VALEURCOURBE($A$27,_xlfn.CONCAT("THEME5=",$B138),SCENARIOS!$A$2,SCENARIOS!$B$2,1,YIELDS!S$1)</f>
        <v>44.97</v>
      </c>
      <c r="T138" cm="1">
        <f t="array" ref="T138">_xll.VALEURCOURBE($A$27,_xlfn.CONCAT("THEME5=",$B138),SCENARIOS!$A$2,SCENARIOS!$B$2,1,YIELDS!T$1)</f>
        <v>44.71</v>
      </c>
      <c r="U138" cm="1">
        <f t="array" ref="U138">_xll.VALEURCOURBE($A$27,_xlfn.CONCAT("THEME5=",$B138),SCENARIOS!$A$2,SCENARIOS!$B$2,1,YIELDS!U$1)</f>
        <v>43.82</v>
      </c>
      <c r="V138" cm="1">
        <f t="array" ref="V138">_xll.VALEURCOURBE($A$27,_xlfn.CONCAT("THEME5=",$B138),SCENARIOS!$A$2,SCENARIOS!$B$2,1,YIELDS!V$1)</f>
        <v>42.17</v>
      </c>
    </row>
    <row r="139" spans="1:22" x14ac:dyDescent="0.25">
      <c r="A139" t="str">
        <v>YTBE_CL3A</v>
      </c>
      <c r="B139" t="str">
        <v>FC7698</v>
      </c>
      <c r="C139" cm="1">
        <f t="array" ref="C139">_xll.VALEURCOURBE($A$27,_xlfn.CONCAT("THEME5=",$B139),SCENARIOS!$A$2,SCENARIOS!$B$2,1,YIELDS!C$1)</f>
        <v>0</v>
      </c>
      <c r="D139" cm="1">
        <f t="array" ref="D139">_xll.VALEURCOURBE($A$27,_xlfn.CONCAT("THEME5=",$B139),SCENARIOS!$A$2,SCENARIOS!$B$2,1,YIELDS!D$1)</f>
        <v>0</v>
      </c>
      <c r="E139" cm="1">
        <f t="array" ref="E139">_xll.VALEURCOURBE($A$27,_xlfn.CONCAT("THEME5=",$B139),SCENARIOS!$A$2,SCENARIOS!$B$2,1,YIELDS!E$1)</f>
        <v>0.64</v>
      </c>
      <c r="F139" cm="1">
        <f t="array" ref="F139">_xll.VALEURCOURBE($A$27,_xlfn.CONCAT("THEME5=",$B139),SCENARIOS!$A$2,SCENARIOS!$B$2,1,YIELDS!F$1)</f>
        <v>3.31</v>
      </c>
      <c r="G139" cm="1">
        <f t="array" ref="G139">_xll.VALEURCOURBE($A$27,_xlfn.CONCAT("THEME5=",$B139),SCENARIOS!$A$2,SCENARIOS!$B$2,1,YIELDS!G$1)</f>
        <v>6.75</v>
      </c>
      <c r="H139" cm="1">
        <f t="array" ref="H139">_xll.VALEURCOURBE($A$27,_xlfn.CONCAT("THEME5=",$B139),SCENARIOS!$A$2,SCENARIOS!$B$2,1,YIELDS!H$1)</f>
        <v>10.57</v>
      </c>
      <c r="I139" cm="1">
        <f t="array" ref="I139">_xll.VALEURCOURBE($A$27,_xlfn.CONCAT("THEME5=",$B139),SCENARIOS!$A$2,SCENARIOS!$B$2,1,YIELDS!I$1)</f>
        <v>14.9</v>
      </c>
      <c r="J139" cm="1">
        <f t="array" ref="J139">_xll.VALEURCOURBE($A$27,_xlfn.CONCAT("THEME5=",$B139),SCENARIOS!$A$2,SCENARIOS!$B$2,1,YIELDS!J$1)</f>
        <v>19.62</v>
      </c>
      <c r="K139" cm="1">
        <f t="array" ref="K139">_xll.VALEURCOURBE($A$27,_xlfn.CONCAT("THEME5=",$B139),SCENARIOS!$A$2,SCENARIOS!$B$2,1,YIELDS!K$1)</f>
        <v>23.95</v>
      </c>
      <c r="L139" cm="1">
        <f t="array" ref="L139">_xll.VALEURCOURBE($A$27,_xlfn.CONCAT("THEME5=",$B139),SCENARIOS!$A$2,SCENARIOS!$B$2,1,YIELDS!L$1)</f>
        <v>28.03</v>
      </c>
      <c r="M139" cm="1">
        <f t="array" ref="M139">_xll.VALEURCOURBE($A$27,_xlfn.CONCAT("THEME5=",$B139),SCENARIOS!$A$2,SCENARIOS!$B$2,1,YIELDS!M$1)</f>
        <v>31.59</v>
      </c>
      <c r="N139" cm="1">
        <f t="array" ref="N139">_xll.VALEURCOURBE($A$27,_xlfn.CONCAT("THEME5=",$B139),SCENARIOS!$A$2,SCENARIOS!$B$2,1,YIELDS!N$1)</f>
        <v>35.54</v>
      </c>
      <c r="O139" cm="1">
        <f t="array" ref="O139">_xll.VALEURCOURBE($A$27,_xlfn.CONCAT("THEME5=",$B139),SCENARIOS!$A$2,SCENARIOS!$B$2,1,YIELDS!O$1)</f>
        <v>38.6</v>
      </c>
      <c r="P139" cm="1">
        <f t="array" ref="P139">_xll.VALEURCOURBE($A$27,_xlfn.CONCAT("THEME5=",$B139),SCENARIOS!$A$2,SCENARIOS!$B$2,1,YIELDS!P$1)</f>
        <v>41.15</v>
      </c>
      <c r="Q139" cm="1">
        <f t="array" ref="Q139">_xll.VALEURCOURBE($A$27,_xlfn.CONCAT("THEME5=",$B139),SCENARIOS!$A$2,SCENARIOS!$B$2,1,YIELDS!Q$1)</f>
        <v>43.06</v>
      </c>
      <c r="R139" cm="1">
        <f t="array" ref="R139">_xll.VALEURCOURBE($A$27,_xlfn.CONCAT("THEME5=",$B139),SCENARIOS!$A$2,SCENARIOS!$B$2,1,YIELDS!R$1)</f>
        <v>44.33</v>
      </c>
      <c r="S139" cm="1">
        <f t="array" ref="S139">_xll.VALEURCOURBE($A$27,_xlfn.CONCAT("THEME5=",$B139),SCENARIOS!$A$2,SCENARIOS!$B$2,1,YIELDS!S$1)</f>
        <v>44.97</v>
      </c>
      <c r="T139" cm="1">
        <f t="array" ref="T139">_xll.VALEURCOURBE($A$27,_xlfn.CONCAT("THEME5=",$B139),SCENARIOS!$A$2,SCENARIOS!$B$2,1,YIELDS!T$1)</f>
        <v>44.71</v>
      </c>
      <c r="U139" cm="1">
        <f t="array" ref="U139">_xll.VALEURCOURBE($A$27,_xlfn.CONCAT("THEME5=",$B139),SCENARIOS!$A$2,SCENARIOS!$B$2,1,YIELDS!U$1)</f>
        <v>43.82</v>
      </c>
      <c r="V139" cm="1">
        <f t="array" ref="V139">_xll.VALEURCOURBE($A$27,_xlfn.CONCAT("THEME5=",$B139),SCENARIOS!$A$2,SCENARIOS!$B$2,1,YIELDS!V$1)</f>
        <v>42.17</v>
      </c>
    </row>
    <row r="140" spans="1:22" x14ac:dyDescent="0.25">
      <c r="A140" t="str">
        <v>YTBE_CL3B</v>
      </c>
      <c r="B140" t="str">
        <v>FC7715</v>
      </c>
      <c r="C140" cm="1">
        <f t="array" ref="C140">_xll.VALEURCOURBE($A$27,_xlfn.CONCAT("THEME5=",$B140),SCENARIOS!$A$2,SCENARIOS!$B$2,1,YIELDS!C$1)</f>
        <v>0</v>
      </c>
      <c r="D140" cm="1">
        <f t="array" ref="D140">_xll.VALEURCOURBE($A$27,_xlfn.CONCAT("THEME5=",$B140),SCENARIOS!$A$2,SCENARIOS!$B$2,1,YIELDS!D$1)</f>
        <v>0</v>
      </c>
      <c r="E140" cm="1">
        <f t="array" ref="E140">_xll.VALEURCOURBE($A$27,_xlfn.CONCAT("THEME5=",$B140),SCENARIOS!$A$2,SCENARIOS!$B$2,1,YIELDS!E$1)</f>
        <v>1.63</v>
      </c>
      <c r="F140" cm="1">
        <f t="array" ref="F140">_xll.VALEURCOURBE($A$27,_xlfn.CONCAT("THEME5=",$B140),SCENARIOS!$A$2,SCENARIOS!$B$2,1,YIELDS!F$1)</f>
        <v>4.53</v>
      </c>
      <c r="G140" cm="1">
        <f t="array" ref="G140">_xll.VALEURCOURBE($A$27,_xlfn.CONCAT("THEME5=",$B140),SCENARIOS!$A$2,SCENARIOS!$B$2,1,YIELDS!G$1)</f>
        <v>8.01</v>
      </c>
      <c r="H140" cm="1">
        <f t="array" ref="H140">_xll.VALEURCOURBE($A$27,_xlfn.CONCAT("THEME5=",$B140),SCENARIOS!$A$2,SCENARIOS!$B$2,1,YIELDS!H$1)</f>
        <v>11.97</v>
      </c>
      <c r="I140" cm="1">
        <f t="array" ref="I140">_xll.VALEURCOURBE($A$27,_xlfn.CONCAT("THEME5=",$B140),SCENARIOS!$A$2,SCENARIOS!$B$2,1,YIELDS!I$1)</f>
        <v>16.38</v>
      </c>
      <c r="J140" cm="1">
        <f t="array" ref="J140">_xll.VALEURCOURBE($A$27,_xlfn.CONCAT("THEME5=",$B140),SCENARIOS!$A$2,SCENARIOS!$B$2,1,YIELDS!J$1)</f>
        <v>21.25</v>
      </c>
      <c r="K140" cm="1">
        <f t="array" ref="K140">_xll.VALEURCOURBE($A$27,_xlfn.CONCAT("THEME5=",$B140),SCENARIOS!$A$2,SCENARIOS!$B$2,1,YIELDS!K$1)</f>
        <v>25.9</v>
      </c>
      <c r="L140" cm="1">
        <f t="array" ref="L140">_xll.VALEURCOURBE($A$27,_xlfn.CONCAT("THEME5=",$B140),SCENARIOS!$A$2,SCENARIOS!$B$2,1,YIELDS!L$1)</f>
        <v>30.31</v>
      </c>
      <c r="M140" cm="1">
        <f t="array" ref="M140">_xll.VALEURCOURBE($A$27,_xlfn.CONCAT("THEME5=",$B140),SCENARIOS!$A$2,SCENARIOS!$B$2,1,YIELDS!M$1)</f>
        <v>34.380000000000003</v>
      </c>
      <c r="N140" cm="1">
        <f t="array" ref="N140">_xll.VALEURCOURBE($A$27,_xlfn.CONCAT("THEME5=",$B140),SCENARIOS!$A$2,SCENARIOS!$B$2,1,YIELDS!N$1)</f>
        <v>38.21</v>
      </c>
      <c r="O140" cm="1">
        <f t="array" ref="O140">_xll.VALEURCOURBE($A$27,_xlfn.CONCAT("THEME5=",$B140),SCENARIOS!$A$2,SCENARIOS!$B$2,1,YIELDS!O$1)</f>
        <v>41.47</v>
      </c>
      <c r="P140" cm="1">
        <f t="array" ref="P140">_xll.VALEURCOURBE($A$27,_xlfn.CONCAT("THEME5=",$B140),SCENARIOS!$A$2,SCENARIOS!$B$2,1,YIELDS!P$1)</f>
        <v>44.26</v>
      </c>
      <c r="Q140" cm="1">
        <f t="array" ref="Q140">_xll.VALEURCOURBE($A$27,_xlfn.CONCAT("THEME5=",$B140),SCENARIOS!$A$2,SCENARIOS!$B$2,1,YIELDS!Q$1)</f>
        <v>46.35</v>
      </c>
      <c r="R140" cm="1">
        <f t="array" ref="R140">_xll.VALEURCOURBE($A$27,_xlfn.CONCAT("THEME5=",$B140),SCENARIOS!$A$2,SCENARIOS!$B$2,1,YIELDS!R$1)</f>
        <v>47.73</v>
      </c>
      <c r="S140" cm="1">
        <f t="array" ref="S140">_xll.VALEURCOURBE($A$27,_xlfn.CONCAT("THEME5=",$B140),SCENARIOS!$A$2,SCENARIOS!$B$2,1,YIELDS!S$1)</f>
        <v>48.44</v>
      </c>
      <c r="T140" cm="1">
        <f t="array" ref="T140">_xll.VALEURCOURBE($A$27,_xlfn.CONCAT("THEME5=",$B140),SCENARIOS!$A$2,SCENARIOS!$B$2,1,YIELDS!T$1)</f>
        <v>48.32</v>
      </c>
      <c r="U140" cm="1">
        <f t="array" ref="U140">_xll.VALEURCOURBE($A$27,_xlfn.CONCAT("THEME5=",$B140),SCENARIOS!$A$2,SCENARIOS!$B$2,1,YIELDS!U$1)</f>
        <v>47.39</v>
      </c>
      <c r="V140" cm="1">
        <f t="array" ref="V140">_xll.VALEURCOURBE($A$27,_xlfn.CONCAT("THEME5=",$B140),SCENARIOS!$A$2,SCENARIOS!$B$2,1,YIELDS!V$1)</f>
        <v>45.64</v>
      </c>
    </row>
    <row r="141" spans="1:22" x14ac:dyDescent="0.25">
      <c r="A141" t="str">
        <v>YTBE_CL3C</v>
      </c>
      <c r="B141" t="str">
        <v>FC7731</v>
      </c>
      <c r="C141" cm="1">
        <f t="array" ref="C141">_xll.VALEURCOURBE($A$27,_xlfn.CONCAT("THEME5=",$B141),SCENARIOS!$A$2,SCENARIOS!$B$2,1,YIELDS!C$1)</f>
        <v>0</v>
      </c>
      <c r="D141" cm="1">
        <f t="array" ref="D141">_xll.VALEURCOURBE($A$27,_xlfn.CONCAT("THEME5=",$B141),SCENARIOS!$A$2,SCENARIOS!$B$2,1,YIELDS!D$1)</f>
        <v>0</v>
      </c>
      <c r="E141" cm="1">
        <f t="array" ref="E141">_xll.VALEURCOURBE($A$27,_xlfn.CONCAT("THEME5=",$B141),SCENARIOS!$A$2,SCENARIOS!$B$2,1,YIELDS!E$1)</f>
        <v>1.63</v>
      </c>
      <c r="F141" cm="1">
        <f t="array" ref="F141">_xll.VALEURCOURBE($A$27,_xlfn.CONCAT("THEME5=",$B141),SCENARIOS!$A$2,SCENARIOS!$B$2,1,YIELDS!F$1)</f>
        <v>4.53</v>
      </c>
      <c r="G141" cm="1">
        <f t="array" ref="G141">_xll.VALEURCOURBE($A$27,_xlfn.CONCAT("THEME5=",$B141),SCENARIOS!$A$2,SCENARIOS!$B$2,1,YIELDS!G$1)</f>
        <v>8.01</v>
      </c>
      <c r="H141" cm="1">
        <f t="array" ref="H141">_xll.VALEURCOURBE($A$27,_xlfn.CONCAT("THEME5=",$B141),SCENARIOS!$A$2,SCENARIOS!$B$2,1,YIELDS!H$1)</f>
        <v>11.97</v>
      </c>
      <c r="I141" cm="1">
        <f t="array" ref="I141">_xll.VALEURCOURBE($A$27,_xlfn.CONCAT("THEME5=",$B141),SCENARIOS!$A$2,SCENARIOS!$B$2,1,YIELDS!I$1)</f>
        <v>16.38</v>
      </c>
      <c r="J141" cm="1">
        <f t="array" ref="J141">_xll.VALEURCOURBE($A$27,_xlfn.CONCAT("THEME5=",$B141),SCENARIOS!$A$2,SCENARIOS!$B$2,1,YIELDS!J$1)</f>
        <v>21.25</v>
      </c>
      <c r="K141" cm="1">
        <f t="array" ref="K141">_xll.VALEURCOURBE($A$27,_xlfn.CONCAT("THEME5=",$B141),SCENARIOS!$A$2,SCENARIOS!$B$2,1,YIELDS!K$1)</f>
        <v>25.9</v>
      </c>
      <c r="L141" cm="1">
        <f t="array" ref="L141">_xll.VALEURCOURBE($A$27,_xlfn.CONCAT("THEME5=",$B141),SCENARIOS!$A$2,SCENARIOS!$B$2,1,YIELDS!L$1)</f>
        <v>30.31</v>
      </c>
      <c r="M141" cm="1">
        <f t="array" ref="M141">_xll.VALEURCOURBE($A$27,_xlfn.CONCAT("THEME5=",$B141),SCENARIOS!$A$2,SCENARIOS!$B$2,1,YIELDS!M$1)</f>
        <v>34.380000000000003</v>
      </c>
      <c r="N141" cm="1">
        <f t="array" ref="N141">_xll.VALEURCOURBE($A$27,_xlfn.CONCAT("THEME5=",$B141),SCENARIOS!$A$2,SCENARIOS!$B$2,1,YIELDS!N$1)</f>
        <v>38.21</v>
      </c>
      <c r="O141" cm="1">
        <f t="array" ref="O141">_xll.VALEURCOURBE($A$27,_xlfn.CONCAT("THEME5=",$B141),SCENARIOS!$A$2,SCENARIOS!$B$2,1,YIELDS!O$1)</f>
        <v>41.47</v>
      </c>
      <c r="P141" cm="1">
        <f t="array" ref="P141">_xll.VALEURCOURBE($A$27,_xlfn.CONCAT("THEME5=",$B141),SCENARIOS!$A$2,SCENARIOS!$B$2,1,YIELDS!P$1)</f>
        <v>44.26</v>
      </c>
      <c r="Q141" cm="1">
        <f t="array" ref="Q141">_xll.VALEURCOURBE($A$27,_xlfn.CONCAT("THEME5=",$B141),SCENARIOS!$A$2,SCENARIOS!$B$2,1,YIELDS!Q$1)</f>
        <v>46.35</v>
      </c>
      <c r="R141" cm="1">
        <f t="array" ref="R141">_xll.VALEURCOURBE($A$27,_xlfn.CONCAT("THEME5=",$B141),SCENARIOS!$A$2,SCENARIOS!$B$2,1,YIELDS!R$1)</f>
        <v>47.73</v>
      </c>
      <c r="S141" cm="1">
        <f t="array" ref="S141">_xll.VALEURCOURBE($A$27,_xlfn.CONCAT("THEME5=",$B141),SCENARIOS!$A$2,SCENARIOS!$B$2,1,YIELDS!S$1)</f>
        <v>48.44</v>
      </c>
      <c r="T141" cm="1">
        <f t="array" ref="T141">_xll.VALEURCOURBE($A$27,_xlfn.CONCAT("THEME5=",$B141),SCENARIOS!$A$2,SCENARIOS!$B$2,1,YIELDS!T$1)</f>
        <v>48.32</v>
      </c>
      <c r="U141" cm="1">
        <f t="array" ref="U141">_xll.VALEURCOURBE($A$27,_xlfn.CONCAT("THEME5=",$B141),SCENARIOS!$A$2,SCENARIOS!$B$2,1,YIELDS!U$1)</f>
        <v>47.39</v>
      </c>
      <c r="V141" cm="1">
        <f t="array" ref="V141">_xll.VALEURCOURBE($A$27,_xlfn.CONCAT("THEME5=",$B141),SCENARIOS!$A$2,SCENARIOS!$B$2,1,YIELDS!V$1)</f>
        <v>45.64</v>
      </c>
    </row>
    <row r="142" spans="1:22" x14ac:dyDescent="0.25">
      <c r="A142" t="str">
        <v>YTBE_CL3D</v>
      </c>
      <c r="B142" t="str">
        <v>FC7753</v>
      </c>
      <c r="C142" cm="1">
        <f t="array" ref="C142">_xll.VALEURCOURBE($A$27,_xlfn.CONCAT("THEME5=",$B142),SCENARIOS!$A$2,SCENARIOS!$B$2,1,YIELDS!C$1)</f>
        <v>0</v>
      </c>
      <c r="D142" cm="1">
        <f t="array" ref="D142">_xll.VALEURCOURBE($A$27,_xlfn.CONCAT("THEME5=",$B142),SCENARIOS!$A$2,SCENARIOS!$B$2,1,YIELDS!D$1)</f>
        <v>0</v>
      </c>
      <c r="E142" cm="1">
        <f t="array" ref="E142">_xll.VALEURCOURBE($A$27,_xlfn.CONCAT("THEME5=",$B142),SCENARIOS!$A$2,SCENARIOS!$B$2,1,YIELDS!E$1)</f>
        <v>0</v>
      </c>
      <c r="F142" cm="1">
        <f t="array" ref="F142">_xll.VALEURCOURBE($A$27,_xlfn.CONCAT("THEME5=",$B142),SCENARIOS!$A$2,SCENARIOS!$B$2,1,YIELDS!F$1)</f>
        <v>0</v>
      </c>
      <c r="G142" cm="1">
        <f t="array" ref="G142">_xll.VALEURCOURBE($A$27,_xlfn.CONCAT("THEME5=",$B142),SCENARIOS!$A$2,SCENARIOS!$B$2,1,YIELDS!G$1)</f>
        <v>8.7899999999999991</v>
      </c>
      <c r="H142" cm="1">
        <f t="array" ref="H142">_xll.VALEURCOURBE($A$27,_xlfn.CONCAT("THEME5=",$B142),SCENARIOS!$A$2,SCENARIOS!$B$2,1,YIELDS!H$1)</f>
        <v>25.56</v>
      </c>
      <c r="I142" cm="1">
        <f t="array" ref="I142">_xll.VALEURCOURBE($A$27,_xlfn.CONCAT("THEME5=",$B142),SCENARIOS!$A$2,SCENARIOS!$B$2,1,YIELDS!I$1)</f>
        <v>47.13</v>
      </c>
      <c r="J142" cm="1">
        <f t="array" ref="J142">_xll.VALEURCOURBE($A$27,_xlfn.CONCAT("THEME5=",$B142),SCENARIOS!$A$2,SCENARIOS!$B$2,1,YIELDS!J$1)</f>
        <v>69.5</v>
      </c>
      <c r="K142" cm="1">
        <f t="array" ref="K142">_xll.VALEURCOURBE($A$27,_xlfn.CONCAT("THEME5=",$B142),SCENARIOS!$A$2,SCENARIOS!$B$2,1,YIELDS!K$1)</f>
        <v>91.07</v>
      </c>
      <c r="L142" cm="1">
        <f t="array" ref="L142">_xll.VALEURCOURBE($A$27,_xlfn.CONCAT("THEME5=",$B142),SCENARIOS!$A$2,SCENARIOS!$B$2,1,YIELDS!L$1)</f>
        <v>109.44</v>
      </c>
      <c r="M142" cm="1">
        <f t="array" ref="M142">_xll.VALEURCOURBE($A$27,_xlfn.CONCAT("THEME5=",$B142),SCENARIOS!$A$2,SCENARIOS!$B$2,1,YIELDS!M$1)</f>
        <v>123.82</v>
      </c>
      <c r="N142" cm="1">
        <f t="array" ref="N142">_xll.VALEURCOURBE($A$27,_xlfn.CONCAT("THEME5=",$B142),SCENARIOS!$A$2,SCENARIOS!$B$2,1,YIELDS!N$1)</f>
        <v>135.81</v>
      </c>
      <c r="O142" cm="1">
        <f t="array" ref="O142">_xll.VALEURCOURBE($A$27,_xlfn.CONCAT("THEME5=",$B142),SCENARIOS!$A$2,SCENARIOS!$B$2,1,YIELDS!O$1)</f>
        <v>146.99</v>
      </c>
      <c r="P142" cm="1">
        <f t="array" ref="P142">_xll.VALEURCOURBE($A$27,_xlfn.CONCAT("THEME5=",$B142),SCENARIOS!$A$2,SCENARIOS!$B$2,1,YIELDS!P$1)</f>
        <v>156.58000000000001</v>
      </c>
      <c r="Q142" cm="1">
        <f t="array" ref="Q142">_xll.VALEURCOURBE($A$27,_xlfn.CONCAT("THEME5=",$B142),SCENARIOS!$A$2,SCENARIOS!$B$2,1,YIELDS!Q$1)</f>
        <v>164.56</v>
      </c>
      <c r="R142" cm="1">
        <f t="array" ref="R142">_xll.VALEURCOURBE($A$27,_xlfn.CONCAT("THEME5=",$B142),SCENARIOS!$A$2,SCENARIOS!$B$2,1,YIELDS!R$1)</f>
        <v>171.75</v>
      </c>
      <c r="S142" cm="1">
        <f t="array" ref="S142">_xll.VALEURCOURBE($A$27,_xlfn.CONCAT("THEME5=",$B142),SCENARIOS!$A$2,SCENARIOS!$B$2,1,YIELDS!S$1)</f>
        <v>176.55</v>
      </c>
      <c r="T142" cm="1">
        <f t="array" ref="T142">_xll.VALEURCOURBE($A$27,_xlfn.CONCAT("THEME5=",$B142),SCENARIOS!$A$2,SCENARIOS!$B$2,1,YIELDS!T$1)</f>
        <v>180.54</v>
      </c>
      <c r="U142" cm="1">
        <f t="array" ref="U142">_xll.VALEURCOURBE($A$27,_xlfn.CONCAT("THEME5=",$B142),SCENARIOS!$A$2,SCENARIOS!$B$2,1,YIELDS!U$1)</f>
        <v>182.14</v>
      </c>
      <c r="V142" cm="1">
        <f t="array" ref="V142">_xll.VALEURCOURBE($A$27,_xlfn.CONCAT("THEME5=",$B142),SCENARIOS!$A$2,SCENARIOS!$B$2,1,YIELDS!V$1)</f>
        <v>182.94</v>
      </c>
    </row>
    <row r="143" spans="1:22" x14ac:dyDescent="0.25">
      <c r="A143" t="str">
        <v>YTBE_CL3E</v>
      </c>
      <c r="B143" t="str">
        <v>FC7754</v>
      </c>
      <c r="C143" cm="1">
        <f t="array" ref="C143">_xll.VALEURCOURBE($A$27,_xlfn.CONCAT("THEME5=",$B143),SCENARIOS!$A$2,SCENARIOS!$B$2,1,YIELDS!C$1)</f>
        <v>0</v>
      </c>
      <c r="D143" cm="1">
        <f t="array" ref="D143">_xll.VALEURCOURBE($A$27,_xlfn.CONCAT("THEME5=",$B143),SCENARIOS!$A$2,SCENARIOS!$B$2,1,YIELDS!D$1)</f>
        <v>0</v>
      </c>
      <c r="E143" cm="1">
        <f t="array" ref="E143">_xll.VALEURCOURBE($A$27,_xlfn.CONCAT("THEME5=",$B143),SCENARIOS!$A$2,SCENARIOS!$B$2,1,YIELDS!E$1)</f>
        <v>0</v>
      </c>
      <c r="F143" cm="1">
        <f t="array" ref="F143">_xll.VALEURCOURBE($A$27,_xlfn.CONCAT("THEME5=",$B143),SCENARIOS!$A$2,SCENARIOS!$B$2,1,YIELDS!F$1)</f>
        <v>0</v>
      </c>
      <c r="G143" cm="1">
        <f t="array" ref="G143">_xll.VALEURCOURBE($A$27,_xlfn.CONCAT("THEME5=",$B143),SCENARIOS!$A$2,SCENARIOS!$B$2,1,YIELDS!G$1)</f>
        <v>18.37</v>
      </c>
      <c r="H143" cm="1">
        <f t="array" ref="H143">_xll.VALEURCOURBE($A$27,_xlfn.CONCAT("THEME5=",$B143),SCENARIOS!$A$2,SCENARIOS!$B$2,1,YIELDS!H$1)</f>
        <v>41.54</v>
      </c>
      <c r="I143" cm="1">
        <f t="array" ref="I143">_xll.VALEURCOURBE($A$27,_xlfn.CONCAT("THEME5=",$B143),SCENARIOS!$A$2,SCENARIOS!$B$2,1,YIELDS!I$1)</f>
        <v>68.7</v>
      </c>
      <c r="J143" cm="1">
        <f t="array" ref="J143">_xll.VALEURCOURBE($A$27,_xlfn.CONCAT("THEME5=",$B143),SCENARIOS!$A$2,SCENARIOS!$B$2,1,YIELDS!J$1)</f>
        <v>95.86</v>
      </c>
      <c r="K143" cm="1">
        <f t="array" ref="K143">_xll.VALEURCOURBE($A$27,_xlfn.CONCAT("THEME5=",$B143),SCENARIOS!$A$2,SCENARIOS!$B$2,1,YIELDS!K$1)</f>
        <v>118.23</v>
      </c>
      <c r="L143" cm="1">
        <f t="array" ref="L143">_xll.VALEURCOURBE($A$27,_xlfn.CONCAT("THEME5=",$B143),SCENARIOS!$A$2,SCENARIOS!$B$2,1,YIELDS!L$1)</f>
        <v>135.01</v>
      </c>
      <c r="M143" cm="1">
        <f t="array" ref="M143">_xll.VALEURCOURBE($A$27,_xlfn.CONCAT("THEME5=",$B143),SCENARIOS!$A$2,SCENARIOS!$B$2,1,YIELDS!M$1)</f>
        <v>148.59</v>
      </c>
      <c r="N143" cm="1">
        <f t="array" ref="N143">_xll.VALEURCOURBE($A$27,_xlfn.CONCAT("THEME5=",$B143),SCENARIOS!$A$2,SCENARIOS!$B$2,1,YIELDS!N$1)</f>
        <v>162.16999999999999</v>
      </c>
      <c r="O143" cm="1">
        <f t="array" ref="O143">_xll.VALEURCOURBE($A$27,_xlfn.CONCAT("THEME5=",$B143),SCENARIOS!$A$2,SCENARIOS!$B$2,1,YIELDS!O$1)</f>
        <v>176.55</v>
      </c>
      <c r="P143" cm="1">
        <f t="array" ref="P143">_xll.VALEURCOURBE($A$27,_xlfn.CONCAT("THEME5=",$B143),SCENARIOS!$A$2,SCENARIOS!$B$2,1,YIELDS!P$1)</f>
        <v>187.73</v>
      </c>
      <c r="Q143" cm="1">
        <f t="array" ref="Q143">_xll.VALEURCOURBE($A$27,_xlfn.CONCAT("THEME5=",$B143),SCENARIOS!$A$2,SCENARIOS!$B$2,1,YIELDS!Q$1)</f>
        <v>197.32</v>
      </c>
      <c r="R143" cm="1">
        <f t="array" ref="R143">_xll.VALEURCOURBE($A$27,_xlfn.CONCAT("THEME5=",$B143),SCENARIOS!$A$2,SCENARIOS!$B$2,1,YIELDS!R$1)</f>
        <v>205.31</v>
      </c>
      <c r="S143" cm="1">
        <f t="array" ref="S143">_xll.VALEURCOURBE($A$27,_xlfn.CONCAT("THEME5=",$B143),SCENARIOS!$A$2,SCENARIOS!$B$2,1,YIELDS!S$1)</f>
        <v>211.7</v>
      </c>
      <c r="T143" cm="1">
        <f t="array" ref="T143">_xll.VALEURCOURBE($A$27,_xlfn.CONCAT("THEME5=",$B143),SCENARIOS!$A$2,SCENARIOS!$B$2,1,YIELDS!T$1)</f>
        <v>215.69</v>
      </c>
      <c r="U143" cm="1">
        <f t="array" ref="U143">_xll.VALEURCOURBE($A$27,_xlfn.CONCAT("THEME5=",$B143),SCENARIOS!$A$2,SCENARIOS!$B$2,1,YIELDS!U$1)</f>
        <v>218.89</v>
      </c>
      <c r="V143" cm="1">
        <f t="array" ref="V143">_xll.VALEURCOURBE($A$27,_xlfn.CONCAT("THEME5=",$B143),SCENARIOS!$A$2,SCENARIOS!$B$2,1,YIELDS!V$1)</f>
        <v>220.48</v>
      </c>
    </row>
    <row r="144" spans="1:22" x14ac:dyDescent="0.25">
      <c r="A144" t="str">
        <v>YTBE_CL4A</v>
      </c>
      <c r="B144" t="str">
        <v>FC7889</v>
      </c>
      <c r="C144" cm="1">
        <f t="array" ref="C144">_xll.VALEURCOURBE($A$27,_xlfn.CONCAT("THEME5=",$B144),SCENARIOS!$A$2,SCENARIOS!$B$2,1,YIELDS!C$1)</f>
        <v>0</v>
      </c>
      <c r="D144" cm="1">
        <f t="array" ref="D144">_xll.VALEURCOURBE($A$27,_xlfn.CONCAT("THEME5=",$B144),SCENARIOS!$A$2,SCENARIOS!$B$2,1,YIELDS!D$1)</f>
        <v>0</v>
      </c>
      <c r="E144" cm="1">
        <f t="array" ref="E144">_xll.VALEURCOURBE($A$27,_xlfn.CONCAT("THEME5=",$B144),SCENARIOS!$A$2,SCENARIOS!$B$2,1,YIELDS!E$1)</f>
        <v>3.78</v>
      </c>
      <c r="F144" cm="1">
        <f t="array" ref="F144">_xll.VALEURCOURBE($A$27,_xlfn.CONCAT("THEME5=",$B144),SCENARIOS!$A$2,SCENARIOS!$B$2,1,YIELDS!F$1)</f>
        <v>21.71</v>
      </c>
      <c r="G144" cm="1">
        <f t="array" ref="G144">_xll.VALEURCOURBE($A$27,_xlfn.CONCAT("THEME5=",$B144),SCENARIOS!$A$2,SCENARIOS!$B$2,1,YIELDS!G$1)</f>
        <v>60.4</v>
      </c>
      <c r="H144" cm="1">
        <f t="array" ref="H144">_xll.VALEURCOURBE($A$27,_xlfn.CONCAT("THEME5=",$B144),SCENARIOS!$A$2,SCENARIOS!$B$2,1,YIELDS!H$1)</f>
        <v>110.42</v>
      </c>
      <c r="I144" cm="1">
        <f t="array" ref="I144">_xll.VALEURCOURBE($A$27,_xlfn.CONCAT("THEME5=",$B144),SCENARIOS!$A$2,SCENARIOS!$B$2,1,YIELDS!I$1)</f>
        <v>164.21</v>
      </c>
      <c r="J144" cm="1">
        <f t="array" ref="J144">_xll.VALEURCOURBE($A$27,_xlfn.CONCAT("THEME5=",$B144),SCENARIOS!$A$2,SCENARIOS!$B$2,1,YIELDS!J$1)</f>
        <v>215.18</v>
      </c>
      <c r="K144" cm="1">
        <f t="array" ref="K144">_xll.VALEURCOURBE($A$27,_xlfn.CONCAT("THEME5=",$B144),SCENARIOS!$A$2,SCENARIOS!$B$2,1,YIELDS!K$1)</f>
        <v>262.36</v>
      </c>
      <c r="L144" cm="1">
        <f t="array" ref="L144">_xll.VALEURCOURBE($A$27,_xlfn.CONCAT("THEME5=",$B144),SCENARIOS!$A$2,SCENARIOS!$B$2,1,YIELDS!L$1)</f>
        <v>305.77999999999997</v>
      </c>
      <c r="M144" cm="1">
        <f t="array" ref="M144">_xll.VALEURCOURBE($A$27,_xlfn.CONCAT("THEME5=",$B144),SCENARIOS!$A$2,SCENARIOS!$B$2,1,YIELDS!M$1)</f>
        <v>346.36</v>
      </c>
      <c r="N144" cm="1">
        <f t="array" ref="N144">_xll.VALEURCOURBE($A$27,_xlfn.CONCAT("THEME5=",$B144),SCENARIOS!$A$2,SCENARIOS!$B$2,1,YIELDS!N$1)</f>
        <v>382.22</v>
      </c>
      <c r="O144" cm="1">
        <f t="array" ref="O144">_xll.VALEURCOURBE($A$27,_xlfn.CONCAT("THEME5=",$B144),SCENARIOS!$A$2,SCENARIOS!$B$2,1,YIELDS!O$1)</f>
        <v>425.63</v>
      </c>
      <c r="P144" cm="1">
        <f t="array" ref="P144">_xll.VALEURCOURBE($A$27,_xlfn.CONCAT("THEME5=",$B144),SCENARIOS!$A$2,SCENARIOS!$B$2,1,YIELDS!P$1)</f>
        <v>453.95</v>
      </c>
      <c r="Q144" cm="1">
        <f t="array" ref="Q144">_xll.VALEURCOURBE($A$27,_xlfn.CONCAT("THEME5=",$B144),SCENARIOS!$A$2,SCENARIOS!$B$2,1,YIELDS!Q$1)</f>
        <v>474.71</v>
      </c>
      <c r="R144" cm="1">
        <f t="array" ref="R144">_xll.VALEURCOURBE($A$27,_xlfn.CONCAT("THEME5=",$B144),SCENARIOS!$A$2,SCENARIOS!$B$2,1,YIELDS!R$1)</f>
        <v>486.98</v>
      </c>
      <c r="S144" cm="1">
        <f t="array" ref="S144">_xll.VALEURCOURBE($A$27,_xlfn.CONCAT("THEME5=",$B144),SCENARIOS!$A$2,SCENARIOS!$B$2,1,YIELDS!S$1)</f>
        <v>491.7</v>
      </c>
      <c r="T144" cm="1">
        <f t="array" ref="T144">_xll.VALEURCOURBE($A$27,_xlfn.CONCAT("THEME5=",$B144),SCENARIOS!$A$2,SCENARIOS!$B$2,1,YIELDS!T$1)</f>
        <v>486.98</v>
      </c>
      <c r="U144" cm="1">
        <f t="array" ref="U144">_xll.VALEURCOURBE($A$27,_xlfn.CONCAT("THEME5=",$B144),SCENARIOS!$A$2,SCENARIOS!$B$2,1,YIELDS!U$1)</f>
        <v>474.71</v>
      </c>
      <c r="V144" cm="1">
        <f t="array" ref="V144">_xll.VALEURCOURBE($A$27,_xlfn.CONCAT("THEME5=",$B144),SCENARIOS!$A$2,SCENARIOS!$B$2,1,YIELDS!V$1)</f>
        <v>453.95</v>
      </c>
    </row>
    <row r="145" spans="1:22" x14ac:dyDescent="0.25">
      <c r="A145" t="str">
        <v>YTBE_CL4B</v>
      </c>
      <c r="B145" t="str">
        <v>FC7895</v>
      </c>
      <c r="C145" cm="1">
        <f t="array" ref="C145">_xll.VALEURCOURBE($A$27,_xlfn.CONCAT("THEME5=",$B145),SCENARIOS!$A$2,SCENARIOS!$B$2,1,YIELDS!C$1)</f>
        <v>0</v>
      </c>
      <c r="D145" cm="1">
        <f t="array" ref="D145">_xll.VALEURCOURBE($A$27,_xlfn.CONCAT("THEME5=",$B145),SCENARIOS!$A$2,SCENARIOS!$B$2,1,YIELDS!D$1)</f>
        <v>0</v>
      </c>
      <c r="E145" cm="1">
        <f t="array" ref="E145">_xll.VALEURCOURBE($A$27,_xlfn.CONCAT("THEME5=",$B145),SCENARIOS!$A$2,SCENARIOS!$B$2,1,YIELDS!E$1)</f>
        <v>2.83</v>
      </c>
      <c r="F145" cm="1">
        <f t="array" ref="F145">_xll.VALEURCOURBE($A$27,_xlfn.CONCAT("THEME5=",$B145),SCENARIOS!$A$2,SCENARIOS!$B$2,1,YIELDS!F$1)</f>
        <v>18.88</v>
      </c>
      <c r="G145" cm="1">
        <f t="array" ref="G145">_xll.VALEURCOURBE($A$27,_xlfn.CONCAT("THEME5=",$B145),SCENARIOS!$A$2,SCENARIOS!$B$2,1,YIELDS!G$1)</f>
        <v>50.96</v>
      </c>
      <c r="H145" cm="1">
        <f t="array" ref="H145">_xll.VALEURCOURBE($A$27,_xlfn.CONCAT("THEME5=",$B145),SCENARIOS!$A$2,SCENARIOS!$B$2,1,YIELDS!H$1)</f>
        <v>95.32</v>
      </c>
      <c r="I145" cm="1">
        <f t="array" ref="I145">_xll.VALEURCOURBE($A$27,_xlfn.CONCAT("THEME5=",$B145),SCENARIOS!$A$2,SCENARIOS!$B$2,1,YIELDS!I$1)</f>
        <v>142.51</v>
      </c>
      <c r="J145" cm="1">
        <f t="array" ref="J145">_xll.VALEURCOURBE($A$27,_xlfn.CONCAT("THEME5=",$B145),SCENARIOS!$A$2,SCENARIOS!$B$2,1,YIELDS!J$1)</f>
        <v>188.75</v>
      </c>
      <c r="K145" cm="1">
        <f t="array" ref="K145">_xll.VALEURCOURBE($A$27,_xlfn.CONCAT("THEME5=",$B145),SCENARIOS!$A$2,SCENARIOS!$B$2,1,YIELDS!K$1)</f>
        <v>232.16</v>
      </c>
      <c r="L145" cm="1">
        <f t="array" ref="L145">_xll.VALEURCOURBE($A$27,_xlfn.CONCAT("THEME5=",$B145),SCENARIOS!$A$2,SCENARIOS!$B$2,1,YIELDS!L$1)</f>
        <v>272.75</v>
      </c>
      <c r="M145" cm="1">
        <f t="array" ref="M145">_xll.VALEURCOURBE($A$27,_xlfn.CONCAT("THEME5=",$B145),SCENARIOS!$A$2,SCENARIOS!$B$2,1,YIELDS!M$1)</f>
        <v>310.5</v>
      </c>
      <c r="N145" cm="1">
        <f t="array" ref="N145">_xll.VALEURCOURBE($A$27,_xlfn.CONCAT("THEME5=",$B145),SCENARIOS!$A$2,SCENARIOS!$B$2,1,YIELDS!N$1)</f>
        <v>345.42</v>
      </c>
      <c r="O145" cm="1">
        <f t="array" ref="O145">_xll.VALEURCOURBE($A$27,_xlfn.CONCAT("THEME5=",$B145),SCENARIOS!$A$2,SCENARIOS!$B$2,1,YIELDS!O$1)</f>
        <v>384.11</v>
      </c>
      <c r="P145" cm="1">
        <f t="array" ref="P145">_xll.VALEURCOURBE($A$27,_xlfn.CONCAT("THEME5=",$B145),SCENARIOS!$A$2,SCENARIOS!$B$2,1,YIELDS!P$1)</f>
        <v>411.48</v>
      </c>
      <c r="Q145" cm="1">
        <f t="array" ref="Q145">_xll.VALEURCOURBE($A$27,_xlfn.CONCAT("THEME5=",$B145),SCENARIOS!$A$2,SCENARIOS!$B$2,1,YIELDS!Q$1)</f>
        <v>433.18</v>
      </c>
      <c r="R145" cm="1">
        <f t="array" ref="R145">_xll.VALEURCOURBE($A$27,_xlfn.CONCAT("THEME5=",$B145),SCENARIOS!$A$2,SCENARIOS!$B$2,1,YIELDS!R$1)</f>
        <v>446.4</v>
      </c>
      <c r="S145" cm="1">
        <f t="array" ref="S145">_xll.VALEURCOURBE($A$27,_xlfn.CONCAT("THEME5=",$B145),SCENARIOS!$A$2,SCENARIOS!$B$2,1,YIELDS!S$1)</f>
        <v>453</v>
      </c>
      <c r="T145" cm="1">
        <f t="array" ref="T145">_xll.VALEURCOURBE($A$27,_xlfn.CONCAT("THEME5=",$B145),SCENARIOS!$A$2,SCENARIOS!$B$2,1,YIELDS!T$1)</f>
        <v>452.06</v>
      </c>
      <c r="U145" cm="1">
        <f t="array" ref="U145">_xll.VALEURCOURBE($A$27,_xlfn.CONCAT("THEME5=",$B145),SCENARIOS!$A$2,SCENARIOS!$B$2,1,YIELDS!U$1)</f>
        <v>443.57</v>
      </c>
      <c r="V145" cm="1">
        <f t="array" ref="V145">_xll.VALEURCOURBE($A$27,_xlfn.CONCAT("THEME5=",$B145),SCENARIOS!$A$2,SCENARIOS!$B$2,1,YIELDS!V$1)</f>
        <v>427.52</v>
      </c>
    </row>
    <row r="146" spans="1:22" x14ac:dyDescent="0.25">
      <c r="A146" t="str">
        <v>YTBE_CL4C</v>
      </c>
      <c r="B146" t="str">
        <v>FC7899</v>
      </c>
      <c r="C146" cm="1">
        <f t="array" ref="C146">_xll.VALEURCOURBE($A$27,_xlfn.CONCAT("THEME5=",$B146),SCENARIOS!$A$2,SCENARIOS!$B$2,1,YIELDS!C$1)</f>
        <v>0</v>
      </c>
      <c r="D146" cm="1">
        <f t="array" ref="D146">_xll.VALEURCOURBE($A$27,_xlfn.CONCAT("THEME5=",$B146),SCENARIOS!$A$2,SCENARIOS!$B$2,1,YIELDS!D$1)</f>
        <v>0</v>
      </c>
      <c r="E146" cm="1">
        <f t="array" ref="E146">_xll.VALEURCOURBE($A$27,_xlfn.CONCAT("THEME5=",$B146),SCENARIOS!$A$2,SCENARIOS!$B$2,1,YIELDS!E$1)</f>
        <v>0</v>
      </c>
      <c r="F146" cm="1">
        <f t="array" ref="F146">_xll.VALEURCOURBE($A$27,_xlfn.CONCAT("THEME5=",$B146),SCENARIOS!$A$2,SCENARIOS!$B$2,1,YIELDS!F$1)</f>
        <v>7.77</v>
      </c>
      <c r="G146" cm="1">
        <f t="array" ref="G146">_xll.VALEURCOURBE($A$27,_xlfn.CONCAT("THEME5=",$B146),SCENARIOS!$A$2,SCENARIOS!$B$2,1,YIELDS!G$1)</f>
        <v>31.94</v>
      </c>
      <c r="H146" cm="1">
        <f t="array" ref="H146">_xll.VALEURCOURBE($A$27,_xlfn.CONCAT("THEME5=",$B146),SCENARIOS!$A$2,SCENARIOS!$B$2,1,YIELDS!H$1)</f>
        <v>63.88</v>
      </c>
      <c r="I146" cm="1">
        <f t="array" ref="I146">_xll.VALEURCOURBE($A$27,_xlfn.CONCAT("THEME5=",$B146),SCENARIOS!$A$2,SCENARIOS!$B$2,1,YIELDS!I$1)</f>
        <v>99.27</v>
      </c>
      <c r="J146" cm="1">
        <f t="array" ref="J146">_xll.VALEURCOURBE($A$27,_xlfn.CONCAT("THEME5=",$B146),SCENARIOS!$A$2,SCENARIOS!$B$2,1,YIELDS!J$1)</f>
        <v>129.47999999999999</v>
      </c>
      <c r="K146" cm="1">
        <f t="array" ref="K146">_xll.VALEURCOURBE($A$27,_xlfn.CONCAT("THEME5=",$B146),SCENARIOS!$A$2,SCENARIOS!$B$2,1,YIELDS!K$1)</f>
        <v>150.19999999999999</v>
      </c>
      <c r="L146" cm="1">
        <f t="array" ref="L146">_xll.VALEURCOURBE($A$27,_xlfn.CONCAT("THEME5=",$B146),SCENARIOS!$A$2,SCENARIOS!$B$2,1,YIELDS!L$1)</f>
        <v>166.6</v>
      </c>
      <c r="M146" cm="1">
        <f t="array" ref="M146">_xll.VALEURCOURBE($A$27,_xlfn.CONCAT("THEME5=",$B146),SCENARIOS!$A$2,SCENARIOS!$B$2,1,YIELDS!M$1)</f>
        <v>183.86</v>
      </c>
      <c r="N146" cm="1">
        <f t="array" ref="N146">_xll.VALEURCOURBE($A$27,_xlfn.CONCAT("THEME5=",$B146),SCENARIOS!$A$2,SCENARIOS!$B$2,1,YIELDS!N$1)</f>
        <v>200.27</v>
      </c>
      <c r="O146" cm="1">
        <f t="array" ref="O146">_xll.VALEURCOURBE($A$27,_xlfn.CONCAT("THEME5=",$B146),SCENARIOS!$A$2,SCENARIOS!$B$2,1,YIELDS!O$1)</f>
        <v>217.53</v>
      </c>
      <c r="P146" cm="1">
        <f t="array" ref="P146">_xll.VALEURCOURBE($A$27,_xlfn.CONCAT("THEME5=",$B146),SCENARIOS!$A$2,SCENARIOS!$B$2,1,YIELDS!P$1)</f>
        <v>230.48</v>
      </c>
      <c r="Q146" cm="1">
        <f t="array" ref="Q146">_xll.VALEURCOURBE($A$27,_xlfn.CONCAT("THEME5=",$B146),SCENARIOS!$A$2,SCENARIOS!$B$2,1,YIELDS!Q$1)</f>
        <v>240.84</v>
      </c>
      <c r="R146" cm="1">
        <f t="array" ref="R146">_xll.VALEURCOURBE($A$27,_xlfn.CONCAT("THEME5=",$B146),SCENARIOS!$A$2,SCENARIOS!$B$2,1,YIELDS!R$1)</f>
        <v>249.47</v>
      </c>
      <c r="S146" cm="1">
        <f t="array" ref="S146">_xll.VALEURCOURBE($A$27,_xlfn.CONCAT("THEME5=",$B146),SCENARIOS!$A$2,SCENARIOS!$B$2,1,YIELDS!S$1)</f>
        <v>256.37</v>
      </c>
      <c r="T146" cm="1">
        <f t="array" ref="T146">_xll.VALEURCOURBE($A$27,_xlfn.CONCAT("THEME5=",$B146),SCENARIOS!$A$2,SCENARIOS!$B$2,1,YIELDS!T$1)</f>
        <v>261.55</v>
      </c>
      <c r="U146" cm="1">
        <f t="array" ref="U146">_xll.VALEURCOURBE($A$27,_xlfn.CONCAT("THEME5=",$B146),SCENARIOS!$A$2,SCENARIOS!$B$2,1,YIELDS!U$1)</f>
        <v>265.01</v>
      </c>
      <c r="V146" cm="1">
        <f t="array" ref="V146">_xll.VALEURCOURBE($A$27,_xlfn.CONCAT("THEME5=",$B146),SCENARIOS!$A$2,SCENARIOS!$B$2,1,YIELDS!V$1)</f>
        <v>267.60000000000002</v>
      </c>
    </row>
    <row r="147" spans="1:22" x14ac:dyDescent="0.25">
      <c r="A147" t="str">
        <v>YTBE_CL4D</v>
      </c>
      <c r="B147" t="str">
        <v>FC7946</v>
      </c>
      <c r="C147" cm="1">
        <f t="array" ref="C147">_xll.VALEURCOURBE($A$27,_xlfn.CONCAT("THEME5=",$B147),SCENARIOS!$A$2,SCENARIOS!$B$2,1,YIELDS!C$1)</f>
        <v>0</v>
      </c>
      <c r="D147" cm="1">
        <f t="array" ref="D147">_xll.VALEURCOURBE($A$27,_xlfn.CONCAT("THEME5=",$B147),SCENARIOS!$A$2,SCENARIOS!$B$2,1,YIELDS!D$1)</f>
        <v>0</v>
      </c>
      <c r="E147" cm="1">
        <f t="array" ref="E147">_xll.VALEURCOURBE($A$27,_xlfn.CONCAT("THEME5=",$B147),SCENARIOS!$A$2,SCENARIOS!$B$2,1,YIELDS!E$1)</f>
        <v>0</v>
      </c>
      <c r="F147" cm="1">
        <f t="array" ref="F147">_xll.VALEURCOURBE($A$27,_xlfn.CONCAT("THEME5=",$B147),SCENARIOS!$A$2,SCENARIOS!$B$2,1,YIELDS!F$1)</f>
        <v>0</v>
      </c>
      <c r="G147" cm="1">
        <f t="array" ref="G147">_xll.VALEURCOURBE($A$27,_xlfn.CONCAT("THEME5=",$B147),SCENARIOS!$A$2,SCENARIOS!$B$2,1,YIELDS!G$1)</f>
        <v>19.850000000000001</v>
      </c>
      <c r="H147" cm="1">
        <f t="array" ref="H147">_xll.VALEURCOURBE($A$27,_xlfn.CONCAT("THEME5=",$B147),SCENARIOS!$A$2,SCENARIOS!$B$2,1,YIELDS!H$1)</f>
        <v>44.89</v>
      </c>
      <c r="I147" cm="1">
        <f t="array" ref="I147">_xll.VALEURCOURBE($A$27,_xlfn.CONCAT("THEME5=",$B147),SCENARIOS!$A$2,SCENARIOS!$B$2,1,YIELDS!I$1)</f>
        <v>74.239999999999995</v>
      </c>
      <c r="J147" cm="1">
        <f t="array" ref="J147">_xll.VALEURCOURBE($A$27,_xlfn.CONCAT("THEME5=",$B147),SCENARIOS!$A$2,SCENARIOS!$B$2,1,YIELDS!J$1)</f>
        <v>103.59</v>
      </c>
      <c r="K147" cm="1">
        <f t="array" ref="K147">_xll.VALEURCOURBE($A$27,_xlfn.CONCAT("THEME5=",$B147),SCENARIOS!$A$2,SCENARIOS!$B$2,1,YIELDS!K$1)</f>
        <v>127.76</v>
      </c>
      <c r="L147" cm="1">
        <f t="array" ref="L147">_xll.VALEURCOURBE($A$27,_xlfn.CONCAT("THEME5=",$B147),SCENARIOS!$A$2,SCENARIOS!$B$2,1,YIELDS!L$1)</f>
        <v>145.88</v>
      </c>
      <c r="M147" cm="1">
        <f t="array" ref="M147">_xll.VALEURCOURBE($A$27,_xlfn.CONCAT("THEME5=",$B147),SCENARIOS!$A$2,SCENARIOS!$B$2,1,YIELDS!M$1)</f>
        <v>160.56</v>
      </c>
      <c r="N147" cm="1">
        <f t="array" ref="N147">_xll.VALEURCOURBE($A$27,_xlfn.CONCAT("THEME5=",$B147),SCENARIOS!$A$2,SCENARIOS!$B$2,1,YIELDS!N$1)</f>
        <v>175.23</v>
      </c>
      <c r="O147" cm="1">
        <f t="array" ref="O147">_xll.VALEURCOURBE($A$27,_xlfn.CONCAT("THEME5=",$B147),SCENARIOS!$A$2,SCENARIOS!$B$2,1,YIELDS!O$1)</f>
        <v>190.77</v>
      </c>
      <c r="P147" cm="1">
        <f t="array" ref="P147">_xll.VALEURCOURBE($A$27,_xlfn.CONCAT("THEME5=",$B147),SCENARIOS!$A$2,SCENARIOS!$B$2,1,YIELDS!P$1)</f>
        <v>202.85</v>
      </c>
      <c r="Q147" cm="1">
        <f t="array" ref="Q147">_xll.VALEURCOURBE($A$27,_xlfn.CONCAT("THEME5=",$B147),SCENARIOS!$A$2,SCENARIOS!$B$2,1,YIELDS!Q$1)</f>
        <v>213.21</v>
      </c>
      <c r="R147" cm="1">
        <f t="array" ref="R147">_xll.VALEURCOURBE($A$27,_xlfn.CONCAT("THEME5=",$B147),SCENARIOS!$A$2,SCENARIOS!$B$2,1,YIELDS!R$1)</f>
        <v>221.85</v>
      </c>
      <c r="S147" cm="1">
        <f t="array" ref="S147">_xll.VALEURCOURBE($A$27,_xlfn.CONCAT("THEME5=",$B147),SCENARIOS!$A$2,SCENARIOS!$B$2,1,YIELDS!S$1)</f>
        <v>228.75</v>
      </c>
      <c r="T147" cm="1">
        <f t="array" ref="T147">_xll.VALEURCOURBE($A$27,_xlfn.CONCAT("THEME5=",$B147),SCENARIOS!$A$2,SCENARIOS!$B$2,1,YIELDS!T$1)</f>
        <v>233.07</v>
      </c>
      <c r="U147" cm="1">
        <f t="array" ref="U147">_xll.VALEURCOURBE($A$27,_xlfn.CONCAT("THEME5=",$B147),SCENARIOS!$A$2,SCENARIOS!$B$2,1,YIELDS!U$1)</f>
        <v>236.52</v>
      </c>
      <c r="V147" cm="1">
        <f t="array" ref="V147">_xll.VALEURCOURBE($A$27,_xlfn.CONCAT("THEME5=",$B147),SCENARIOS!$A$2,SCENARIOS!$B$2,1,YIELDS!V$1)</f>
        <v>238.25</v>
      </c>
    </row>
    <row r="148" spans="1:22" x14ac:dyDescent="0.25">
      <c r="A148" t="str">
        <v>YTBE_CL5A</v>
      </c>
      <c r="B148" t="str">
        <v>FC7986</v>
      </c>
      <c r="C148" cm="1">
        <f t="array" ref="C148">_xll.VALEURCOURBE($A$27,_xlfn.CONCAT("THEME5=",$B148),SCENARIOS!$A$2,SCENARIOS!$B$2,1,YIELDS!C$1)</f>
        <v>0</v>
      </c>
      <c r="D148" cm="1">
        <f t="array" ref="D148">_xll.VALEURCOURBE($A$27,_xlfn.CONCAT("THEME5=",$B148),SCENARIOS!$A$2,SCENARIOS!$B$2,1,YIELDS!D$1)</f>
        <v>0</v>
      </c>
      <c r="E148" cm="1">
        <f t="array" ref="E148">_xll.VALEURCOURBE($A$27,_xlfn.CONCAT("THEME5=",$B148),SCENARIOS!$A$2,SCENARIOS!$B$2,1,YIELDS!E$1)</f>
        <v>1.02</v>
      </c>
      <c r="F148" cm="1">
        <f t="array" ref="F148">_xll.VALEURCOURBE($A$27,_xlfn.CONCAT("THEME5=",$B148),SCENARIOS!$A$2,SCENARIOS!$B$2,1,YIELDS!F$1)</f>
        <v>3.82</v>
      </c>
      <c r="G148" cm="1">
        <f t="array" ref="G148">_xll.VALEURCOURBE($A$27,_xlfn.CONCAT("THEME5=",$B148),SCENARIOS!$A$2,SCENARIOS!$B$2,1,YIELDS!G$1)</f>
        <v>7.26</v>
      </c>
      <c r="H148" cm="1">
        <f t="array" ref="H148">_xll.VALEURCOURBE($A$27,_xlfn.CONCAT("THEME5=",$B148),SCENARIOS!$A$2,SCENARIOS!$B$2,1,YIELDS!H$1)</f>
        <v>11.08</v>
      </c>
      <c r="I148" cm="1">
        <f t="array" ref="I148">_xll.VALEURCOURBE($A$27,_xlfn.CONCAT("THEME5=",$B148),SCENARIOS!$A$2,SCENARIOS!$B$2,1,YIELDS!I$1)</f>
        <v>15.54</v>
      </c>
      <c r="J148" cm="1">
        <f t="array" ref="J148">_xll.VALEURCOURBE($A$27,_xlfn.CONCAT("THEME5=",$B148),SCENARIOS!$A$2,SCENARIOS!$B$2,1,YIELDS!J$1)</f>
        <v>20.25</v>
      </c>
      <c r="K148" cm="1">
        <f t="array" ref="K148">_xll.VALEURCOURBE($A$27,_xlfn.CONCAT("THEME5=",$B148),SCENARIOS!$A$2,SCENARIOS!$B$2,1,YIELDS!K$1)</f>
        <v>24.59</v>
      </c>
      <c r="L148" cm="1">
        <f t="array" ref="L148">_xll.VALEURCOURBE($A$27,_xlfn.CONCAT("THEME5=",$B148),SCENARIOS!$A$2,SCENARIOS!$B$2,1,YIELDS!L$1)</f>
        <v>28.66</v>
      </c>
      <c r="M148" cm="1">
        <f t="array" ref="M148">_xll.VALEURCOURBE($A$27,_xlfn.CONCAT("THEME5=",$B148),SCENARIOS!$A$2,SCENARIOS!$B$2,1,YIELDS!M$1)</f>
        <v>32.229999999999997</v>
      </c>
      <c r="N148" cm="1">
        <f t="array" ref="N148">_xll.VALEURCOURBE($A$27,_xlfn.CONCAT("THEME5=",$B148),SCENARIOS!$A$2,SCENARIOS!$B$2,1,YIELDS!N$1)</f>
        <v>36.049999999999997</v>
      </c>
      <c r="O148" cm="1">
        <f t="array" ref="O148">_xll.VALEURCOURBE($A$27,_xlfn.CONCAT("THEME5=",$B148),SCENARIOS!$A$2,SCENARIOS!$B$2,1,YIELDS!O$1)</f>
        <v>39.24</v>
      </c>
      <c r="P148" cm="1">
        <f t="array" ref="P148">_xll.VALEURCOURBE($A$27,_xlfn.CONCAT("THEME5=",$B148),SCENARIOS!$A$2,SCENARIOS!$B$2,1,YIELDS!P$1)</f>
        <v>41.78</v>
      </c>
      <c r="Q148" cm="1">
        <f t="array" ref="Q148">_xll.VALEURCOURBE($A$27,_xlfn.CONCAT("THEME5=",$B148),SCENARIOS!$A$2,SCENARIOS!$B$2,1,YIELDS!Q$1)</f>
        <v>43.69</v>
      </c>
      <c r="R148" cm="1">
        <f t="array" ref="R148">_xll.VALEURCOURBE($A$27,_xlfn.CONCAT("THEME5=",$B148),SCENARIOS!$A$2,SCENARIOS!$B$2,1,YIELDS!R$1)</f>
        <v>44.84</v>
      </c>
      <c r="S148" cm="1">
        <f t="array" ref="S148">_xll.VALEURCOURBE($A$27,_xlfn.CONCAT("THEME5=",$B148),SCENARIOS!$A$2,SCENARIOS!$B$2,1,YIELDS!S$1)</f>
        <v>45.35</v>
      </c>
      <c r="T148" cm="1">
        <f t="array" ref="T148">_xll.VALEURCOURBE($A$27,_xlfn.CONCAT("THEME5=",$B148),SCENARIOS!$A$2,SCENARIOS!$B$2,1,YIELDS!T$1)</f>
        <v>45.1</v>
      </c>
      <c r="U148" cm="1">
        <f t="array" ref="U148">_xll.VALEURCOURBE($A$27,_xlfn.CONCAT("THEME5=",$B148),SCENARIOS!$A$2,SCENARIOS!$B$2,1,YIELDS!U$1)</f>
        <v>44.2</v>
      </c>
      <c r="V148" cm="1">
        <f t="array" ref="V148">_xll.VALEURCOURBE($A$27,_xlfn.CONCAT("THEME5=",$B148),SCENARIOS!$A$2,SCENARIOS!$B$2,1,YIELDS!V$1)</f>
        <v>42.42</v>
      </c>
    </row>
    <row r="149" spans="1:22" x14ac:dyDescent="0.25">
      <c r="A149" t="str">
        <v>YTBE_CL5B</v>
      </c>
      <c r="B149" t="str">
        <v>FC8035</v>
      </c>
      <c r="C149" cm="1">
        <f t="array" ref="C149">_xll.VALEURCOURBE($A$27,_xlfn.CONCAT("THEME5=",$B149),SCENARIOS!$A$2,SCENARIOS!$B$2,1,YIELDS!C$1)</f>
        <v>0</v>
      </c>
      <c r="D149" cm="1">
        <f t="array" ref="D149">_xll.VALEURCOURBE($A$27,_xlfn.CONCAT("THEME5=",$B149),SCENARIOS!$A$2,SCENARIOS!$B$2,1,YIELDS!D$1)</f>
        <v>0</v>
      </c>
      <c r="E149" cm="1">
        <f t="array" ref="E149">_xll.VALEURCOURBE($A$27,_xlfn.CONCAT("THEME5=",$B149),SCENARIOS!$A$2,SCENARIOS!$B$2,1,YIELDS!E$1)</f>
        <v>1.98</v>
      </c>
      <c r="F149" cm="1">
        <f t="array" ref="F149">_xll.VALEURCOURBE($A$27,_xlfn.CONCAT("THEME5=",$B149),SCENARIOS!$A$2,SCENARIOS!$B$2,1,YIELDS!F$1)</f>
        <v>4.99</v>
      </c>
      <c r="G149" cm="1">
        <f t="array" ref="G149">_xll.VALEURCOURBE($A$27,_xlfn.CONCAT("THEME5=",$B149),SCENARIOS!$A$2,SCENARIOS!$B$2,1,YIELDS!G$1)</f>
        <v>8.48</v>
      </c>
      <c r="H149" cm="1">
        <f t="array" ref="H149">_xll.VALEURCOURBE($A$27,_xlfn.CONCAT("THEME5=",$B149),SCENARIOS!$A$2,SCENARIOS!$B$2,1,YIELDS!H$1)</f>
        <v>12.43</v>
      </c>
      <c r="I149" cm="1">
        <f t="array" ref="I149">_xll.VALEURCOURBE($A$27,_xlfn.CONCAT("THEME5=",$B149),SCENARIOS!$A$2,SCENARIOS!$B$2,1,YIELDS!I$1)</f>
        <v>16.96</v>
      </c>
      <c r="J149" cm="1">
        <f t="array" ref="J149">_xll.VALEURCOURBE($A$27,_xlfn.CONCAT("THEME5=",$B149),SCENARIOS!$A$2,SCENARIOS!$B$2,1,YIELDS!J$1)</f>
        <v>21.96</v>
      </c>
      <c r="K149" cm="1">
        <f t="array" ref="K149">_xll.VALEURCOURBE($A$27,_xlfn.CONCAT("THEME5=",$B149),SCENARIOS!$A$2,SCENARIOS!$B$2,1,YIELDS!K$1)</f>
        <v>26.48</v>
      </c>
      <c r="L149" cm="1">
        <f t="array" ref="L149">_xll.VALEURCOURBE($A$27,_xlfn.CONCAT("THEME5=",$B149),SCENARIOS!$A$2,SCENARIOS!$B$2,1,YIELDS!L$1)</f>
        <v>31.13</v>
      </c>
      <c r="M149" cm="1">
        <f t="array" ref="M149">_xll.VALEURCOURBE($A$27,_xlfn.CONCAT("THEME5=",$B149),SCENARIOS!$A$2,SCENARIOS!$B$2,1,YIELDS!M$1)</f>
        <v>35.31</v>
      </c>
      <c r="N149" cm="1">
        <f t="array" ref="N149">_xll.VALEURCOURBE($A$27,_xlfn.CONCAT("THEME5=",$B149),SCENARIOS!$A$2,SCENARIOS!$B$2,1,YIELDS!N$1)</f>
        <v>39.14</v>
      </c>
      <c r="O149" cm="1">
        <f t="array" ref="O149">_xll.VALEURCOURBE($A$27,_xlfn.CONCAT("THEME5=",$B149),SCENARIOS!$A$2,SCENARIOS!$B$2,1,YIELDS!O$1)</f>
        <v>42.52</v>
      </c>
      <c r="P149" cm="1">
        <f t="array" ref="P149">_xll.VALEURCOURBE($A$27,_xlfn.CONCAT("THEME5=",$B149),SCENARIOS!$A$2,SCENARIOS!$B$2,1,YIELDS!P$1)</f>
        <v>45.3</v>
      </c>
      <c r="Q149" cm="1">
        <f t="array" ref="Q149">_xll.VALEURCOURBE($A$27,_xlfn.CONCAT("THEME5=",$B149),SCENARIOS!$A$2,SCENARIOS!$B$2,1,YIELDS!Q$1)</f>
        <v>47.51</v>
      </c>
      <c r="R149" cm="1">
        <f t="array" ref="R149">_xll.VALEURCOURBE($A$27,_xlfn.CONCAT("THEME5=",$B149),SCENARIOS!$A$2,SCENARIOS!$B$2,1,YIELDS!R$1)</f>
        <v>48.9</v>
      </c>
      <c r="S149" cm="1">
        <f t="array" ref="S149">_xll.VALEURCOURBE($A$27,_xlfn.CONCAT("THEME5=",$B149),SCENARIOS!$A$2,SCENARIOS!$B$2,1,YIELDS!S$1)</f>
        <v>49.48</v>
      </c>
      <c r="T149" cm="1">
        <f t="array" ref="T149">_xll.VALEURCOURBE($A$27,_xlfn.CONCAT("THEME5=",$B149),SCENARIOS!$A$2,SCENARIOS!$B$2,1,YIELDS!T$1)</f>
        <v>49.36</v>
      </c>
      <c r="U149" cm="1">
        <f t="array" ref="U149">_xll.VALEURCOURBE($A$27,_xlfn.CONCAT("THEME5=",$B149),SCENARIOS!$A$2,SCENARIOS!$B$2,1,YIELDS!U$1)</f>
        <v>48.32</v>
      </c>
      <c r="V149" cm="1">
        <f t="array" ref="V149">_xll.VALEURCOURBE($A$27,_xlfn.CONCAT("THEME5=",$B149),SCENARIOS!$A$2,SCENARIOS!$B$2,1,YIELDS!V$1)</f>
        <v>46.57</v>
      </c>
    </row>
    <row r="150" spans="1:22" x14ac:dyDescent="0.25">
      <c r="A150" t="str">
        <v>YTBE_CL5C</v>
      </c>
      <c r="B150" t="str">
        <v>FC8051</v>
      </c>
      <c r="C150" cm="1">
        <f t="array" ref="C150">_xll.VALEURCOURBE($A$27,_xlfn.CONCAT("THEME5=",$B150),SCENARIOS!$A$2,SCENARIOS!$B$2,1,YIELDS!C$1)</f>
        <v>0</v>
      </c>
      <c r="D150" cm="1">
        <f t="array" ref="D150">_xll.VALEURCOURBE($A$27,_xlfn.CONCAT("THEME5=",$B150),SCENARIOS!$A$2,SCENARIOS!$B$2,1,YIELDS!D$1)</f>
        <v>0</v>
      </c>
      <c r="E150" cm="1">
        <f t="array" ref="E150">_xll.VALEURCOURBE($A$27,_xlfn.CONCAT("THEME5=",$B150),SCENARIOS!$A$2,SCENARIOS!$B$2,1,YIELDS!E$1)</f>
        <v>1.98</v>
      </c>
      <c r="F150" cm="1">
        <f t="array" ref="F150">_xll.VALEURCOURBE($A$27,_xlfn.CONCAT("THEME5=",$B150),SCENARIOS!$A$2,SCENARIOS!$B$2,1,YIELDS!F$1)</f>
        <v>4.99</v>
      </c>
      <c r="G150" cm="1">
        <f t="array" ref="G150">_xll.VALEURCOURBE($A$27,_xlfn.CONCAT("THEME5=",$B150),SCENARIOS!$A$2,SCENARIOS!$B$2,1,YIELDS!G$1)</f>
        <v>8.48</v>
      </c>
      <c r="H150" cm="1">
        <f t="array" ref="H150">_xll.VALEURCOURBE($A$27,_xlfn.CONCAT("THEME5=",$B150),SCENARIOS!$A$2,SCENARIOS!$B$2,1,YIELDS!H$1)</f>
        <v>12.43</v>
      </c>
      <c r="I150" cm="1">
        <f t="array" ref="I150">_xll.VALEURCOURBE($A$27,_xlfn.CONCAT("THEME5=",$B150),SCENARIOS!$A$2,SCENARIOS!$B$2,1,YIELDS!I$1)</f>
        <v>16.96</v>
      </c>
      <c r="J150" cm="1">
        <f t="array" ref="J150">_xll.VALEURCOURBE($A$27,_xlfn.CONCAT("THEME5=",$B150),SCENARIOS!$A$2,SCENARIOS!$B$2,1,YIELDS!J$1)</f>
        <v>21.96</v>
      </c>
      <c r="K150" cm="1">
        <f t="array" ref="K150">_xll.VALEURCOURBE($A$27,_xlfn.CONCAT("THEME5=",$B150),SCENARIOS!$A$2,SCENARIOS!$B$2,1,YIELDS!K$1)</f>
        <v>26.48</v>
      </c>
      <c r="L150" cm="1">
        <f t="array" ref="L150">_xll.VALEURCOURBE($A$27,_xlfn.CONCAT("THEME5=",$B150),SCENARIOS!$A$2,SCENARIOS!$B$2,1,YIELDS!L$1)</f>
        <v>31.13</v>
      </c>
      <c r="M150" cm="1">
        <f t="array" ref="M150">_xll.VALEURCOURBE($A$27,_xlfn.CONCAT("THEME5=",$B150),SCENARIOS!$A$2,SCENARIOS!$B$2,1,YIELDS!M$1)</f>
        <v>35.31</v>
      </c>
      <c r="N150" cm="1">
        <f t="array" ref="N150">_xll.VALEURCOURBE($A$27,_xlfn.CONCAT("THEME5=",$B150),SCENARIOS!$A$2,SCENARIOS!$B$2,1,YIELDS!N$1)</f>
        <v>39.14</v>
      </c>
      <c r="O150" cm="1">
        <f t="array" ref="O150">_xll.VALEURCOURBE($A$27,_xlfn.CONCAT("THEME5=",$B150),SCENARIOS!$A$2,SCENARIOS!$B$2,1,YIELDS!O$1)</f>
        <v>42.52</v>
      </c>
      <c r="P150" cm="1">
        <f t="array" ref="P150">_xll.VALEURCOURBE($A$27,_xlfn.CONCAT("THEME5=",$B150),SCENARIOS!$A$2,SCENARIOS!$B$2,1,YIELDS!P$1)</f>
        <v>45.3</v>
      </c>
      <c r="Q150" cm="1">
        <f t="array" ref="Q150">_xll.VALEURCOURBE($A$27,_xlfn.CONCAT("THEME5=",$B150),SCENARIOS!$A$2,SCENARIOS!$B$2,1,YIELDS!Q$1)</f>
        <v>47.51</v>
      </c>
      <c r="R150" cm="1">
        <f t="array" ref="R150">_xll.VALEURCOURBE($A$27,_xlfn.CONCAT("THEME5=",$B150),SCENARIOS!$A$2,SCENARIOS!$B$2,1,YIELDS!R$1)</f>
        <v>48.9</v>
      </c>
      <c r="S150" cm="1">
        <f t="array" ref="S150">_xll.VALEURCOURBE($A$27,_xlfn.CONCAT("THEME5=",$B150),SCENARIOS!$A$2,SCENARIOS!$B$2,1,YIELDS!S$1)</f>
        <v>49.48</v>
      </c>
      <c r="T150" cm="1">
        <f t="array" ref="T150">_xll.VALEURCOURBE($A$27,_xlfn.CONCAT("THEME5=",$B150),SCENARIOS!$A$2,SCENARIOS!$B$2,1,YIELDS!T$1)</f>
        <v>49.36</v>
      </c>
      <c r="U150" cm="1">
        <f t="array" ref="U150">_xll.VALEURCOURBE($A$27,_xlfn.CONCAT("THEME5=",$B150),SCENARIOS!$A$2,SCENARIOS!$B$2,1,YIELDS!U$1)</f>
        <v>48.32</v>
      </c>
      <c r="V150" cm="1">
        <f t="array" ref="V150">_xll.VALEURCOURBE($A$27,_xlfn.CONCAT("THEME5=",$B150),SCENARIOS!$A$2,SCENARIOS!$B$2,1,YIELDS!V$1)</f>
        <v>46.57</v>
      </c>
    </row>
    <row r="151" spans="1:22" x14ac:dyDescent="0.25">
      <c r="A151" t="str">
        <v>YTBE_CL5D</v>
      </c>
      <c r="B151" t="str">
        <v>FC8185</v>
      </c>
      <c r="C151" cm="1">
        <f t="array" ref="C151">_xll.VALEURCOURBE($A$27,_xlfn.CONCAT("THEME5=",$B151),SCENARIOS!$A$2,SCENARIOS!$B$2,1,YIELDS!C$1)</f>
        <v>0</v>
      </c>
      <c r="D151" cm="1">
        <f t="array" ref="D151">_xll.VALEURCOURBE($A$27,_xlfn.CONCAT("THEME5=",$B151),SCENARIOS!$A$2,SCENARIOS!$B$2,1,YIELDS!D$1)</f>
        <v>0</v>
      </c>
      <c r="E151" cm="1">
        <f t="array" ref="E151">_xll.VALEURCOURBE($A$27,_xlfn.CONCAT("THEME5=",$B151),SCENARIOS!$A$2,SCENARIOS!$B$2,1,YIELDS!E$1)</f>
        <v>0</v>
      </c>
      <c r="F151" cm="1">
        <f t="array" ref="F151">_xll.VALEURCOURBE($A$27,_xlfn.CONCAT("THEME5=",$B151),SCENARIOS!$A$2,SCENARIOS!$B$2,1,YIELDS!F$1)</f>
        <v>0</v>
      </c>
      <c r="G151" cm="1">
        <f t="array" ref="G151">_xll.VALEURCOURBE($A$27,_xlfn.CONCAT("THEME5=",$B151),SCENARIOS!$A$2,SCENARIOS!$B$2,1,YIELDS!G$1)</f>
        <v>0</v>
      </c>
      <c r="H151" cm="1">
        <f t="array" ref="H151">_xll.VALEURCOURBE($A$27,_xlfn.CONCAT("THEME5=",$B151),SCENARIOS!$A$2,SCENARIOS!$B$2,1,YIELDS!H$1)</f>
        <v>0</v>
      </c>
      <c r="I151" cm="1">
        <f t="array" ref="I151">_xll.VALEURCOURBE($A$27,_xlfn.CONCAT("THEME5=",$B151),SCENARIOS!$A$2,SCENARIOS!$B$2,1,YIELDS!I$1)</f>
        <v>0</v>
      </c>
      <c r="J151" cm="1">
        <f t="array" ref="J151">_xll.VALEURCOURBE($A$27,_xlfn.CONCAT("THEME5=",$B151),SCENARIOS!$A$2,SCENARIOS!$B$2,1,YIELDS!J$1)</f>
        <v>0</v>
      </c>
      <c r="K151" cm="1">
        <f t="array" ref="K151">_xll.VALEURCOURBE($A$27,_xlfn.CONCAT("THEME5=",$B151),SCENARIOS!$A$2,SCENARIOS!$B$2,1,YIELDS!K$1)</f>
        <v>2.8</v>
      </c>
      <c r="L151" cm="1">
        <f t="array" ref="L151">_xll.VALEURCOURBE($A$27,_xlfn.CONCAT("THEME5=",$B151),SCENARIOS!$A$2,SCENARIOS!$B$2,1,YIELDS!L$1)</f>
        <v>20.45</v>
      </c>
      <c r="M151" cm="1">
        <f t="array" ref="M151">_xll.VALEURCOURBE($A$27,_xlfn.CONCAT("THEME5=",$B151),SCENARIOS!$A$2,SCENARIOS!$B$2,1,YIELDS!M$1)</f>
        <v>37.049999999999997</v>
      </c>
      <c r="N151" cm="1">
        <f t="array" ref="N151">_xll.VALEURCOURBE($A$27,_xlfn.CONCAT("THEME5=",$B151),SCENARIOS!$A$2,SCENARIOS!$B$2,1,YIELDS!N$1)</f>
        <v>51.83</v>
      </c>
      <c r="O151" cm="1">
        <f t="array" ref="O151">_xll.VALEURCOURBE($A$27,_xlfn.CONCAT("THEME5=",$B151),SCENARIOS!$A$2,SCENARIOS!$B$2,1,YIELDS!O$1)</f>
        <v>64.959999999999994</v>
      </c>
      <c r="P151" cm="1">
        <f t="array" ref="P151">_xll.VALEURCOURBE($A$27,_xlfn.CONCAT("THEME5=",$B151),SCENARIOS!$A$2,SCENARIOS!$B$2,1,YIELDS!P$1)</f>
        <v>76.52</v>
      </c>
      <c r="Q151" cm="1">
        <f t="array" ref="Q151">_xll.VALEURCOURBE($A$27,_xlfn.CONCAT("THEME5=",$B151),SCENARIOS!$A$2,SCENARIOS!$B$2,1,YIELDS!Q$1)</f>
        <v>86.65</v>
      </c>
      <c r="R151" cm="1">
        <f t="array" ref="R151">_xll.VALEURCOURBE($A$27,_xlfn.CONCAT("THEME5=",$B151),SCENARIOS!$A$2,SCENARIOS!$B$2,1,YIELDS!R$1)</f>
        <v>95.4</v>
      </c>
      <c r="S151" cm="1">
        <f t="array" ref="S151">_xll.VALEURCOURBE($A$27,_xlfn.CONCAT("THEME5=",$B151),SCENARIOS!$A$2,SCENARIOS!$B$2,1,YIELDS!S$1)</f>
        <v>102.91</v>
      </c>
      <c r="T151" cm="1">
        <f t="array" ref="T151">_xll.VALEURCOURBE($A$27,_xlfn.CONCAT("THEME5=",$B151),SCENARIOS!$A$2,SCENARIOS!$B$2,1,YIELDS!T$1)</f>
        <v>109.2</v>
      </c>
      <c r="U151" cm="1">
        <f t="array" ref="U151">_xll.VALEURCOURBE($A$27,_xlfn.CONCAT("THEME5=",$B151),SCENARIOS!$A$2,SCENARIOS!$B$2,1,YIELDS!U$1)</f>
        <v>114.4</v>
      </c>
      <c r="V151" cm="1">
        <f t="array" ref="V151">_xll.VALEURCOURBE($A$27,_xlfn.CONCAT("THEME5=",$B151),SCENARIOS!$A$2,SCENARIOS!$B$2,1,YIELDS!V$1)</f>
        <v>118.59</v>
      </c>
    </row>
    <row r="152" spans="1:22" x14ac:dyDescent="0.25">
      <c r="A152" t="str">
        <v>YTBE_CL5E</v>
      </c>
      <c r="B152" t="str">
        <v>FC8187</v>
      </c>
      <c r="C152" cm="1">
        <f t="array" ref="C152">_xll.VALEURCOURBE($A$27,_xlfn.CONCAT("THEME5=",$B152),SCENARIOS!$A$2,SCENARIOS!$B$2,1,YIELDS!C$1)</f>
        <v>0</v>
      </c>
      <c r="D152" cm="1">
        <f t="array" ref="D152">_xll.VALEURCOURBE($A$27,_xlfn.CONCAT("THEME5=",$B152),SCENARIOS!$A$2,SCENARIOS!$B$2,1,YIELDS!D$1)</f>
        <v>0</v>
      </c>
      <c r="E152" cm="1">
        <f t="array" ref="E152">_xll.VALEURCOURBE($A$27,_xlfn.CONCAT("THEME5=",$B152),SCENARIOS!$A$2,SCENARIOS!$B$2,1,YIELDS!E$1)</f>
        <v>0</v>
      </c>
      <c r="F152" cm="1">
        <f t="array" ref="F152">_xll.VALEURCOURBE($A$27,_xlfn.CONCAT("THEME5=",$B152),SCENARIOS!$A$2,SCENARIOS!$B$2,1,YIELDS!F$1)</f>
        <v>0</v>
      </c>
      <c r="G152" cm="1">
        <f t="array" ref="G152">_xll.VALEURCOURBE($A$27,_xlfn.CONCAT("THEME5=",$B152),SCENARIOS!$A$2,SCENARIOS!$B$2,1,YIELDS!G$1)</f>
        <v>0</v>
      </c>
      <c r="H152" cm="1">
        <f t="array" ref="H152">_xll.VALEURCOURBE($A$27,_xlfn.CONCAT("THEME5=",$B152),SCENARIOS!$A$2,SCENARIOS!$B$2,1,YIELDS!H$1)</f>
        <v>0</v>
      </c>
      <c r="I152" cm="1">
        <f t="array" ref="I152">_xll.VALEURCOURBE($A$27,_xlfn.CONCAT("THEME5=",$B152),SCENARIOS!$A$2,SCENARIOS!$B$2,1,YIELDS!I$1)</f>
        <v>0</v>
      </c>
      <c r="J152" cm="1">
        <f t="array" ref="J152">_xll.VALEURCOURBE($A$27,_xlfn.CONCAT("THEME5=",$B152),SCENARIOS!$A$2,SCENARIOS!$B$2,1,YIELDS!J$1)</f>
        <v>0</v>
      </c>
      <c r="K152" cm="1">
        <f t="array" ref="K152">_xll.VALEURCOURBE($A$27,_xlfn.CONCAT("THEME5=",$B152),SCENARIOS!$A$2,SCENARIOS!$B$2,1,YIELDS!K$1)</f>
        <v>0</v>
      </c>
      <c r="L152" cm="1">
        <f t="array" ref="L152">_xll.VALEURCOURBE($A$27,_xlfn.CONCAT("THEME5=",$B152),SCENARIOS!$A$2,SCENARIOS!$B$2,1,YIELDS!L$1)</f>
        <v>0</v>
      </c>
      <c r="M152" cm="1">
        <f t="array" ref="M152">_xll.VALEURCOURBE($A$27,_xlfn.CONCAT("THEME5=",$B152),SCENARIOS!$A$2,SCENARIOS!$B$2,1,YIELDS!M$1)</f>
        <v>3.73</v>
      </c>
      <c r="N152" cm="1">
        <f t="array" ref="N152">_xll.VALEURCOURBE($A$27,_xlfn.CONCAT("THEME5=",$B152),SCENARIOS!$A$2,SCENARIOS!$B$2,1,YIELDS!N$1)</f>
        <v>11.43</v>
      </c>
      <c r="O152" cm="1">
        <f t="array" ref="O152">_xll.VALEURCOURBE($A$27,_xlfn.CONCAT("THEME5=",$B152),SCENARIOS!$A$2,SCENARIOS!$B$2,1,YIELDS!O$1)</f>
        <v>19.73</v>
      </c>
      <c r="P152" cm="1">
        <f t="array" ref="P152">_xll.VALEURCOURBE($A$27,_xlfn.CONCAT("THEME5=",$B152),SCENARIOS!$A$2,SCENARIOS!$B$2,1,YIELDS!P$1)</f>
        <v>28.31</v>
      </c>
      <c r="Q152" cm="1">
        <f t="array" ref="Q152">_xll.VALEURCOURBE($A$27,_xlfn.CONCAT("THEME5=",$B152),SCENARIOS!$A$2,SCENARIOS!$B$2,1,YIELDS!Q$1)</f>
        <v>36.880000000000003</v>
      </c>
      <c r="R152" cm="1">
        <f t="array" ref="R152">_xll.VALEURCOURBE($A$27,_xlfn.CONCAT("THEME5=",$B152),SCENARIOS!$A$2,SCENARIOS!$B$2,1,YIELDS!R$1)</f>
        <v>45.13</v>
      </c>
      <c r="S152" cm="1">
        <f t="array" ref="S152">_xll.VALEURCOURBE($A$27,_xlfn.CONCAT("THEME5=",$B152),SCENARIOS!$A$2,SCENARIOS!$B$2,1,YIELDS!S$1)</f>
        <v>52.95</v>
      </c>
      <c r="T152" cm="1">
        <f t="array" ref="T152">_xll.VALEURCOURBE($A$27,_xlfn.CONCAT("THEME5=",$B152),SCENARIOS!$A$2,SCENARIOS!$B$2,1,YIELDS!T$1)</f>
        <v>60.22</v>
      </c>
      <c r="U152" cm="1">
        <f t="array" ref="U152">_xll.VALEURCOURBE($A$27,_xlfn.CONCAT("THEME5=",$B152),SCENARIOS!$A$2,SCENARIOS!$B$2,1,YIELDS!U$1)</f>
        <v>66.87</v>
      </c>
      <c r="V152" cm="1">
        <f t="array" ref="V152">_xll.VALEURCOURBE($A$27,_xlfn.CONCAT("THEME5=",$B152),SCENARIOS!$A$2,SCENARIOS!$B$2,1,YIELDS!V$1)</f>
        <v>72.84</v>
      </c>
    </row>
    <row r="153" spans="1:22" x14ac:dyDescent="0.25">
      <c r="A153" t="str">
        <v>YTBE1A</v>
      </c>
      <c r="B153" t="str">
        <v>FC8188</v>
      </c>
      <c r="C153" cm="1">
        <f t="array" ref="C153">_xll.VALEURCOURBE($A$27,_xlfn.CONCAT("THEME5=",$B153),SCENARIOS!$A$2,SCENARIOS!$B$2,1,YIELDS!C$1)</f>
        <v>0</v>
      </c>
      <c r="D153" cm="1">
        <f t="array" ref="D153">_xll.VALEURCOURBE($A$27,_xlfn.CONCAT("THEME5=",$B153),SCENARIOS!$A$2,SCENARIOS!$B$2,1,YIELDS!D$1)</f>
        <v>0</v>
      </c>
      <c r="E153" cm="1">
        <f t="array" ref="E153">_xll.VALEURCOURBE($A$27,_xlfn.CONCAT("THEME5=",$B153),SCENARIOS!$A$2,SCENARIOS!$B$2,1,YIELDS!E$1)</f>
        <v>0</v>
      </c>
      <c r="F153" cm="1">
        <f t="array" ref="F153">_xll.VALEURCOURBE($A$27,_xlfn.CONCAT("THEME5=",$B153),SCENARIOS!$A$2,SCENARIOS!$B$2,1,YIELDS!F$1)</f>
        <v>0</v>
      </c>
      <c r="G153" cm="1">
        <f t="array" ref="G153">_xll.VALEURCOURBE($A$27,_xlfn.CONCAT("THEME5=",$B153),SCENARIOS!$A$2,SCENARIOS!$B$2,1,YIELDS!G$1)</f>
        <v>0</v>
      </c>
      <c r="H153" cm="1">
        <f t="array" ref="H153">_xll.VALEURCOURBE($A$27,_xlfn.CONCAT("THEME5=",$B153),SCENARIOS!$A$2,SCENARIOS!$B$2,1,YIELDS!H$1)</f>
        <v>0</v>
      </c>
      <c r="I153" cm="1">
        <f t="array" ref="I153">_xll.VALEURCOURBE($A$27,_xlfn.CONCAT("THEME5=",$B153),SCENARIOS!$A$2,SCENARIOS!$B$2,1,YIELDS!I$1)</f>
        <v>0</v>
      </c>
      <c r="J153" cm="1">
        <f t="array" ref="J153">_xll.VALEURCOURBE($A$27,_xlfn.CONCAT("THEME5=",$B153),SCENARIOS!$A$2,SCENARIOS!$B$2,1,YIELDS!J$1)</f>
        <v>0</v>
      </c>
      <c r="K153" cm="1">
        <f t="array" ref="K153">_xll.VALEURCOURBE($A$27,_xlfn.CONCAT("THEME5=",$B153),SCENARIOS!$A$2,SCENARIOS!$B$2,1,YIELDS!K$1)</f>
        <v>0.84</v>
      </c>
      <c r="L153" cm="1">
        <f t="array" ref="L153">_xll.VALEURCOURBE($A$27,_xlfn.CONCAT("THEME5=",$B153),SCENARIOS!$A$2,SCENARIOS!$B$2,1,YIELDS!L$1)</f>
        <v>6.13</v>
      </c>
      <c r="M153" cm="1">
        <f t="array" ref="M153">_xll.VALEURCOURBE($A$27,_xlfn.CONCAT("THEME5=",$B153),SCENARIOS!$A$2,SCENARIOS!$B$2,1,YIELDS!M$1)</f>
        <v>11.13</v>
      </c>
      <c r="N153" cm="1">
        <f t="array" ref="N153">_xll.VALEURCOURBE($A$27,_xlfn.CONCAT("THEME5=",$B153),SCENARIOS!$A$2,SCENARIOS!$B$2,1,YIELDS!N$1)</f>
        <v>15.55</v>
      </c>
      <c r="O153" cm="1">
        <f t="array" ref="O153">_xll.VALEURCOURBE($A$27,_xlfn.CONCAT("THEME5=",$B153),SCENARIOS!$A$2,SCENARIOS!$B$2,1,YIELDS!O$1)</f>
        <v>19.48</v>
      </c>
      <c r="P153" cm="1">
        <f t="array" ref="P153">_xll.VALEURCOURBE($A$27,_xlfn.CONCAT("THEME5=",$B153),SCENARIOS!$A$2,SCENARIOS!$B$2,1,YIELDS!P$1)</f>
        <v>22.97</v>
      </c>
      <c r="Q153" cm="1">
        <f t="array" ref="Q153">_xll.VALEURCOURBE($A$27,_xlfn.CONCAT("THEME5=",$B153),SCENARIOS!$A$2,SCENARIOS!$B$2,1,YIELDS!Q$1)</f>
        <v>25.99</v>
      </c>
      <c r="R153" cm="1">
        <f t="array" ref="R153">_xll.VALEURCOURBE($A$27,_xlfn.CONCAT("THEME5=",$B153),SCENARIOS!$A$2,SCENARIOS!$B$2,1,YIELDS!R$1)</f>
        <v>28.63</v>
      </c>
      <c r="S153" cm="1">
        <f t="array" ref="S153">_xll.VALEURCOURBE($A$27,_xlfn.CONCAT("THEME5=",$B153),SCENARIOS!$A$2,SCENARIOS!$B$2,1,YIELDS!S$1)</f>
        <v>30.87</v>
      </c>
      <c r="T153" cm="1">
        <f t="array" ref="T153">_xll.VALEURCOURBE($A$27,_xlfn.CONCAT("THEME5=",$B153),SCENARIOS!$A$2,SCENARIOS!$B$2,1,YIELDS!T$1)</f>
        <v>32.76</v>
      </c>
      <c r="U153" cm="1">
        <f t="array" ref="U153">_xll.VALEURCOURBE($A$27,_xlfn.CONCAT("THEME5=",$B153),SCENARIOS!$A$2,SCENARIOS!$B$2,1,YIELDS!U$1)</f>
        <v>34.31</v>
      </c>
      <c r="V153" cm="1">
        <f t="array" ref="V153">_xll.VALEURCOURBE($A$27,_xlfn.CONCAT("THEME5=",$B153),SCENARIOS!$A$2,SCENARIOS!$B$2,1,YIELDS!V$1)</f>
        <v>35.57</v>
      </c>
    </row>
    <row r="154" spans="1:22" x14ac:dyDescent="0.25">
      <c r="A154" t="str">
        <v>YTBE2A</v>
      </c>
      <c r="B154" t="str">
        <v>FC8189</v>
      </c>
      <c r="C154" cm="1">
        <f t="array" ref="C154">_xll.VALEURCOURBE($A$27,_xlfn.CONCAT("THEME5=",$B154),SCENARIOS!$A$2,SCENARIOS!$B$2,1,YIELDS!C$1)</f>
        <v>0</v>
      </c>
      <c r="D154" cm="1">
        <f t="array" ref="D154">_xll.VALEURCOURBE($A$27,_xlfn.CONCAT("THEME5=",$B154),SCENARIOS!$A$2,SCENARIOS!$B$2,1,YIELDS!D$1)</f>
        <v>0</v>
      </c>
      <c r="E154" cm="1">
        <f t="array" ref="E154">_xll.VALEURCOURBE($A$27,_xlfn.CONCAT("THEME5=",$B154),SCENARIOS!$A$2,SCENARIOS!$B$2,1,YIELDS!E$1)</f>
        <v>0</v>
      </c>
      <c r="F154" cm="1">
        <f t="array" ref="F154">_xll.VALEURCOURBE($A$27,_xlfn.CONCAT("THEME5=",$B154),SCENARIOS!$A$2,SCENARIOS!$B$2,1,YIELDS!F$1)</f>
        <v>0</v>
      </c>
      <c r="G154" cm="1">
        <f t="array" ref="G154">_xll.VALEURCOURBE($A$27,_xlfn.CONCAT("THEME5=",$B154),SCENARIOS!$A$2,SCENARIOS!$B$2,1,YIELDS!G$1)</f>
        <v>0</v>
      </c>
      <c r="H154" cm="1">
        <f t="array" ref="H154">_xll.VALEURCOURBE($A$27,_xlfn.CONCAT("THEME5=",$B154),SCENARIOS!$A$2,SCENARIOS!$B$2,1,YIELDS!H$1)</f>
        <v>0</v>
      </c>
      <c r="I154" cm="1">
        <f t="array" ref="I154">_xll.VALEURCOURBE($A$27,_xlfn.CONCAT("THEME5=",$B154),SCENARIOS!$A$2,SCENARIOS!$B$2,1,YIELDS!I$1)</f>
        <v>0</v>
      </c>
      <c r="J154" cm="1">
        <f t="array" ref="J154">_xll.VALEURCOURBE($A$27,_xlfn.CONCAT("THEME5=",$B154),SCENARIOS!$A$2,SCENARIOS!$B$2,1,YIELDS!J$1)</f>
        <v>20.260000000000002</v>
      </c>
      <c r="K154" cm="1">
        <f t="array" ref="K154">_xll.VALEURCOURBE($A$27,_xlfn.CONCAT("THEME5=",$B154),SCENARIOS!$A$2,SCENARIOS!$B$2,1,YIELDS!K$1)</f>
        <v>39.78</v>
      </c>
      <c r="L154" cm="1">
        <f t="array" ref="L154">_xll.VALEURCOURBE($A$27,_xlfn.CONCAT("THEME5=",$B154),SCENARIOS!$A$2,SCENARIOS!$B$2,1,YIELDS!L$1)</f>
        <v>57.11</v>
      </c>
      <c r="M154" cm="1">
        <f t="array" ref="M154">_xll.VALEURCOURBE($A$27,_xlfn.CONCAT("THEME5=",$B154),SCENARIOS!$A$2,SCENARIOS!$B$2,1,YIELDS!M$1)</f>
        <v>71.95</v>
      </c>
      <c r="N154" cm="1">
        <f t="array" ref="N154">_xll.VALEURCOURBE($A$27,_xlfn.CONCAT("THEME5=",$B154),SCENARIOS!$A$2,SCENARIOS!$B$2,1,YIELDS!N$1)</f>
        <v>84.92</v>
      </c>
      <c r="O154" cm="1">
        <f t="array" ref="O154">_xll.VALEURCOURBE($A$27,_xlfn.CONCAT("THEME5=",$B154),SCENARIOS!$A$2,SCENARIOS!$B$2,1,YIELDS!O$1)</f>
        <v>96.09</v>
      </c>
      <c r="P154" cm="1">
        <f t="array" ref="P154">_xll.VALEURCOURBE($A$27,_xlfn.CONCAT("THEME5=",$B154),SCENARIOS!$A$2,SCENARIOS!$B$2,1,YIELDS!P$1)</f>
        <v>105.53</v>
      </c>
      <c r="Q154" cm="1">
        <f t="array" ref="Q154">_xll.VALEURCOURBE($A$27,_xlfn.CONCAT("THEME5=",$B154),SCENARIOS!$A$2,SCENARIOS!$B$2,1,YIELDS!Q$1)</f>
        <v>113.34</v>
      </c>
      <c r="R154" cm="1">
        <f t="array" ref="R154">_xll.VALEURCOURBE($A$27,_xlfn.CONCAT("THEME5=",$B154),SCENARIOS!$A$2,SCENARIOS!$B$2,1,YIELDS!R$1)</f>
        <v>119.67</v>
      </c>
      <c r="S154" cm="1">
        <f t="array" ref="S154">_xll.VALEURCOURBE($A$27,_xlfn.CONCAT("THEME5=",$B154),SCENARIOS!$A$2,SCENARIOS!$B$2,1,YIELDS!S$1)</f>
        <v>124.62</v>
      </c>
      <c r="T154" cm="1">
        <f t="array" ref="T154">_xll.VALEURCOURBE($A$27,_xlfn.CONCAT("THEME5=",$B154),SCENARIOS!$A$2,SCENARIOS!$B$2,1,YIELDS!T$1)</f>
        <v>128.30000000000001</v>
      </c>
      <c r="U154" cm="1">
        <f t="array" ref="U154">_xll.VALEURCOURBE($A$27,_xlfn.CONCAT("THEME5=",$B154),SCENARIOS!$A$2,SCENARIOS!$B$2,1,YIELDS!U$1)</f>
        <v>130.83000000000001</v>
      </c>
      <c r="V154" cm="1">
        <f t="array" ref="V154">_xll.VALEURCOURBE($A$27,_xlfn.CONCAT("THEME5=",$B154),SCENARIOS!$A$2,SCENARIOS!$B$2,1,YIELDS!V$1)</f>
        <v>132.34</v>
      </c>
    </row>
    <row r="155" spans="1:22" x14ac:dyDescent="0.25">
      <c r="A155" t="str">
        <v>YTBE2B</v>
      </c>
      <c r="B155" t="str">
        <v>FC8192</v>
      </c>
      <c r="C155" cm="1">
        <f t="array" ref="C155">_xll.VALEURCOURBE($A$27,_xlfn.CONCAT("THEME5=",$B155),SCENARIOS!$A$2,SCENARIOS!$B$2,1,YIELDS!C$1)</f>
        <v>0</v>
      </c>
      <c r="D155" cm="1">
        <f t="array" ref="D155">_xll.VALEURCOURBE($A$27,_xlfn.CONCAT("THEME5=",$B155),SCENARIOS!$A$2,SCENARIOS!$B$2,1,YIELDS!D$1)</f>
        <v>0</v>
      </c>
      <c r="E155" cm="1">
        <f t="array" ref="E155">_xll.VALEURCOURBE($A$27,_xlfn.CONCAT("THEME5=",$B155),SCENARIOS!$A$2,SCENARIOS!$B$2,1,YIELDS!E$1)</f>
        <v>0</v>
      </c>
      <c r="F155" cm="1">
        <f t="array" ref="F155">_xll.VALEURCOURBE($A$27,_xlfn.CONCAT("THEME5=",$B155),SCENARIOS!$A$2,SCENARIOS!$B$2,1,YIELDS!F$1)</f>
        <v>0</v>
      </c>
      <c r="G155" cm="1">
        <f t="array" ref="G155">_xll.VALEURCOURBE($A$27,_xlfn.CONCAT("THEME5=",$B155),SCENARIOS!$A$2,SCENARIOS!$B$2,1,YIELDS!G$1)</f>
        <v>0</v>
      </c>
      <c r="H155" cm="1">
        <f t="array" ref="H155">_xll.VALEURCOURBE($A$27,_xlfn.CONCAT("THEME5=",$B155),SCENARIOS!$A$2,SCENARIOS!$B$2,1,YIELDS!H$1)</f>
        <v>0</v>
      </c>
      <c r="I155" cm="1">
        <f t="array" ref="I155">_xll.VALEURCOURBE($A$27,_xlfn.CONCAT("THEME5=",$B155),SCENARIOS!$A$2,SCENARIOS!$B$2,1,YIELDS!I$1)</f>
        <v>0</v>
      </c>
      <c r="J155" cm="1">
        <f t="array" ref="J155">_xll.VALEURCOURBE($A$27,_xlfn.CONCAT("THEME5=",$B155),SCENARIOS!$A$2,SCENARIOS!$B$2,1,YIELDS!J$1)</f>
        <v>0.12</v>
      </c>
      <c r="K155" cm="1">
        <f t="array" ref="K155">_xll.VALEURCOURBE($A$27,_xlfn.CONCAT("THEME5=",$B155),SCENARIOS!$A$2,SCENARIOS!$B$2,1,YIELDS!K$1)</f>
        <v>1.39</v>
      </c>
      <c r="L155" cm="1">
        <f t="array" ref="L155">_xll.VALEURCOURBE($A$27,_xlfn.CONCAT("THEME5=",$B155),SCENARIOS!$A$2,SCENARIOS!$B$2,1,YIELDS!L$1)</f>
        <v>2.61</v>
      </c>
      <c r="M155" cm="1">
        <f t="array" ref="M155">_xll.VALEURCOURBE($A$27,_xlfn.CONCAT("THEME5=",$B155),SCENARIOS!$A$2,SCENARIOS!$B$2,1,YIELDS!M$1)</f>
        <v>3.75</v>
      </c>
      <c r="N155" cm="1">
        <f t="array" ref="N155">_xll.VALEURCOURBE($A$27,_xlfn.CONCAT("THEME5=",$B155),SCENARIOS!$A$2,SCENARIOS!$B$2,1,YIELDS!N$1)</f>
        <v>4.84</v>
      </c>
      <c r="O155" cm="1">
        <f t="array" ref="O155">_xll.VALEURCOURBE($A$27,_xlfn.CONCAT("THEME5=",$B155),SCENARIOS!$A$2,SCENARIOS!$B$2,1,YIELDS!O$1)</f>
        <v>5.84</v>
      </c>
      <c r="P155" cm="1">
        <f t="array" ref="P155">_xll.VALEURCOURBE($A$27,_xlfn.CONCAT("THEME5=",$B155),SCENARIOS!$A$2,SCENARIOS!$B$2,1,YIELDS!P$1)</f>
        <v>6.78</v>
      </c>
      <c r="Q155" cm="1">
        <f t="array" ref="Q155">_xll.VALEURCOURBE($A$27,_xlfn.CONCAT("THEME5=",$B155),SCENARIOS!$A$2,SCENARIOS!$B$2,1,YIELDS!Q$1)</f>
        <v>7.61</v>
      </c>
      <c r="R155" cm="1">
        <f t="array" ref="R155">_xll.VALEURCOURBE($A$27,_xlfn.CONCAT("THEME5=",$B155),SCENARIOS!$A$2,SCENARIOS!$B$2,1,YIELDS!R$1)</f>
        <v>8.34</v>
      </c>
      <c r="S155" cm="1">
        <f t="array" ref="S155">_xll.VALEURCOURBE($A$27,_xlfn.CONCAT("THEME5=",$B155),SCENARIOS!$A$2,SCENARIOS!$B$2,1,YIELDS!S$1)</f>
        <v>9</v>
      </c>
      <c r="T155" cm="1">
        <f t="array" ref="T155">_xll.VALEURCOURBE($A$27,_xlfn.CONCAT("THEME5=",$B155),SCENARIOS!$A$2,SCENARIOS!$B$2,1,YIELDS!T$1)</f>
        <v>9.5500000000000007</v>
      </c>
      <c r="U155" cm="1">
        <f t="array" ref="U155">_xll.VALEURCOURBE($A$27,_xlfn.CONCAT("THEME5=",$B155),SCENARIOS!$A$2,SCENARIOS!$B$2,1,YIELDS!U$1)</f>
        <v>10.029999999999999</v>
      </c>
      <c r="V155" cm="1">
        <f t="array" ref="V155">_xll.VALEURCOURBE($A$27,_xlfn.CONCAT("THEME5=",$B155),SCENARIOS!$A$2,SCENARIOS!$B$2,1,YIELDS!V$1)</f>
        <v>10.43</v>
      </c>
    </row>
    <row r="156" spans="1:22" x14ac:dyDescent="0.25">
      <c r="A156" t="str">
        <v>YTBE2C</v>
      </c>
      <c r="B156" t="str">
        <v>FC9569</v>
      </c>
      <c r="C156" cm="1">
        <f t="array" ref="C156">_xll.VALEURCOURBE($A$27,_xlfn.CONCAT("THEME5=",$B156),SCENARIOS!$A$2,SCENARIOS!$B$2,1,YIELDS!C$1)</f>
        <v>0</v>
      </c>
      <c r="D156" cm="1">
        <f t="array" ref="D156">_xll.VALEURCOURBE($A$27,_xlfn.CONCAT("THEME5=",$B156),SCENARIOS!$A$2,SCENARIOS!$B$2,1,YIELDS!D$1)</f>
        <v>0</v>
      </c>
      <c r="E156" cm="1">
        <f t="array" ref="E156">_xll.VALEURCOURBE($A$27,_xlfn.CONCAT("THEME5=",$B156),SCENARIOS!$A$2,SCENARIOS!$B$2,1,YIELDS!E$1)</f>
        <v>0</v>
      </c>
      <c r="F156" cm="1">
        <f t="array" ref="F156">_xll.VALEURCOURBE($A$27,_xlfn.CONCAT("THEME5=",$B156),SCENARIOS!$A$2,SCENARIOS!$B$2,1,YIELDS!F$1)</f>
        <v>0</v>
      </c>
      <c r="G156" cm="1">
        <f t="array" ref="G156">_xll.VALEURCOURBE($A$27,_xlfn.CONCAT("THEME5=",$B156),SCENARIOS!$A$2,SCENARIOS!$B$2,1,YIELDS!G$1)</f>
        <v>1.19</v>
      </c>
      <c r="H156" cm="1">
        <f t="array" ref="H156">_xll.VALEURCOURBE($A$27,_xlfn.CONCAT("THEME5=",$B156),SCENARIOS!$A$2,SCENARIOS!$B$2,1,YIELDS!H$1)</f>
        <v>4.63</v>
      </c>
      <c r="I156" cm="1">
        <f t="array" ref="I156">_xll.VALEURCOURBE($A$27,_xlfn.CONCAT("THEME5=",$B156),SCENARIOS!$A$2,SCENARIOS!$B$2,1,YIELDS!I$1)</f>
        <v>8.4499999999999993</v>
      </c>
      <c r="J156" cm="1">
        <f t="array" ref="J156">_xll.VALEURCOURBE($A$27,_xlfn.CONCAT("THEME5=",$B156),SCENARIOS!$A$2,SCENARIOS!$B$2,1,YIELDS!J$1)</f>
        <v>12.66</v>
      </c>
      <c r="K156" cm="1">
        <f t="array" ref="K156">_xll.VALEURCOURBE($A$27,_xlfn.CONCAT("THEME5=",$B156),SCENARIOS!$A$2,SCENARIOS!$B$2,1,YIELDS!K$1)</f>
        <v>16.600000000000001</v>
      </c>
      <c r="L156" cm="1">
        <f t="array" ref="L156">_xll.VALEURCOURBE($A$27,_xlfn.CONCAT("THEME5=",$B156),SCENARIOS!$A$2,SCENARIOS!$B$2,1,YIELDS!L$1)</f>
        <v>20.3</v>
      </c>
      <c r="M156" cm="1">
        <f t="array" ref="M156">_xll.VALEURCOURBE($A$27,_xlfn.CONCAT("THEME5=",$B156),SCENARIOS!$A$2,SCENARIOS!$B$2,1,YIELDS!M$1)</f>
        <v>23.48</v>
      </c>
      <c r="N156" cm="1">
        <f t="array" ref="N156">_xll.VALEURCOURBE($A$27,_xlfn.CONCAT("THEME5=",$B156),SCENARIOS!$A$2,SCENARIOS!$B$2,1,YIELDS!N$1)</f>
        <v>26.8</v>
      </c>
      <c r="O156" cm="1">
        <f t="array" ref="O156">_xll.VALEURCOURBE($A$27,_xlfn.CONCAT("THEME5=",$B156),SCENARIOS!$A$2,SCENARIOS!$B$2,1,YIELDS!O$1)</f>
        <v>29.6</v>
      </c>
      <c r="P156" cm="1">
        <f t="array" ref="P156">_xll.VALEURCOURBE($A$27,_xlfn.CONCAT("THEME5=",$B156),SCENARIOS!$A$2,SCENARIOS!$B$2,1,YIELDS!P$1)</f>
        <v>31.89</v>
      </c>
      <c r="Q156" cm="1">
        <f t="array" ref="Q156">_xll.VALEURCOURBE($A$27,_xlfn.CONCAT("THEME5=",$B156),SCENARIOS!$A$2,SCENARIOS!$B$2,1,YIELDS!Q$1)</f>
        <v>33.549999999999997</v>
      </c>
      <c r="R156" cm="1">
        <f t="array" ref="R156">_xll.VALEURCOURBE($A$27,_xlfn.CONCAT("THEME5=",$B156),SCENARIOS!$A$2,SCENARIOS!$B$2,1,YIELDS!R$1)</f>
        <v>34.57</v>
      </c>
      <c r="S156" cm="1">
        <f t="array" ref="S156">_xll.VALEURCOURBE($A$27,_xlfn.CONCAT("THEME5=",$B156),SCENARIOS!$A$2,SCENARIOS!$B$2,1,YIELDS!S$1)</f>
        <v>34.950000000000003</v>
      </c>
      <c r="T156" cm="1">
        <f t="array" ref="T156">_xll.VALEURCOURBE($A$27,_xlfn.CONCAT("THEME5=",$B156),SCENARIOS!$A$2,SCENARIOS!$B$2,1,YIELDS!T$1)</f>
        <v>34.69</v>
      </c>
      <c r="U156" cm="1">
        <f t="array" ref="U156">_xll.VALEURCOURBE($A$27,_xlfn.CONCAT("THEME5=",$B156),SCENARIOS!$A$2,SCENARIOS!$B$2,1,YIELDS!U$1)</f>
        <v>33.799999999999997</v>
      </c>
      <c r="V156" cm="1">
        <f t="array" ref="V156">_xll.VALEURCOURBE($A$27,_xlfn.CONCAT("THEME5=",$B156),SCENARIOS!$A$2,SCENARIOS!$B$2,1,YIELDS!V$1)</f>
        <v>32.15</v>
      </c>
    </row>
    <row r="157" spans="1:22" x14ac:dyDescent="0.25">
      <c r="A157" t="str">
        <v>YTBE3A</v>
      </c>
      <c r="B157" t="str">
        <v>FC9570</v>
      </c>
      <c r="C157" cm="1">
        <f t="array" ref="C157">_xll.VALEURCOURBE($A$27,_xlfn.CONCAT("THEME5=",$B157),SCENARIOS!$A$2,SCENARIOS!$B$2,1,YIELDS!C$1)</f>
        <v>0</v>
      </c>
      <c r="D157" cm="1">
        <f t="array" ref="D157">_xll.VALEURCOURBE($A$27,_xlfn.CONCAT("THEME5=",$B157),SCENARIOS!$A$2,SCENARIOS!$B$2,1,YIELDS!D$1)</f>
        <v>0</v>
      </c>
      <c r="E157" cm="1">
        <f t="array" ref="E157">_xll.VALEURCOURBE($A$27,_xlfn.CONCAT("THEME5=",$B157),SCENARIOS!$A$2,SCENARIOS!$B$2,1,YIELDS!E$1)</f>
        <v>0</v>
      </c>
      <c r="F157" cm="1">
        <f t="array" ref="F157">_xll.VALEURCOURBE($A$27,_xlfn.CONCAT("THEME5=",$B157),SCENARIOS!$A$2,SCENARIOS!$B$2,1,YIELDS!F$1)</f>
        <v>0</v>
      </c>
      <c r="G157" cm="1">
        <f t="array" ref="G157">_xll.VALEURCOURBE($A$27,_xlfn.CONCAT("THEME5=",$B157),SCENARIOS!$A$2,SCENARIOS!$B$2,1,YIELDS!G$1)</f>
        <v>0</v>
      </c>
      <c r="H157" cm="1">
        <f t="array" ref="H157">_xll.VALEURCOURBE($A$27,_xlfn.CONCAT("THEME5=",$B157),SCENARIOS!$A$2,SCENARIOS!$B$2,1,YIELDS!H$1)</f>
        <v>18.87</v>
      </c>
      <c r="I157" cm="1">
        <f t="array" ref="I157">_xll.VALEURCOURBE($A$27,_xlfn.CONCAT("THEME5=",$B157),SCENARIOS!$A$2,SCENARIOS!$B$2,1,YIELDS!I$1)</f>
        <v>46.03</v>
      </c>
      <c r="J157" cm="1">
        <f t="array" ref="J157">_xll.VALEURCOURBE($A$27,_xlfn.CONCAT("THEME5=",$B157),SCENARIOS!$A$2,SCENARIOS!$B$2,1,YIELDS!J$1)</f>
        <v>73.19</v>
      </c>
      <c r="K157" cm="1">
        <f t="array" ref="K157">_xll.VALEURCOURBE($A$27,_xlfn.CONCAT("THEME5=",$B157),SCENARIOS!$A$2,SCENARIOS!$B$2,1,YIELDS!K$1)</f>
        <v>95.56</v>
      </c>
      <c r="L157" cm="1">
        <f t="array" ref="L157">_xll.VALEURCOURBE($A$27,_xlfn.CONCAT("THEME5=",$B157),SCENARIOS!$A$2,SCENARIOS!$B$2,1,YIELDS!L$1)</f>
        <v>112.34</v>
      </c>
      <c r="M157" cm="1">
        <f t="array" ref="M157">_xll.VALEURCOURBE($A$27,_xlfn.CONCAT("THEME5=",$B157),SCENARIOS!$A$2,SCENARIOS!$B$2,1,YIELDS!M$1)</f>
        <v>125.92</v>
      </c>
      <c r="N157" cm="1">
        <f t="array" ref="N157">_xll.VALEURCOURBE($A$27,_xlfn.CONCAT("THEME5=",$B157),SCENARIOS!$A$2,SCENARIOS!$B$2,1,YIELDS!N$1)</f>
        <v>139.5</v>
      </c>
      <c r="O157" cm="1">
        <f t="array" ref="O157">_xll.VALEURCOURBE($A$27,_xlfn.CONCAT("THEME5=",$B157),SCENARIOS!$A$2,SCENARIOS!$B$2,1,YIELDS!O$1)</f>
        <v>153.88</v>
      </c>
      <c r="P157" cm="1">
        <f t="array" ref="P157">_xll.VALEURCOURBE($A$27,_xlfn.CONCAT("THEME5=",$B157),SCENARIOS!$A$2,SCENARIOS!$B$2,1,YIELDS!P$1)</f>
        <v>165.06</v>
      </c>
      <c r="Q157" cm="1">
        <f t="array" ref="Q157">_xll.VALEURCOURBE($A$27,_xlfn.CONCAT("THEME5=",$B157),SCENARIOS!$A$2,SCENARIOS!$B$2,1,YIELDS!Q$1)</f>
        <v>174.65</v>
      </c>
      <c r="R157" cm="1">
        <f t="array" ref="R157">_xll.VALEURCOURBE($A$27,_xlfn.CONCAT("THEME5=",$B157),SCENARIOS!$A$2,SCENARIOS!$B$2,1,YIELDS!R$1)</f>
        <v>182.64</v>
      </c>
      <c r="S157" cm="1">
        <f t="array" ref="S157">_xll.VALEURCOURBE($A$27,_xlfn.CONCAT("THEME5=",$B157),SCENARIOS!$A$2,SCENARIOS!$B$2,1,YIELDS!S$1)</f>
        <v>189.03</v>
      </c>
      <c r="T157" cm="1">
        <f t="array" ref="T157">_xll.VALEURCOURBE($A$27,_xlfn.CONCAT("THEME5=",$B157),SCENARIOS!$A$2,SCENARIOS!$B$2,1,YIELDS!T$1)</f>
        <v>193.02</v>
      </c>
      <c r="U157" cm="1">
        <f t="array" ref="U157">_xll.VALEURCOURBE($A$27,_xlfn.CONCAT("THEME5=",$B157),SCENARIOS!$A$2,SCENARIOS!$B$2,1,YIELDS!U$1)</f>
        <v>196.22</v>
      </c>
      <c r="V157" cm="1">
        <f t="array" ref="V157">_xll.VALEURCOURBE($A$27,_xlfn.CONCAT("THEME5=",$B157),SCENARIOS!$A$2,SCENARIOS!$B$2,1,YIELDS!V$1)</f>
        <v>197.81</v>
      </c>
    </row>
    <row r="158" spans="1:22" x14ac:dyDescent="0.25">
      <c r="A158" t="str">
        <v>YTBE3B</v>
      </c>
      <c r="B158" t="str">
        <v>FC9571</v>
      </c>
      <c r="C158" cm="1">
        <f t="array" ref="C158">_xll.VALEURCOURBE($A$27,_xlfn.CONCAT("THEME5=",$B158),SCENARIOS!$A$2,SCENARIOS!$B$2,1,YIELDS!C$1)</f>
        <v>0</v>
      </c>
      <c r="D158" cm="1">
        <f t="array" ref="D158">_xll.VALEURCOURBE($A$27,_xlfn.CONCAT("THEME5=",$B158),SCENARIOS!$A$2,SCENARIOS!$B$2,1,YIELDS!D$1)</f>
        <v>0</v>
      </c>
      <c r="E158" cm="1">
        <f t="array" ref="E158">_xll.VALEURCOURBE($A$27,_xlfn.CONCAT("THEME5=",$B158),SCENARIOS!$A$2,SCENARIOS!$B$2,1,YIELDS!E$1)</f>
        <v>0</v>
      </c>
      <c r="F158" cm="1">
        <f t="array" ref="F158">_xll.VALEURCOURBE($A$27,_xlfn.CONCAT("THEME5=",$B158),SCENARIOS!$A$2,SCENARIOS!$B$2,1,YIELDS!F$1)</f>
        <v>0</v>
      </c>
      <c r="G158" cm="1">
        <f t="array" ref="G158">_xll.VALEURCOURBE($A$27,_xlfn.CONCAT("THEME5=",$B158),SCENARIOS!$A$2,SCENARIOS!$B$2,1,YIELDS!G$1)</f>
        <v>0</v>
      </c>
      <c r="H158" cm="1">
        <f t="array" ref="H158">_xll.VALEURCOURBE($A$27,_xlfn.CONCAT("THEME5=",$B158),SCENARIOS!$A$2,SCENARIOS!$B$2,1,YIELDS!H$1)</f>
        <v>0</v>
      </c>
      <c r="I158" cm="1">
        <f t="array" ref="I158">_xll.VALEURCOURBE($A$27,_xlfn.CONCAT("THEME5=",$B158),SCENARIOS!$A$2,SCENARIOS!$B$2,1,YIELDS!I$1)</f>
        <v>0</v>
      </c>
      <c r="J158" cm="1">
        <f t="array" ref="J158">_xll.VALEURCOURBE($A$27,_xlfn.CONCAT("THEME5=",$B158),SCENARIOS!$A$2,SCENARIOS!$B$2,1,YIELDS!J$1)</f>
        <v>0</v>
      </c>
      <c r="K158" cm="1">
        <f t="array" ref="K158">_xll.VALEURCOURBE($A$27,_xlfn.CONCAT("THEME5=",$B158),SCENARIOS!$A$2,SCENARIOS!$B$2,1,YIELDS!K$1)</f>
        <v>0</v>
      </c>
      <c r="L158" cm="1">
        <f t="array" ref="L158">_xll.VALEURCOURBE($A$27,_xlfn.CONCAT("THEME5=",$B158),SCENARIOS!$A$2,SCENARIOS!$B$2,1,YIELDS!L$1)</f>
        <v>5.21</v>
      </c>
      <c r="M158" cm="1">
        <f t="array" ref="M158">_xll.VALEURCOURBE($A$27,_xlfn.CONCAT("THEME5=",$B158),SCENARIOS!$A$2,SCENARIOS!$B$2,1,YIELDS!M$1)</f>
        <v>15.57</v>
      </c>
      <c r="N158" cm="1">
        <f t="array" ref="N158">_xll.VALEURCOURBE($A$27,_xlfn.CONCAT("THEME5=",$B158),SCENARIOS!$A$2,SCENARIOS!$B$2,1,YIELDS!N$1)</f>
        <v>25.66</v>
      </c>
      <c r="O158" cm="1">
        <f t="array" ref="O158">_xll.VALEURCOURBE($A$27,_xlfn.CONCAT("THEME5=",$B158),SCENARIOS!$A$2,SCENARIOS!$B$2,1,YIELDS!O$1)</f>
        <v>35.1</v>
      </c>
      <c r="P158" cm="1">
        <f t="array" ref="P158">_xll.VALEURCOURBE($A$27,_xlfn.CONCAT("THEME5=",$B158),SCENARIOS!$A$2,SCENARIOS!$B$2,1,YIELDS!P$1)</f>
        <v>43.81</v>
      </c>
      <c r="Q158" cm="1">
        <f t="array" ref="Q158">_xll.VALEURCOURBE($A$27,_xlfn.CONCAT("THEME5=",$B158),SCENARIOS!$A$2,SCENARIOS!$B$2,1,YIELDS!Q$1)</f>
        <v>51.75</v>
      </c>
      <c r="R158" cm="1">
        <f t="array" ref="R158">_xll.VALEURCOURBE($A$27,_xlfn.CONCAT("THEME5=",$B158),SCENARIOS!$A$2,SCENARIOS!$B$2,1,YIELDS!R$1)</f>
        <v>58.86</v>
      </c>
      <c r="S158" cm="1">
        <f t="array" ref="S158">_xll.VALEURCOURBE($A$27,_xlfn.CONCAT("THEME5=",$B158),SCENARIOS!$A$2,SCENARIOS!$B$2,1,YIELDS!S$1)</f>
        <v>64.989999999999995</v>
      </c>
      <c r="T158" cm="1">
        <f t="array" ref="T158">_xll.VALEURCOURBE($A$27,_xlfn.CONCAT("THEME5=",$B158),SCENARIOS!$A$2,SCENARIOS!$B$2,1,YIELDS!T$1)</f>
        <v>70.23</v>
      </c>
      <c r="U158" cm="1">
        <f t="array" ref="U158">_xll.VALEURCOURBE($A$27,_xlfn.CONCAT("THEME5=",$B158),SCENARIOS!$A$2,SCENARIOS!$B$2,1,YIELDS!U$1)</f>
        <v>74.73</v>
      </c>
      <c r="V158" cm="1">
        <f t="array" ref="V158">_xll.VALEURCOURBE($A$27,_xlfn.CONCAT("THEME5=",$B158),SCENARIOS!$A$2,SCENARIOS!$B$2,1,YIELDS!V$1)</f>
        <v>78.489999999999995</v>
      </c>
    </row>
    <row r="159" spans="1:22" x14ac:dyDescent="0.25">
      <c r="A159" t="str">
        <v>YTBE3C</v>
      </c>
      <c r="B159" t="str">
        <v>FC9572</v>
      </c>
    </row>
    <row r="160" spans="1:22" x14ac:dyDescent="0.25">
      <c r="A160" t="str">
        <v>YTBE3D</v>
      </c>
      <c r="B160" t="str">
        <v>FC9573</v>
      </c>
    </row>
    <row r="161" spans="1:2" x14ac:dyDescent="0.25">
      <c r="A161" t="str">
        <v>YTBE3E</v>
      </c>
      <c r="B161" t="str">
        <v>FC9574</v>
      </c>
    </row>
    <row r="162" spans="1:2" x14ac:dyDescent="0.25">
      <c r="A162" t="str">
        <v>YTBE4A</v>
      </c>
      <c r="B162" t="str">
        <v>FC9592</v>
      </c>
    </row>
    <row r="163" spans="1:2" x14ac:dyDescent="0.25">
      <c r="A163" t="str">
        <v>YTBE4B</v>
      </c>
      <c r="B163" t="str">
        <v>FC9594</v>
      </c>
    </row>
    <row r="164" spans="1:2" x14ac:dyDescent="0.25">
      <c r="A164" t="str">
        <v>YTBE4C</v>
      </c>
      <c r="B164" t="str">
        <v>FC9595</v>
      </c>
    </row>
    <row r="165" spans="1:2" x14ac:dyDescent="0.25">
      <c r="A165" t="str">
        <v>YTBE4D</v>
      </c>
      <c r="B165" t="str">
        <v>FC9607</v>
      </c>
    </row>
    <row r="166" spans="1:2" x14ac:dyDescent="0.25">
      <c r="A166" t="str">
        <v>YTBE5A</v>
      </c>
      <c r="B166" t="str">
        <v>FC9670</v>
      </c>
    </row>
    <row r="167" spans="1:2" x14ac:dyDescent="0.25">
      <c r="A167" t="str">
        <v>YTBE5B</v>
      </c>
      <c r="B167" t="str">
        <v>FC9697</v>
      </c>
    </row>
    <row r="168" spans="1:2" x14ac:dyDescent="0.25">
      <c r="A168" t="str">
        <v>YTBE5C</v>
      </c>
      <c r="B168" t="str">
        <v>FC9700</v>
      </c>
    </row>
    <row r="169" spans="1:2" x14ac:dyDescent="0.25">
      <c r="A169" t="str">
        <v>YTBE5D</v>
      </c>
      <c r="B169" t="str">
        <v>NA</v>
      </c>
    </row>
    <row r="170" spans="1:2" x14ac:dyDescent="0.25">
      <c r="A170" t="str">
        <v>YTBE5E</v>
      </c>
    </row>
    <row r="171" spans="1:2" x14ac:dyDescent="0.25">
      <c r="A171" t="str">
        <v>YTBEX</v>
      </c>
    </row>
    <row r="172" spans="1:2" x14ac:dyDescent="0.25">
      <c r="A172" t="str">
        <v>YTBEY</v>
      </c>
    </row>
    <row r="173" spans="1:2" x14ac:dyDescent="0.25">
      <c r="A173" t="str">
        <v>YTBE</v>
      </c>
    </row>
    <row r="174" spans="1:2" x14ac:dyDescent="0.25">
      <c r="A174" t="str">
        <v>YOUVERT</v>
      </c>
    </row>
    <row r="175" spans="1:2" x14ac:dyDescent="0.25">
      <c r="A175" t="str">
        <v>YRCP_G_BOJ</v>
      </c>
    </row>
    <row r="176" spans="1:2" x14ac:dyDescent="0.25">
      <c r="A176" t="str">
        <v>YRCP_G_BOP</v>
      </c>
    </row>
    <row r="177" spans="1:1" x14ac:dyDescent="0.25">
      <c r="A177" t="str">
        <v>YRCP_G_EAUF</v>
      </c>
    </row>
    <row r="178" spans="1:1" x14ac:dyDescent="0.25">
      <c r="A178" t="str">
        <v>YRCP_G_ECHCE</v>
      </c>
    </row>
    <row r="179" spans="1:1" x14ac:dyDescent="0.25">
      <c r="A179" t="str">
        <v>YRCP_G_ERR</v>
      </c>
    </row>
    <row r="180" spans="1:1" x14ac:dyDescent="0.25">
      <c r="A180" t="str">
        <v>YRCP_G_ERS</v>
      </c>
    </row>
    <row r="181" spans="1:1" x14ac:dyDescent="0.25">
      <c r="A181" t="str">
        <v>YRCP_G_ETOT</v>
      </c>
    </row>
    <row r="182" spans="1:1" x14ac:dyDescent="0.25">
      <c r="A182" t="str">
        <v>YRCP_G_GEPX</v>
      </c>
    </row>
    <row r="183" spans="1:1" x14ac:dyDescent="0.25">
      <c r="A183" t="str">
        <v>YRCP_G_GPEU</v>
      </c>
    </row>
    <row r="184" spans="1:1" x14ac:dyDescent="0.25">
      <c r="A184" t="str">
        <v>YRCP_G_GPINS</v>
      </c>
    </row>
    <row r="185" spans="1:1" x14ac:dyDescent="0.25">
      <c r="A185" t="str">
        <v>YRCP_G_GPM</v>
      </c>
    </row>
    <row r="186" spans="1:1" x14ac:dyDescent="0.25">
      <c r="A186" t="str">
        <v>YRCP_G_PRU</v>
      </c>
    </row>
    <row r="187" spans="1:1" x14ac:dyDescent="0.25">
      <c r="A187" t="str">
        <v>YRCP_G_SAB</v>
      </c>
    </row>
    <row r="188" spans="1:1" x14ac:dyDescent="0.25">
      <c r="A188" t="str">
        <v>YRCP_G_THO</v>
      </c>
    </row>
    <row r="189" spans="1:1" x14ac:dyDescent="0.25">
      <c r="A189" t="str">
        <v>YVRECCP_G_BOJ</v>
      </c>
    </row>
    <row r="190" spans="1:1" x14ac:dyDescent="0.25">
      <c r="A190" t="str">
        <v>YVRECCP_G_BOP</v>
      </c>
    </row>
    <row r="191" spans="1:1" x14ac:dyDescent="0.25">
      <c r="A191" t="str">
        <v>YVRECCP_G_EAUF</v>
      </c>
    </row>
    <row r="192" spans="1:1" x14ac:dyDescent="0.25">
      <c r="A192" t="str">
        <v>YVRECCP_G_EBOJ</v>
      </c>
    </row>
    <row r="193" spans="1:1" x14ac:dyDescent="0.25">
      <c r="A193" t="str">
        <v>YVRECCP_G_EBOP</v>
      </c>
    </row>
    <row r="194" spans="1:1" x14ac:dyDescent="0.25">
      <c r="A194" t="str">
        <v>YVRECCP_G_ECHCE</v>
      </c>
    </row>
    <row r="195" spans="1:1" x14ac:dyDescent="0.25">
      <c r="A195" t="str">
        <v>YVRECCP_G_ERR</v>
      </c>
    </row>
    <row r="196" spans="1:1" x14ac:dyDescent="0.25">
      <c r="A196" t="str">
        <v>YVRECCP_G_ERS</v>
      </c>
    </row>
    <row r="197" spans="1:1" x14ac:dyDescent="0.25">
      <c r="A197" t="str">
        <v>YVRECCP_G_GEPX</v>
      </c>
    </row>
    <row r="198" spans="1:1" x14ac:dyDescent="0.25">
      <c r="A198" t="str">
        <v>YVRECCP_G_GPEU</v>
      </c>
    </row>
    <row r="199" spans="1:1" x14ac:dyDescent="0.25">
      <c r="A199" t="str">
        <v>YVRECCP_G_GPINS</v>
      </c>
    </row>
    <row r="200" spans="1:1" x14ac:dyDescent="0.25">
      <c r="A200" t="str">
        <v>YVRECCP_G_GPM</v>
      </c>
    </row>
    <row r="201" spans="1:1" x14ac:dyDescent="0.25">
      <c r="A201" t="str">
        <v>YVRECCP_G_PRU</v>
      </c>
    </row>
    <row r="202" spans="1:1" x14ac:dyDescent="0.25">
      <c r="A202" t="str">
        <v>YVRECCP_G_SAB</v>
      </c>
    </row>
    <row r="203" spans="1:1" x14ac:dyDescent="0.25">
      <c r="A203" t="str">
        <v>YCOUTR_CP_EEPX</v>
      </c>
    </row>
    <row r="204" spans="1:1" x14ac:dyDescent="0.25">
      <c r="A204" t="str">
        <v>YCOUTR_CP_EPG</v>
      </c>
    </row>
    <row r="205" spans="1:1" x14ac:dyDescent="0.25">
      <c r="A205" t="str">
        <v>YCOUTR_CP_ESAB</v>
      </c>
    </row>
    <row r="206" spans="1:1" x14ac:dyDescent="0.25">
      <c r="A206" t="str">
        <v>YVRECCP_G_EEPX</v>
      </c>
    </row>
    <row r="207" spans="1:1" x14ac:dyDescent="0.25">
      <c r="A207" t="str">
        <v>YVRECCP_G_EERO</v>
      </c>
    </row>
    <row r="208" spans="1:1" x14ac:dyDescent="0.25">
      <c r="A208" t="str">
        <v>YVRECCP_G_EERS</v>
      </c>
    </row>
    <row r="209" spans="1:1" x14ac:dyDescent="0.25">
      <c r="A209" t="str">
        <v>YVRECCP_G_EML</v>
      </c>
    </row>
    <row r="210" spans="1:1" x14ac:dyDescent="0.25">
      <c r="A210" t="str">
        <v>YVRECCP_G_EPEU</v>
      </c>
    </row>
    <row r="211" spans="1:1" x14ac:dyDescent="0.25">
      <c r="A211" t="str">
        <v>YVRECCP_G_EPG</v>
      </c>
    </row>
    <row r="212" spans="1:1" x14ac:dyDescent="0.25">
      <c r="A212" t="str">
        <v>YVRECCP_G_EPINS</v>
      </c>
    </row>
    <row r="213" spans="1:1" x14ac:dyDescent="0.25">
      <c r="A213" t="str">
        <v>YVRECCP_G_EPRU</v>
      </c>
    </row>
    <row r="214" spans="1:1" x14ac:dyDescent="0.25">
      <c r="A214" t="str">
        <v>YVRECCP_G_ESAB</v>
      </c>
    </row>
    <row r="215" spans="1:1" x14ac:dyDescent="0.25">
      <c r="A215" t="str">
        <v>YVRECCP_G_ETHO</v>
      </c>
    </row>
    <row r="216" spans="1:1" x14ac:dyDescent="0.25">
      <c r="A216" t="str">
        <v>YVRECCP_G_THO</v>
      </c>
    </row>
    <row r="217" spans="1:1" x14ac:dyDescent="0.25">
      <c r="A217" t="str">
        <v>YREVCP_G_EAUF</v>
      </c>
    </row>
    <row r="218" spans="1:1" x14ac:dyDescent="0.25">
      <c r="A218" t="str">
        <v>YREVCP_G_EBOJ</v>
      </c>
    </row>
    <row r="219" spans="1:1" x14ac:dyDescent="0.25">
      <c r="A219" t="str">
        <v>YREVCP_G_EBOP</v>
      </c>
    </row>
    <row r="220" spans="1:1" x14ac:dyDescent="0.25">
      <c r="A220" t="str">
        <v>YREVCP_G_ECHCE</v>
      </c>
    </row>
    <row r="221" spans="1:1" x14ac:dyDescent="0.25">
      <c r="A221" t="str">
        <v>YVMAT_G_EBOP</v>
      </c>
    </row>
    <row r="222" spans="1:1" x14ac:dyDescent="0.25">
      <c r="A222" t="str">
        <v>YVMAT_G_EEPX</v>
      </c>
    </row>
    <row r="223" spans="1:1" x14ac:dyDescent="0.25">
      <c r="A223" t="str">
        <v>YVMAT_G_EERO</v>
      </c>
    </row>
    <row r="224" spans="1:1" x14ac:dyDescent="0.25">
      <c r="A224" t="str">
        <v>YVMAT_G_EERS</v>
      </c>
    </row>
    <row r="225" spans="1:1" x14ac:dyDescent="0.25">
      <c r="A225" t="str">
        <v>YVMAT_G_EML</v>
      </c>
    </row>
    <row r="226" spans="1:1" x14ac:dyDescent="0.25">
      <c r="A226" t="str">
        <v>YVMAT_G_EPEU</v>
      </c>
    </row>
    <row r="227" spans="1:1" x14ac:dyDescent="0.25">
      <c r="A227" t="str">
        <v>YVMAT_G_EPG</v>
      </c>
    </row>
    <row r="228" spans="1:1" x14ac:dyDescent="0.25">
      <c r="A228" t="str">
        <v>YVMAT_G_EPINS</v>
      </c>
    </row>
    <row r="229" spans="1:1" x14ac:dyDescent="0.25">
      <c r="A229" t="str">
        <v>YVRECCP_G_ETOT</v>
      </c>
    </row>
    <row r="230" spans="1:1" x14ac:dyDescent="0.25">
      <c r="A230" t="str">
        <v>YVRECCP_G_ETOT1</v>
      </c>
    </row>
    <row r="231" spans="1:1" x14ac:dyDescent="0.25">
      <c r="A231" t="str">
        <v>YREVCP_G_EEPX</v>
      </c>
    </row>
    <row r="232" spans="1:1" x14ac:dyDescent="0.25">
      <c r="A232" t="str">
        <v>YREVCP_G_EERO</v>
      </c>
    </row>
    <row r="233" spans="1:1" x14ac:dyDescent="0.25">
      <c r="A233" t="str">
        <v>YREVCP_G_EERS</v>
      </c>
    </row>
    <row r="234" spans="1:1" x14ac:dyDescent="0.25">
      <c r="A234" t="str">
        <v>YREVCP_G_EML</v>
      </c>
    </row>
    <row r="235" spans="1:1" x14ac:dyDescent="0.25">
      <c r="A235" t="str">
        <v>YREVCP_G_EPEU</v>
      </c>
    </row>
    <row r="236" spans="1:1" x14ac:dyDescent="0.25">
      <c r="A236" t="str">
        <v>YREVCP_G_EPG</v>
      </c>
    </row>
    <row r="237" spans="1:1" x14ac:dyDescent="0.25">
      <c r="A237" t="str">
        <v>YREVCP_G_EPINS</v>
      </c>
    </row>
    <row r="238" spans="1:1" x14ac:dyDescent="0.25">
      <c r="A238" t="str">
        <v>YREVCP_G_EPRU</v>
      </c>
    </row>
    <row r="239" spans="1:1" x14ac:dyDescent="0.25">
      <c r="A239" t="str">
        <v>YREVCP_G_ESAB</v>
      </c>
    </row>
    <row r="240" spans="1:1" x14ac:dyDescent="0.25">
      <c r="A240" t="str">
        <v>YREVCP_G_ETHO</v>
      </c>
    </row>
    <row r="241" spans="1:1" x14ac:dyDescent="0.25">
      <c r="A241" t="str">
        <v>YREVCP_G_ETOT</v>
      </c>
    </row>
    <row r="242" spans="1:1" x14ac:dyDescent="0.25">
      <c r="A242" t="str">
        <v>YREVCP_G_ETOT1</v>
      </c>
    </row>
    <row r="243" spans="1:1" x14ac:dyDescent="0.25">
      <c r="A243" t="str">
        <v>YVMAT_G_EBOJ</v>
      </c>
    </row>
    <row r="244" spans="1:1" x14ac:dyDescent="0.25">
      <c r="A244" t="str">
        <v>YCOUTR_CP_EML</v>
      </c>
    </row>
    <row r="245" spans="1:1" x14ac:dyDescent="0.25">
      <c r="A245" t="str">
        <v>YVMAT_G_EPRU</v>
      </c>
    </row>
    <row r="246" spans="1:1" x14ac:dyDescent="0.25">
      <c r="A246" t="str">
        <v>YVMAT_G_ESAB</v>
      </c>
    </row>
    <row r="247" spans="1:1" x14ac:dyDescent="0.25">
      <c r="A247" t="str">
        <v>YVMAT_G_ETHO</v>
      </c>
    </row>
    <row r="248" spans="1:1" x14ac:dyDescent="0.25">
      <c r="A248" t="str">
        <v>YVMAT_G_ETOT1</v>
      </c>
    </row>
    <row r="249" spans="1:1" x14ac:dyDescent="0.25">
      <c r="A249" t="str">
        <v>YCOUTA_CP_GAUTRES</v>
      </c>
    </row>
    <row r="250" spans="1:1" x14ac:dyDescent="0.25">
      <c r="A250" t="str">
        <v>YCOUTA_CP_GSEPM</v>
      </c>
    </row>
    <row r="251" spans="1:1" x14ac:dyDescent="0.25">
      <c r="A251" t="str">
        <v>YCOUTREC_CP_GAUTRES</v>
      </c>
    </row>
    <row r="252" spans="1:1" x14ac:dyDescent="0.25">
      <c r="A252" t="str">
        <v>YCOUTREC_CP_GSEPM</v>
      </c>
    </row>
    <row r="253" spans="1:1" x14ac:dyDescent="0.25">
      <c r="A253" t="str">
        <v>YCOUTR_CP_BO</v>
      </c>
    </row>
    <row r="254" spans="1:1" x14ac:dyDescent="0.25">
      <c r="A254" t="str">
        <v>YCOUTR_CP_GAUTRES</v>
      </c>
    </row>
    <row r="255" spans="1:1" x14ac:dyDescent="0.25">
      <c r="A255" t="str">
        <v>YCOUTR_CP_GAUTRESSANSERSBOJ</v>
      </c>
    </row>
    <row r="256" spans="1:1" x14ac:dyDescent="0.25">
      <c r="A256" t="str">
        <v>YCOUTR_CP_GEPX</v>
      </c>
    </row>
    <row r="257" spans="1:1" x14ac:dyDescent="0.25">
      <c r="A257" t="str">
        <v>YCOUTR_CP_GPM</v>
      </c>
    </row>
    <row r="258" spans="1:1" x14ac:dyDescent="0.25">
      <c r="A258" t="str">
        <v>YCOUTR_CP_GSEPM</v>
      </c>
    </row>
    <row r="259" spans="1:1" x14ac:dyDescent="0.25">
      <c r="A259" t="str">
        <v>YCOUTR_CP_SAB</v>
      </c>
    </row>
    <row r="260" spans="1:1" x14ac:dyDescent="0.25">
      <c r="A260" t="str">
        <v>YCOUTR_CP_TRI</v>
      </c>
    </row>
    <row r="261" spans="1:1" x14ac:dyDescent="0.25">
      <c r="A261" t="str">
        <v>YV_G_GAUTRES</v>
      </c>
    </row>
    <row r="262" spans="1:1" x14ac:dyDescent="0.25">
      <c r="A262" t="str">
        <v>YCOUTT_CP_GAUTRES</v>
      </c>
    </row>
    <row r="263" spans="1:1" x14ac:dyDescent="0.25">
      <c r="A263" t="str">
        <v>YCOUTT_CP_GSEPM</v>
      </c>
    </row>
    <row r="264" spans="1:1" x14ac:dyDescent="0.25">
      <c r="A264" t="str">
        <v>YNB_TIGEC</v>
      </c>
    </row>
    <row r="265" spans="1:1" x14ac:dyDescent="0.25">
      <c r="A265" t="str">
        <v>YVMATBO_S</v>
      </c>
    </row>
    <row r="266" spans="1:1" x14ac:dyDescent="0.25">
      <c r="A266" t="str">
        <v>YVMAT_G_BOJ</v>
      </c>
    </row>
    <row r="267" spans="1:1" x14ac:dyDescent="0.25">
      <c r="A267" t="str">
        <v>YVMAT_G_BOP</v>
      </c>
    </row>
    <row r="268" spans="1:1" x14ac:dyDescent="0.25">
      <c r="A268" t="str">
        <v>YVMAT_G_EAUF</v>
      </c>
    </row>
    <row r="269" spans="1:1" x14ac:dyDescent="0.25">
      <c r="A269" t="str">
        <v>YVMAT_G_ECHCE</v>
      </c>
    </row>
    <row r="270" spans="1:1" x14ac:dyDescent="0.25">
      <c r="A270" t="str">
        <v>YVMAT_G_ERR</v>
      </c>
    </row>
    <row r="271" spans="1:1" x14ac:dyDescent="0.25">
      <c r="A271" t="str">
        <v>YVMAT_G_ERS</v>
      </c>
    </row>
    <row r="272" spans="1:1" x14ac:dyDescent="0.25">
      <c r="A272" t="str">
        <v>YVMAT_G_ETOT</v>
      </c>
    </row>
    <row r="273" spans="1:1" x14ac:dyDescent="0.25">
      <c r="A273" t="str">
        <v>YVMAT_G_GAUTRES</v>
      </c>
    </row>
    <row r="274" spans="1:1" x14ac:dyDescent="0.25">
      <c r="A274" t="str">
        <v>YV_G_GTRIBOJ</v>
      </c>
    </row>
    <row r="275" spans="1:1" x14ac:dyDescent="0.25">
      <c r="A275" t="str">
        <v>YV_G_GTRIERS</v>
      </c>
    </row>
    <row r="276" spans="1:1" x14ac:dyDescent="0.25">
      <c r="A276" t="str">
        <v>YVMATTRI_S</v>
      </c>
    </row>
    <row r="277" spans="1:1" x14ac:dyDescent="0.25">
      <c r="A277" t="str">
        <v>YVMAT_G_GAUTRESSANSERSBOJ</v>
      </c>
    </row>
    <row r="278" spans="1:1" x14ac:dyDescent="0.25">
      <c r="A278" t="str">
        <v>YVMAT_G_GBOBOJ</v>
      </c>
    </row>
    <row r="279" spans="1:1" x14ac:dyDescent="0.25">
      <c r="A279" t="str">
        <v>YVMAT_G_GBOERS</v>
      </c>
    </row>
    <row r="280" spans="1:1" x14ac:dyDescent="0.25">
      <c r="A280" t="str">
        <v>YVMAT_G_GEPX</v>
      </c>
    </row>
    <row r="281" spans="1:1" x14ac:dyDescent="0.25">
      <c r="A281" t="str">
        <v>YVMAT_G_GPEU</v>
      </c>
    </row>
    <row r="282" spans="1:1" x14ac:dyDescent="0.25">
      <c r="A282" t="str">
        <v>YVMAT_G_GPINS</v>
      </c>
    </row>
    <row r="283" spans="1:1" x14ac:dyDescent="0.25">
      <c r="A283" t="str">
        <v>YVMAT_G_GPM</v>
      </c>
    </row>
    <row r="284" spans="1:1" x14ac:dyDescent="0.25">
      <c r="A284" t="str">
        <v>YVMAT_G_GSEPM</v>
      </c>
    </row>
    <row r="285" spans="1:1" x14ac:dyDescent="0.25">
      <c r="A285" t="str">
        <v>YVMAT_G_GTRIBOJ</v>
      </c>
    </row>
    <row r="286" spans="1:1" x14ac:dyDescent="0.25">
      <c r="A286" t="str">
        <v>YVMAT_G_GTRIERS</v>
      </c>
    </row>
    <row r="287" spans="1:1" x14ac:dyDescent="0.25">
      <c r="A287" t="str">
        <v>YVMAT_G_PRU</v>
      </c>
    </row>
    <row r="288" spans="1:1" x14ac:dyDescent="0.25">
      <c r="A288" t="str">
        <v>YVMAT_G_SAB</v>
      </c>
    </row>
    <row r="289" spans="1:1" x14ac:dyDescent="0.25">
      <c r="A289" t="str">
        <v>YVMAT_G_THO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D0C8-76FE-4D81-B74B-73E6784AF656}">
  <sheetPr codeName="Feuil4"/>
  <dimension ref="A1:AF109"/>
  <sheetViews>
    <sheetView workbookViewId="0">
      <selection activeCell="D2" sqref="D2:D16"/>
    </sheetView>
  </sheetViews>
  <sheetFormatPr baseColWidth="10" defaultRowHeight="15" x14ac:dyDescent="0.25"/>
  <sheetData>
    <row r="1" spans="1:32" x14ac:dyDescent="0.25">
      <c r="A1" t="s">
        <v>10</v>
      </c>
      <c r="B1" t="s">
        <v>11</v>
      </c>
      <c r="C1" cm="1">
        <f t="array" ref="C1:AF1">_xll.PERIODES(SCENARIOS!A2,SCENARIOS!B2,FALSE)</f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 spans="1:32" x14ac:dyDescent="0.25">
      <c r="A2" t="s">
        <v>12</v>
      </c>
      <c r="B2" t="str" cm="1">
        <f t="array" ref="B2:B16">_xll.NOMATTRIBUTS(14,"?",SCENARIOS!A2,SCENARIOS!B2)</f>
        <v>C00001</v>
      </c>
      <c r="C2">
        <v>1</v>
      </c>
      <c r="D2">
        <v>1</v>
      </c>
      <c r="E2" cm="1">
        <f t="array" ref="E2">_xll.VALEURCOURBE($A$2,_xlfn.CONCAT("THEME14=",$B2),SCENARIOS!$A$2,SCENARIOS!$B$2,YIELDS_youvert!E$1,0)</f>
        <v>1</v>
      </c>
      <c r="F2" cm="1">
        <f t="array" ref="F2">_xll.VALEURCOURBE($A$2,_xlfn.CONCAT("THEME14=",$B2),SCENARIOS!$A$2,SCENARIOS!$B$2,YIELDS_youvert!F$1,0)</f>
        <v>1</v>
      </c>
      <c r="G2" cm="1">
        <f t="array" ref="G2">_xll.VALEURCOURBE($A$2,_xlfn.CONCAT("THEME14=",$B2),SCENARIOS!$A$2,SCENARIOS!$B$2,YIELDS_youvert!G$1,0)</f>
        <v>1</v>
      </c>
      <c r="H2" cm="1">
        <f t="array" ref="H2">_xll.VALEURCOURBE($A$2,_xlfn.CONCAT("THEME14=",$B2),SCENARIOS!$A$2,SCENARIOS!$B$2,YIELDS_youvert!H$1,0)</f>
        <v>1</v>
      </c>
      <c r="I2" cm="1">
        <f t="array" ref="I2">_xll.VALEURCOURBE($A$2,_xlfn.CONCAT("THEME14=",$B2),SCENARIOS!$A$2,SCENARIOS!$B$2,YIELDS_youvert!I$1,0)</f>
        <v>1</v>
      </c>
      <c r="J2" cm="1">
        <f t="array" ref="J2">_xll.VALEURCOURBE($A$2,_xlfn.CONCAT("THEME14=",$B2),SCENARIOS!$A$2,SCENARIOS!$B$2,YIELDS_youvert!J$1,0)</f>
        <v>1</v>
      </c>
      <c r="K2" cm="1">
        <f t="array" ref="K2">_xll.VALEURCOURBE($A$2,_xlfn.CONCAT("THEME14=",$B2),SCENARIOS!$A$2,SCENARIOS!$B$2,YIELDS_youvert!K$1,0)</f>
        <v>1</v>
      </c>
      <c r="L2" cm="1">
        <f t="array" ref="L2">_xll.VALEURCOURBE($A$2,_xlfn.CONCAT("THEME14=",$B2),SCENARIOS!$A$2,SCENARIOS!$B$2,YIELDS_youvert!L$1,0)</f>
        <v>1</v>
      </c>
      <c r="M2" cm="1">
        <f t="array" ref="M2">_xll.VALEURCOURBE($A$2,_xlfn.CONCAT("THEME14=",$B2),SCENARIOS!$A$2,SCENARIOS!$B$2,YIELDS_youvert!M$1,0)</f>
        <v>1</v>
      </c>
      <c r="N2" cm="1">
        <f t="array" ref="N2">_xll.VALEURCOURBE($A$2,_xlfn.CONCAT("THEME14=",$B2),SCENARIOS!$A$2,SCENARIOS!$B$2,YIELDS_youvert!N$1,0)</f>
        <v>1</v>
      </c>
      <c r="O2" cm="1">
        <f t="array" ref="O2">_xll.VALEURCOURBE($A$2,_xlfn.CONCAT("THEME14=",$B2),SCENARIOS!$A$2,SCENARIOS!$B$2,YIELDS_youvert!O$1,0)</f>
        <v>1</v>
      </c>
      <c r="P2" cm="1">
        <f t="array" ref="P2">_xll.VALEURCOURBE($A$2,_xlfn.CONCAT("THEME14=",$B2),SCENARIOS!$A$2,SCENARIOS!$B$2,YIELDS_youvert!P$1,0)</f>
        <v>1</v>
      </c>
      <c r="Q2" cm="1">
        <f t="array" ref="Q2">_xll.VALEURCOURBE($A$2,_xlfn.CONCAT("THEME14=",$B2),SCENARIOS!$A$2,SCENARIOS!$B$2,YIELDS_youvert!Q$1,0)</f>
        <v>1</v>
      </c>
      <c r="R2" cm="1">
        <f t="array" ref="R2">_xll.VALEURCOURBE($A$2,_xlfn.CONCAT("THEME14=",$B2),SCENARIOS!$A$2,SCENARIOS!$B$2,YIELDS_youvert!R$1,0)</f>
        <v>1</v>
      </c>
      <c r="S2" cm="1">
        <f t="array" ref="S2">_xll.VALEURCOURBE($A$2,_xlfn.CONCAT("THEME14=",$B2),SCENARIOS!$A$2,SCENARIOS!$B$2,YIELDS_youvert!S$1,0)</f>
        <v>1</v>
      </c>
      <c r="T2" cm="1">
        <f t="array" ref="T2">_xll.VALEURCOURBE($A$2,_xlfn.CONCAT("THEME14=",$B2),SCENARIOS!$A$2,SCENARIOS!$B$2,YIELDS_youvert!T$1,0)</f>
        <v>1</v>
      </c>
      <c r="U2" cm="1">
        <f t="array" ref="U2">_xll.VALEURCOURBE($A$2,_xlfn.CONCAT("THEME14=",$B2),SCENARIOS!$A$2,SCENARIOS!$B$2,YIELDS_youvert!U$1,0)</f>
        <v>1</v>
      </c>
      <c r="V2" cm="1">
        <f t="array" ref="V2">_xll.VALEURCOURBE($A$2,_xlfn.CONCAT("THEME14=",$B2),SCENARIOS!$A$2,SCENARIOS!$B$2,YIELDS_youvert!V$1,0)</f>
        <v>1</v>
      </c>
      <c r="W2" cm="1">
        <f t="array" ref="W2">_xll.VALEURCOURBE($A$2,_xlfn.CONCAT("THEME14=",$B2),SCENARIOS!$A$2,SCENARIOS!$B$2,YIELDS_youvert!W$1,0)</f>
        <v>1</v>
      </c>
      <c r="X2" cm="1">
        <f t="array" ref="X2">_xll.VALEURCOURBE($A$2,_xlfn.CONCAT("THEME14=",$B2),SCENARIOS!$A$2,SCENARIOS!$B$2,YIELDS_youvert!X$1,0)</f>
        <v>1</v>
      </c>
      <c r="Y2" cm="1">
        <f t="array" ref="Y2">_xll.VALEURCOURBE($A$2,_xlfn.CONCAT("THEME14=",$B2),SCENARIOS!$A$2,SCENARIOS!$B$2,YIELDS_youvert!Y$1,0)</f>
        <v>1</v>
      </c>
      <c r="Z2" cm="1">
        <f t="array" ref="Z2">_xll.VALEURCOURBE($A$2,_xlfn.CONCAT("THEME14=",$B2),SCENARIOS!$A$2,SCENARIOS!$B$2,YIELDS_youvert!Z$1,0)</f>
        <v>1</v>
      </c>
      <c r="AA2" cm="1">
        <f t="array" ref="AA2">_xll.VALEURCOURBE($A$2,_xlfn.CONCAT("THEME14=",$B2),SCENARIOS!$A$2,SCENARIOS!$B$2,YIELDS_youvert!AA$1,0)</f>
        <v>1</v>
      </c>
      <c r="AB2" cm="1">
        <f t="array" ref="AB2">_xll.VALEURCOURBE($A$2,_xlfn.CONCAT("THEME14=",$B2),SCENARIOS!$A$2,SCENARIOS!$B$2,YIELDS_youvert!AB$1,0)</f>
        <v>1</v>
      </c>
      <c r="AC2" cm="1">
        <f t="array" ref="AC2">_xll.VALEURCOURBE($A$2,_xlfn.CONCAT("THEME14=",$B2),SCENARIOS!$A$2,SCENARIOS!$B$2,YIELDS_youvert!AC$1,0)</f>
        <v>1</v>
      </c>
      <c r="AD2" cm="1">
        <f t="array" ref="AD2">_xll.VALEURCOURBE($A$2,_xlfn.CONCAT("THEME14=",$B2),SCENARIOS!$A$2,SCENARIOS!$B$2,YIELDS_youvert!AD$1,0)</f>
        <v>1</v>
      </c>
      <c r="AE2" cm="1">
        <f t="array" ref="AE2">_xll.VALEURCOURBE($A$2,_xlfn.CONCAT("THEME14=",$B2),SCENARIOS!$A$2,SCENARIOS!$B$2,YIELDS_youvert!AE$1,0)</f>
        <v>1</v>
      </c>
    </row>
    <row r="3" spans="1:32" x14ac:dyDescent="0.25">
      <c r="B3" t="str">
        <v>C00002</v>
      </c>
      <c r="C3">
        <v>2</v>
      </c>
      <c r="D3">
        <v>2</v>
      </c>
      <c r="E3" cm="1">
        <f t="array" ref="E3">_xll.VALEURCOURBE($A$2,_xlfn.CONCAT("THEME14=",$B3),SCENARIOS!$A$2,SCENARIOS!$B$2,YIELDS_youvert!E$1,0)</f>
        <v>1</v>
      </c>
      <c r="F3" cm="1">
        <f t="array" ref="F3">_xll.VALEURCOURBE($A$2,_xlfn.CONCAT("THEME14=",$B3),SCENARIOS!$A$2,SCENARIOS!$B$2,YIELDS_youvert!F$1,0)</f>
        <v>1</v>
      </c>
      <c r="G3" cm="1">
        <f t="array" ref="G3">_xll.VALEURCOURBE($A$2,_xlfn.CONCAT("THEME14=",$B3),SCENARIOS!$A$2,SCENARIOS!$B$2,YIELDS_youvert!G$1,0)</f>
        <v>1</v>
      </c>
      <c r="H3" cm="1">
        <f t="array" ref="H3">_xll.VALEURCOURBE($A$2,_xlfn.CONCAT("THEME14=",$B3),SCENARIOS!$A$2,SCENARIOS!$B$2,YIELDS_youvert!H$1,0)</f>
        <v>1</v>
      </c>
      <c r="I3" cm="1">
        <f t="array" ref="I3">_xll.VALEURCOURBE($A$2,_xlfn.CONCAT("THEME14=",$B3),SCENARIOS!$A$2,SCENARIOS!$B$2,YIELDS_youvert!I$1,0)</f>
        <v>1</v>
      </c>
      <c r="J3" cm="1">
        <f t="array" ref="J3">_xll.VALEURCOURBE($A$2,_xlfn.CONCAT("THEME14=",$B3),SCENARIOS!$A$2,SCENARIOS!$B$2,YIELDS_youvert!J$1,0)</f>
        <v>1</v>
      </c>
      <c r="K3" cm="1">
        <f t="array" ref="K3">_xll.VALEURCOURBE($A$2,_xlfn.CONCAT("THEME14=",$B3),SCENARIOS!$A$2,SCENARIOS!$B$2,YIELDS_youvert!K$1,0)</f>
        <v>1</v>
      </c>
      <c r="L3" cm="1">
        <f t="array" ref="L3">_xll.VALEURCOURBE($A$2,_xlfn.CONCAT("THEME14=",$B3),SCENARIOS!$A$2,SCENARIOS!$B$2,YIELDS_youvert!L$1,0)</f>
        <v>1</v>
      </c>
      <c r="M3" cm="1">
        <f t="array" ref="M3">_xll.VALEURCOURBE($A$2,_xlfn.CONCAT("THEME14=",$B3),SCENARIOS!$A$2,SCENARIOS!$B$2,YIELDS_youvert!M$1,0)</f>
        <v>1</v>
      </c>
      <c r="N3" cm="1">
        <f t="array" ref="N3">_xll.VALEURCOURBE($A$2,_xlfn.CONCAT("THEME14=",$B3),SCENARIOS!$A$2,SCENARIOS!$B$2,YIELDS_youvert!N$1,0)</f>
        <v>1</v>
      </c>
      <c r="O3" cm="1">
        <f t="array" ref="O3">_xll.VALEURCOURBE($A$2,_xlfn.CONCAT("THEME14=",$B3),SCENARIOS!$A$2,SCENARIOS!$B$2,YIELDS_youvert!O$1,0)</f>
        <v>1</v>
      </c>
      <c r="P3" cm="1">
        <f t="array" ref="P3">_xll.VALEURCOURBE($A$2,_xlfn.CONCAT("THEME14=",$B3),SCENARIOS!$A$2,SCENARIOS!$B$2,YIELDS_youvert!P$1,0)</f>
        <v>1</v>
      </c>
      <c r="Q3" cm="1">
        <f t="array" ref="Q3">_xll.VALEURCOURBE($A$2,_xlfn.CONCAT("THEME14=",$B3),SCENARIOS!$A$2,SCENARIOS!$B$2,YIELDS_youvert!Q$1,0)</f>
        <v>1</v>
      </c>
      <c r="R3" cm="1">
        <f t="array" ref="R3">_xll.VALEURCOURBE($A$2,_xlfn.CONCAT("THEME14=",$B3),SCENARIOS!$A$2,SCENARIOS!$B$2,YIELDS_youvert!R$1,0)</f>
        <v>1</v>
      </c>
      <c r="S3" cm="1">
        <f t="array" ref="S3">_xll.VALEURCOURBE($A$2,_xlfn.CONCAT("THEME14=",$B3),SCENARIOS!$A$2,SCENARIOS!$B$2,YIELDS_youvert!S$1,0)</f>
        <v>1</v>
      </c>
      <c r="T3" cm="1">
        <f t="array" ref="T3">_xll.VALEURCOURBE($A$2,_xlfn.CONCAT("THEME14=",$B3),SCENARIOS!$A$2,SCENARIOS!$B$2,YIELDS_youvert!T$1,0)</f>
        <v>1</v>
      </c>
      <c r="U3" cm="1">
        <f t="array" ref="U3">_xll.VALEURCOURBE($A$2,_xlfn.CONCAT("THEME14=",$B3),SCENARIOS!$A$2,SCENARIOS!$B$2,YIELDS_youvert!U$1,0)</f>
        <v>1</v>
      </c>
      <c r="V3" cm="1">
        <f t="array" ref="V3">_xll.VALEURCOURBE($A$2,_xlfn.CONCAT("THEME14=",$B3),SCENARIOS!$A$2,SCENARIOS!$B$2,YIELDS_youvert!V$1,0)</f>
        <v>1</v>
      </c>
      <c r="W3" cm="1">
        <f t="array" ref="W3">_xll.VALEURCOURBE($A$2,_xlfn.CONCAT("THEME14=",$B3),SCENARIOS!$A$2,SCENARIOS!$B$2,YIELDS_youvert!W$1,0)</f>
        <v>1</v>
      </c>
      <c r="X3" cm="1">
        <f t="array" ref="X3">_xll.VALEURCOURBE($A$2,_xlfn.CONCAT("THEME14=",$B3),SCENARIOS!$A$2,SCENARIOS!$B$2,YIELDS_youvert!X$1,0)</f>
        <v>1</v>
      </c>
      <c r="Y3" cm="1">
        <f t="array" ref="Y3">_xll.VALEURCOURBE($A$2,_xlfn.CONCAT("THEME14=",$B3),SCENARIOS!$A$2,SCENARIOS!$B$2,YIELDS_youvert!Y$1,0)</f>
        <v>1</v>
      </c>
      <c r="Z3" cm="1">
        <f t="array" ref="Z3">_xll.VALEURCOURBE($A$2,_xlfn.CONCAT("THEME14=",$B3),SCENARIOS!$A$2,SCENARIOS!$B$2,YIELDS_youvert!Z$1,0)</f>
        <v>1</v>
      </c>
      <c r="AA3" cm="1">
        <f t="array" ref="AA3">_xll.VALEURCOURBE($A$2,_xlfn.CONCAT("THEME14=",$B3),SCENARIOS!$A$2,SCENARIOS!$B$2,YIELDS_youvert!AA$1,0)</f>
        <v>1</v>
      </c>
      <c r="AB3" cm="1">
        <f t="array" ref="AB3">_xll.VALEURCOURBE($A$2,_xlfn.CONCAT("THEME14=",$B3),SCENARIOS!$A$2,SCENARIOS!$B$2,YIELDS_youvert!AB$1,0)</f>
        <v>1</v>
      </c>
      <c r="AC3" cm="1">
        <f t="array" ref="AC3">_xll.VALEURCOURBE($A$2,_xlfn.CONCAT("THEME14=",$B3),SCENARIOS!$A$2,SCENARIOS!$B$2,YIELDS_youvert!AC$1,0)</f>
        <v>1</v>
      </c>
      <c r="AD3" cm="1">
        <f t="array" ref="AD3">_xll.VALEURCOURBE($A$2,_xlfn.CONCAT("THEME14=",$B3),SCENARIOS!$A$2,SCENARIOS!$B$2,YIELDS_youvert!AD$1,0)</f>
        <v>1</v>
      </c>
      <c r="AE3" cm="1">
        <f t="array" ref="AE3">_xll.VALEURCOURBE($A$2,_xlfn.CONCAT("THEME14=",$B3),SCENARIOS!$A$2,SCENARIOS!$B$2,YIELDS_youvert!AE$1,0)</f>
        <v>1</v>
      </c>
    </row>
    <row r="4" spans="1:32" x14ac:dyDescent="0.25">
      <c r="B4" t="str">
        <v>C00003</v>
      </c>
      <c r="C4">
        <v>3</v>
      </c>
      <c r="D4">
        <v>3</v>
      </c>
      <c r="E4" cm="1">
        <f t="array" ref="E4">_xll.VALEURCOURBE($A$2,_xlfn.CONCAT("THEME14=",$B4),SCENARIOS!$A$2,SCENARIOS!$B$2,YIELDS_youvert!E$1,0)</f>
        <v>1</v>
      </c>
      <c r="F4" cm="1">
        <f t="array" ref="F4">_xll.VALEURCOURBE($A$2,_xlfn.CONCAT("THEME14=",$B4),SCENARIOS!$A$2,SCENARIOS!$B$2,YIELDS_youvert!F$1,0)</f>
        <v>1</v>
      </c>
      <c r="G4" cm="1">
        <f t="array" ref="G4">_xll.VALEURCOURBE($A$2,_xlfn.CONCAT("THEME14=",$B4),SCENARIOS!$A$2,SCENARIOS!$B$2,YIELDS_youvert!G$1,0)</f>
        <v>1</v>
      </c>
      <c r="H4" cm="1">
        <f t="array" ref="H4">_xll.VALEURCOURBE($A$2,_xlfn.CONCAT("THEME14=",$B4),SCENARIOS!$A$2,SCENARIOS!$B$2,YIELDS_youvert!H$1,0)</f>
        <v>1</v>
      </c>
      <c r="I4" cm="1">
        <f t="array" ref="I4">_xll.VALEURCOURBE($A$2,_xlfn.CONCAT("THEME14=",$B4),SCENARIOS!$A$2,SCENARIOS!$B$2,YIELDS_youvert!I$1,0)</f>
        <v>1</v>
      </c>
      <c r="J4" cm="1">
        <f t="array" ref="J4">_xll.VALEURCOURBE($A$2,_xlfn.CONCAT("THEME14=",$B4),SCENARIOS!$A$2,SCENARIOS!$B$2,YIELDS_youvert!J$1,0)</f>
        <v>1</v>
      </c>
      <c r="K4" cm="1">
        <f t="array" ref="K4">_xll.VALEURCOURBE($A$2,_xlfn.CONCAT("THEME14=",$B4),SCENARIOS!$A$2,SCENARIOS!$B$2,YIELDS_youvert!K$1,0)</f>
        <v>1</v>
      </c>
      <c r="L4" cm="1">
        <f t="array" ref="L4">_xll.VALEURCOURBE($A$2,_xlfn.CONCAT("THEME14=",$B4),SCENARIOS!$A$2,SCENARIOS!$B$2,YIELDS_youvert!L$1,0)</f>
        <v>1</v>
      </c>
      <c r="M4" cm="1">
        <f t="array" ref="M4">_xll.VALEURCOURBE($A$2,_xlfn.CONCAT("THEME14=",$B4),SCENARIOS!$A$2,SCENARIOS!$B$2,YIELDS_youvert!M$1,0)</f>
        <v>1</v>
      </c>
      <c r="N4" cm="1">
        <f t="array" ref="N4">_xll.VALEURCOURBE($A$2,_xlfn.CONCAT("THEME14=",$B4),SCENARIOS!$A$2,SCENARIOS!$B$2,YIELDS_youvert!N$1,0)</f>
        <v>1</v>
      </c>
      <c r="O4" cm="1">
        <f t="array" ref="O4">_xll.VALEURCOURBE($A$2,_xlfn.CONCAT("THEME14=",$B4),SCENARIOS!$A$2,SCENARIOS!$B$2,YIELDS_youvert!O$1,0)</f>
        <v>1</v>
      </c>
      <c r="P4" cm="1">
        <f t="array" ref="P4">_xll.VALEURCOURBE($A$2,_xlfn.CONCAT("THEME14=",$B4),SCENARIOS!$A$2,SCENARIOS!$B$2,YIELDS_youvert!P$1,0)</f>
        <v>1</v>
      </c>
      <c r="Q4" cm="1">
        <f t="array" ref="Q4">_xll.VALEURCOURBE($A$2,_xlfn.CONCAT("THEME14=",$B4),SCENARIOS!$A$2,SCENARIOS!$B$2,YIELDS_youvert!Q$1,0)</f>
        <v>1</v>
      </c>
      <c r="R4" cm="1">
        <f t="array" ref="R4">_xll.VALEURCOURBE($A$2,_xlfn.CONCAT("THEME14=",$B4),SCENARIOS!$A$2,SCENARIOS!$B$2,YIELDS_youvert!R$1,0)</f>
        <v>1</v>
      </c>
      <c r="S4" cm="1">
        <f t="array" ref="S4">_xll.VALEURCOURBE($A$2,_xlfn.CONCAT("THEME14=",$B4),SCENARIOS!$A$2,SCENARIOS!$B$2,YIELDS_youvert!S$1,0)</f>
        <v>1</v>
      </c>
      <c r="T4" cm="1">
        <f t="array" ref="T4">_xll.VALEURCOURBE($A$2,_xlfn.CONCAT("THEME14=",$B4),SCENARIOS!$A$2,SCENARIOS!$B$2,YIELDS_youvert!T$1,0)</f>
        <v>1</v>
      </c>
      <c r="U4" cm="1">
        <f t="array" ref="U4">_xll.VALEURCOURBE($A$2,_xlfn.CONCAT("THEME14=",$B4),SCENARIOS!$A$2,SCENARIOS!$B$2,YIELDS_youvert!U$1,0)</f>
        <v>1</v>
      </c>
      <c r="V4" cm="1">
        <f t="array" ref="V4">_xll.VALEURCOURBE($A$2,_xlfn.CONCAT("THEME14=",$B4),SCENARIOS!$A$2,SCENARIOS!$B$2,YIELDS_youvert!V$1,0)</f>
        <v>1</v>
      </c>
      <c r="W4" cm="1">
        <f t="array" ref="W4">_xll.VALEURCOURBE($A$2,_xlfn.CONCAT("THEME14=",$B4),SCENARIOS!$A$2,SCENARIOS!$B$2,YIELDS_youvert!W$1,0)</f>
        <v>1</v>
      </c>
      <c r="X4" cm="1">
        <f t="array" ref="X4">_xll.VALEURCOURBE($A$2,_xlfn.CONCAT("THEME14=",$B4),SCENARIOS!$A$2,SCENARIOS!$B$2,YIELDS_youvert!X$1,0)</f>
        <v>1</v>
      </c>
      <c r="Y4" cm="1">
        <f t="array" ref="Y4">_xll.VALEURCOURBE($A$2,_xlfn.CONCAT("THEME14=",$B4),SCENARIOS!$A$2,SCENARIOS!$B$2,YIELDS_youvert!Y$1,0)</f>
        <v>1</v>
      </c>
      <c r="Z4" cm="1">
        <f t="array" ref="Z4">_xll.VALEURCOURBE($A$2,_xlfn.CONCAT("THEME14=",$B4),SCENARIOS!$A$2,SCENARIOS!$B$2,YIELDS_youvert!Z$1,0)</f>
        <v>1</v>
      </c>
      <c r="AA4" cm="1">
        <f t="array" ref="AA4">_xll.VALEURCOURBE($A$2,_xlfn.CONCAT("THEME14=",$B4),SCENARIOS!$A$2,SCENARIOS!$B$2,YIELDS_youvert!AA$1,0)</f>
        <v>1</v>
      </c>
      <c r="AB4" cm="1">
        <f t="array" ref="AB4">_xll.VALEURCOURBE($A$2,_xlfn.CONCAT("THEME14=",$B4),SCENARIOS!$A$2,SCENARIOS!$B$2,YIELDS_youvert!AB$1,0)</f>
        <v>1</v>
      </c>
      <c r="AC4" cm="1">
        <f t="array" ref="AC4">_xll.VALEURCOURBE($A$2,_xlfn.CONCAT("THEME14=",$B4),SCENARIOS!$A$2,SCENARIOS!$B$2,YIELDS_youvert!AC$1,0)</f>
        <v>1</v>
      </c>
      <c r="AD4" cm="1">
        <f t="array" ref="AD4">_xll.VALEURCOURBE($A$2,_xlfn.CONCAT("THEME14=",$B4),SCENARIOS!$A$2,SCENARIOS!$B$2,YIELDS_youvert!AD$1,0)</f>
        <v>1</v>
      </c>
      <c r="AE4" cm="1">
        <f t="array" ref="AE4">_xll.VALEURCOURBE($A$2,_xlfn.CONCAT("THEME14=",$B4),SCENARIOS!$A$2,SCENARIOS!$B$2,YIELDS_youvert!AE$1,0)</f>
        <v>1</v>
      </c>
    </row>
    <row r="5" spans="1:32" x14ac:dyDescent="0.25">
      <c r="B5" t="str">
        <v>C00004</v>
      </c>
      <c r="C5" cm="1">
        <f t="array" ref="C5">_xll.VALEURCOURBE($A$2,_xlfn.CONCAT("THEME14=",$B5),SCENARIOS!$A$2,SCENARIOS!$B$2,YIELDS_youvert!C$1,0)</f>
        <v>1</v>
      </c>
      <c r="D5">
        <v>4</v>
      </c>
      <c r="E5" cm="1">
        <f t="array" ref="E5">_xll.VALEURCOURBE($A$2,_xlfn.CONCAT("THEME14=",$B5),SCENARIOS!$A$2,SCENARIOS!$B$2,YIELDS_youvert!E$1,0)</f>
        <v>1</v>
      </c>
      <c r="F5" cm="1">
        <f t="array" ref="F5">_xll.VALEURCOURBE($A$2,_xlfn.CONCAT("THEME14=",$B5),SCENARIOS!$A$2,SCENARIOS!$B$2,YIELDS_youvert!F$1,0)</f>
        <v>1</v>
      </c>
      <c r="G5" cm="1">
        <f t="array" ref="G5">_xll.VALEURCOURBE($A$2,_xlfn.CONCAT("THEME14=",$B5),SCENARIOS!$A$2,SCENARIOS!$B$2,YIELDS_youvert!G$1,0)</f>
        <v>1</v>
      </c>
      <c r="H5" cm="1">
        <f t="array" ref="H5">_xll.VALEURCOURBE($A$2,_xlfn.CONCAT("THEME14=",$B5),SCENARIOS!$A$2,SCENARIOS!$B$2,YIELDS_youvert!H$1,0)</f>
        <v>1</v>
      </c>
      <c r="I5" cm="1">
        <f t="array" ref="I5">_xll.VALEURCOURBE($A$2,_xlfn.CONCAT("THEME14=",$B5),SCENARIOS!$A$2,SCENARIOS!$B$2,YIELDS_youvert!I$1,0)</f>
        <v>1</v>
      </c>
      <c r="J5" cm="1">
        <f t="array" ref="J5">_xll.VALEURCOURBE($A$2,_xlfn.CONCAT("THEME14=",$B5),SCENARIOS!$A$2,SCENARIOS!$B$2,YIELDS_youvert!J$1,0)</f>
        <v>1</v>
      </c>
      <c r="K5" cm="1">
        <f t="array" ref="K5">_xll.VALEURCOURBE($A$2,_xlfn.CONCAT("THEME14=",$B5),SCENARIOS!$A$2,SCENARIOS!$B$2,YIELDS_youvert!K$1,0)</f>
        <v>1</v>
      </c>
      <c r="L5" cm="1">
        <f t="array" ref="L5">_xll.VALEURCOURBE($A$2,_xlfn.CONCAT("THEME14=",$B5),SCENARIOS!$A$2,SCENARIOS!$B$2,YIELDS_youvert!L$1,0)</f>
        <v>1</v>
      </c>
      <c r="M5" cm="1">
        <f t="array" ref="M5">_xll.VALEURCOURBE($A$2,_xlfn.CONCAT("THEME14=",$B5),SCENARIOS!$A$2,SCENARIOS!$B$2,YIELDS_youvert!M$1,0)</f>
        <v>1</v>
      </c>
      <c r="N5" cm="1">
        <f t="array" ref="N5">_xll.VALEURCOURBE($A$2,_xlfn.CONCAT("THEME14=",$B5),SCENARIOS!$A$2,SCENARIOS!$B$2,YIELDS_youvert!N$1,0)</f>
        <v>1</v>
      </c>
      <c r="O5" cm="1">
        <f t="array" ref="O5">_xll.VALEURCOURBE($A$2,_xlfn.CONCAT("THEME14=",$B5),SCENARIOS!$A$2,SCENARIOS!$B$2,YIELDS_youvert!O$1,0)</f>
        <v>1</v>
      </c>
      <c r="P5" cm="1">
        <f t="array" ref="P5">_xll.VALEURCOURBE($A$2,_xlfn.CONCAT("THEME14=",$B5),SCENARIOS!$A$2,SCENARIOS!$B$2,YIELDS_youvert!P$1,0)</f>
        <v>1</v>
      </c>
      <c r="Q5" cm="1">
        <f t="array" ref="Q5">_xll.VALEURCOURBE($A$2,_xlfn.CONCAT("THEME14=",$B5),SCENARIOS!$A$2,SCENARIOS!$B$2,YIELDS_youvert!Q$1,0)</f>
        <v>1</v>
      </c>
      <c r="R5" cm="1">
        <f t="array" ref="R5">_xll.VALEURCOURBE($A$2,_xlfn.CONCAT("THEME14=",$B5),SCENARIOS!$A$2,SCENARIOS!$B$2,YIELDS_youvert!R$1,0)</f>
        <v>1</v>
      </c>
      <c r="S5" cm="1">
        <f t="array" ref="S5">_xll.VALEURCOURBE($A$2,_xlfn.CONCAT("THEME14=",$B5),SCENARIOS!$A$2,SCENARIOS!$B$2,YIELDS_youvert!S$1,0)</f>
        <v>1</v>
      </c>
      <c r="T5" cm="1">
        <f t="array" ref="T5">_xll.VALEURCOURBE($A$2,_xlfn.CONCAT("THEME14=",$B5),SCENARIOS!$A$2,SCENARIOS!$B$2,YIELDS_youvert!T$1,0)</f>
        <v>1</v>
      </c>
      <c r="U5" cm="1">
        <f t="array" ref="U5">_xll.VALEURCOURBE($A$2,_xlfn.CONCAT("THEME14=",$B5),SCENARIOS!$A$2,SCENARIOS!$B$2,YIELDS_youvert!U$1,0)</f>
        <v>1</v>
      </c>
      <c r="V5" cm="1">
        <f t="array" ref="V5">_xll.VALEURCOURBE($A$2,_xlfn.CONCAT("THEME14=",$B5),SCENARIOS!$A$2,SCENARIOS!$B$2,YIELDS_youvert!V$1,0)</f>
        <v>1</v>
      </c>
      <c r="W5" cm="1">
        <f t="array" ref="W5">_xll.VALEURCOURBE($A$2,_xlfn.CONCAT("THEME14=",$B5),SCENARIOS!$A$2,SCENARIOS!$B$2,YIELDS_youvert!W$1,0)</f>
        <v>1</v>
      </c>
      <c r="X5" cm="1">
        <f t="array" ref="X5">_xll.VALEURCOURBE($A$2,_xlfn.CONCAT("THEME14=",$B5),SCENARIOS!$A$2,SCENARIOS!$B$2,YIELDS_youvert!X$1,0)</f>
        <v>1</v>
      </c>
      <c r="Y5" cm="1">
        <f t="array" ref="Y5">_xll.VALEURCOURBE($A$2,_xlfn.CONCAT("THEME14=",$B5),SCENARIOS!$A$2,SCENARIOS!$B$2,YIELDS_youvert!Y$1,0)</f>
        <v>1</v>
      </c>
      <c r="Z5" cm="1">
        <f t="array" ref="Z5">_xll.VALEURCOURBE($A$2,_xlfn.CONCAT("THEME14=",$B5),SCENARIOS!$A$2,SCENARIOS!$B$2,YIELDS_youvert!Z$1,0)</f>
        <v>1</v>
      </c>
      <c r="AA5" cm="1">
        <f t="array" ref="AA5">_xll.VALEURCOURBE($A$2,_xlfn.CONCAT("THEME14=",$B5),SCENARIOS!$A$2,SCENARIOS!$B$2,YIELDS_youvert!AA$1,0)</f>
        <v>1</v>
      </c>
      <c r="AB5" cm="1">
        <f t="array" ref="AB5">_xll.VALEURCOURBE($A$2,_xlfn.CONCAT("THEME14=",$B5),SCENARIOS!$A$2,SCENARIOS!$B$2,YIELDS_youvert!AB$1,0)</f>
        <v>1</v>
      </c>
      <c r="AC5" cm="1">
        <f t="array" ref="AC5">_xll.VALEURCOURBE($A$2,_xlfn.CONCAT("THEME14=",$B5),SCENARIOS!$A$2,SCENARIOS!$B$2,YIELDS_youvert!AC$1,0)</f>
        <v>1</v>
      </c>
      <c r="AD5" cm="1">
        <f t="array" ref="AD5">_xll.VALEURCOURBE($A$2,_xlfn.CONCAT("THEME14=",$B5),SCENARIOS!$A$2,SCENARIOS!$B$2,YIELDS_youvert!AD$1,0)</f>
        <v>1</v>
      </c>
      <c r="AE5" cm="1">
        <f t="array" ref="AE5">_xll.VALEURCOURBE($A$2,_xlfn.CONCAT("THEME14=",$B5),SCENARIOS!$A$2,SCENARIOS!$B$2,YIELDS_youvert!AE$1,0)</f>
        <v>1</v>
      </c>
    </row>
    <row r="6" spans="1:32" x14ac:dyDescent="0.25">
      <c r="B6" t="str">
        <v>C00005</v>
      </c>
      <c r="C6" cm="1">
        <f t="array" ref="C6">_xll.VALEURCOURBE($A$2,_xlfn.CONCAT("THEME14=",$B6),SCENARIOS!$A$2,SCENARIOS!$B$2,YIELDS_youvert!C$1,0)</f>
        <v>1</v>
      </c>
      <c r="D6">
        <v>5</v>
      </c>
      <c r="E6" cm="1">
        <f t="array" ref="E6">_xll.VALEURCOURBE($A$2,_xlfn.CONCAT("THEME14=",$B6),SCENARIOS!$A$2,SCENARIOS!$B$2,YIELDS_youvert!E$1,0)</f>
        <v>1</v>
      </c>
      <c r="F6" cm="1">
        <f t="array" ref="F6">_xll.VALEURCOURBE($A$2,_xlfn.CONCAT("THEME14=",$B6),SCENARIOS!$A$2,SCENARIOS!$B$2,YIELDS_youvert!F$1,0)</f>
        <v>1</v>
      </c>
      <c r="G6" cm="1">
        <f t="array" ref="G6">_xll.VALEURCOURBE($A$2,_xlfn.CONCAT("THEME14=",$B6),SCENARIOS!$A$2,SCENARIOS!$B$2,YIELDS_youvert!G$1,0)</f>
        <v>1</v>
      </c>
      <c r="H6" cm="1">
        <f t="array" ref="H6">_xll.VALEURCOURBE($A$2,_xlfn.CONCAT("THEME14=",$B6),SCENARIOS!$A$2,SCENARIOS!$B$2,YIELDS_youvert!H$1,0)</f>
        <v>1</v>
      </c>
      <c r="I6" cm="1">
        <f t="array" ref="I6">_xll.VALEURCOURBE($A$2,_xlfn.CONCAT("THEME14=",$B6),SCENARIOS!$A$2,SCENARIOS!$B$2,YIELDS_youvert!I$1,0)</f>
        <v>1</v>
      </c>
      <c r="J6" cm="1">
        <f t="array" ref="J6">_xll.VALEURCOURBE($A$2,_xlfn.CONCAT("THEME14=",$B6),SCENARIOS!$A$2,SCENARIOS!$B$2,YIELDS_youvert!J$1,0)</f>
        <v>1</v>
      </c>
      <c r="K6" cm="1">
        <f t="array" ref="K6">_xll.VALEURCOURBE($A$2,_xlfn.CONCAT("THEME14=",$B6),SCENARIOS!$A$2,SCENARIOS!$B$2,YIELDS_youvert!K$1,0)</f>
        <v>1</v>
      </c>
      <c r="L6" cm="1">
        <f t="array" ref="L6">_xll.VALEURCOURBE($A$2,_xlfn.CONCAT("THEME14=",$B6),SCENARIOS!$A$2,SCENARIOS!$B$2,YIELDS_youvert!L$1,0)</f>
        <v>1</v>
      </c>
      <c r="M6" cm="1">
        <f t="array" ref="M6">_xll.VALEURCOURBE($A$2,_xlfn.CONCAT("THEME14=",$B6),SCENARIOS!$A$2,SCENARIOS!$B$2,YIELDS_youvert!M$1,0)</f>
        <v>1</v>
      </c>
      <c r="N6" cm="1">
        <f t="array" ref="N6">_xll.VALEURCOURBE($A$2,_xlfn.CONCAT("THEME14=",$B6),SCENARIOS!$A$2,SCENARIOS!$B$2,YIELDS_youvert!N$1,0)</f>
        <v>1</v>
      </c>
      <c r="O6" cm="1">
        <f t="array" ref="O6">_xll.VALEURCOURBE($A$2,_xlfn.CONCAT("THEME14=",$B6),SCENARIOS!$A$2,SCENARIOS!$B$2,YIELDS_youvert!O$1,0)</f>
        <v>1</v>
      </c>
      <c r="P6" cm="1">
        <f t="array" ref="P6">_xll.VALEURCOURBE($A$2,_xlfn.CONCAT("THEME14=",$B6),SCENARIOS!$A$2,SCENARIOS!$B$2,YIELDS_youvert!P$1,0)</f>
        <v>1</v>
      </c>
      <c r="Q6" cm="1">
        <f t="array" ref="Q6">_xll.VALEURCOURBE($A$2,_xlfn.CONCAT("THEME14=",$B6),SCENARIOS!$A$2,SCENARIOS!$B$2,YIELDS_youvert!Q$1,0)</f>
        <v>1</v>
      </c>
      <c r="R6" cm="1">
        <f t="array" ref="R6">_xll.VALEURCOURBE($A$2,_xlfn.CONCAT("THEME14=",$B6),SCENARIOS!$A$2,SCENARIOS!$B$2,YIELDS_youvert!R$1,0)</f>
        <v>1</v>
      </c>
      <c r="S6" cm="1">
        <f t="array" ref="S6">_xll.VALEURCOURBE($A$2,_xlfn.CONCAT("THEME14=",$B6),SCENARIOS!$A$2,SCENARIOS!$B$2,YIELDS_youvert!S$1,0)</f>
        <v>1</v>
      </c>
      <c r="T6" cm="1">
        <f t="array" ref="T6">_xll.VALEURCOURBE($A$2,_xlfn.CONCAT("THEME14=",$B6),SCENARIOS!$A$2,SCENARIOS!$B$2,YIELDS_youvert!T$1,0)</f>
        <v>1</v>
      </c>
      <c r="U6" cm="1">
        <f t="array" ref="U6">_xll.VALEURCOURBE($A$2,_xlfn.CONCAT("THEME14=",$B6),SCENARIOS!$A$2,SCENARIOS!$B$2,YIELDS_youvert!U$1,0)</f>
        <v>1</v>
      </c>
      <c r="V6" cm="1">
        <f t="array" ref="V6">_xll.VALEURCOURBE($A$2,_xlfn.CONCAT("THEME14=",$B6),SCENARIOS!$A$2,SCENARIOS!$B$2,YIELDS_youvert!V$1,0)</f>
        <v>1</v>
      </c>
      <c r="W6" cm="1">
        <f t="array" ref="W6">_xll.VALEURCOURBE($A$2,_xlfn.CONCAT("THEME14=",$B6),SCENARIOS!$A$2,SCENARIOS!$B$2,YIELDS_youvert!W$1,0)</f>
        <v>1</v>
      </c>
      <c r="X6" cm="1">
        <f t="array" ref="X6">_xll.VALEURCOURBE($A$2,_xlfn.CONCAT("THEME14=",$B6),SCENARIOS!$A$2,SCENARIOS!$B$2,YIELDS_youvert!X$1,0)</f>
        <v>1</v>
      </c>
      <c r="Y6" cm="1">
        <f t="array" ref="Y6">_xll.VALEURCOURBE($A$2,_xlfn.CONCAT("THEME14=",$B6),SCENARIOS!$A$2,SCENARIOS!$B$2,YIELDS_youvert!Y$1,0)</f>
        <v>1</v>
      </c>
      <c r="Z6" cm="1">
        <f t="array" ref="Z6">_xll.VALEURCOURBE($A$2,_xlfn.CONCAT("THEME14=",$B6),SCENARIOS!$A$2,SCENARIOS!$B$2,YIELDS_youvert!Z$1,0)</f>
        <v>1</v>
      </c>
      <c r="AA6" cm="1">
        <f t="array" ref="AA6">_xll.VALEURCOURBE($A$2,_xlfn.CONCAT("THEME14=",$B6),SCENARIOS!$A$2,SCENARIOS!$B$2,YIELDS_youvert!AA$1,0)</f>
        <v>1</v>
      </c>
      <c r="AB6" cm="1">
        <f t="array" ref="AB6">_xll.VALEURCOURBE($A$2,_xlfn.CONCAT("THEME14=",$B6),SCENARIOS!$A$2,SCENARIOS!$B$2,YIELDS_youvert!AB$1,0)</f>
        <v>1</v>
      </c>
      <c r="AC6" cm="1">
        <f t="array" ref="AC6">_xll.VALEURCOURBE($A$2,_xlfn.CONCAT("THEME14=",$B6),SCENARIOS!$A$2,SCENARIOS!$B$2,YIELDS_youvert!AC$1,0)</f>
        <v>1</v>
      </c>
      <c r="AD6" cm="1">
        <f t="array" ref="AD6">_xll.VALEURCOURBE($A$2,_xlfn.CONCAT("THEME14=",$B6),SCENARIOS!$A$2,SCENARIOS!$B$2,YIELDS_youvert!AD$1,0)</f>
        <v>1</v>
      </c>
      <c r="AE6" cm="1">
        <f t="array" ref="AE6">_xll.VALEURCOURBE($A$2,_xlfn.CONCAT("THEME14=",$B6),SCENARIOS!$A$2,SCENARIOS!$B$2,YIELDS_youvert!AE$1,0)</f>
        <v>1</v>
      </c>
    </row>
    <row r="7" spans="1:32" x14ac:dyDescent="0.25">
      <c r="B7" t="str">
        <v>C00006</v>
      </c>
      <c r="C7" cm="1">
        <f t="array" ref="C7">_xll.VALEURCOURBE($A$2,_xlfn.CONCAT("THEME14=",$B7),SCENARIOS!$A$2,SCENARIOS!$B$2,YIELDS_youvert!C$1,0)</f>
        <v>1</v>
      </c>
      <c r="D7">
        <v>6</v>
      </c>
      <c r="E7" cm="1">
        <f t="array" ref="E7">_xll.VALEURCOURBE($A$2,_xlfn.CONCAT("THEME14=",$B7),SCENARIOS!$A$2,SCENARIOS!$B$2,YIELDS_youvert!E$1,0)</f>
        <v>1</v>
      </c>
      <c r="F7" cm="1">
        <f t="array" ref="F7">_xll.VALEURCOURBE($A$2,_xlfn.CONCAT("THEME14=",$B7),SCENARIOS!$A$2,SCENARIOS!$B$2,YIELDS_youvert!F$1,0)</f>
        <v>1</v>
      </c>
      <c r="G7" cm="1">
        <f t="array" ref="G7">_xll.VALEURCOURBE($A$2,_xlfn.CONCAT("THEME14=",$B7),SCENARIOS!$A$2,SCENARIOS!$B$2,YIELDS_youvert!G$1,0)</f>
        <v>1</v>
      </c>
      <c r="H7" cm="1">
        <f t="array" ref="H7">_xll.VALEURCOURBE($A$2,_xlfn.CONCAT("THEME14=",$B7),SCENARIOS!$A$2,SCENARIOS!$B$2,YIELDS_youvert!H$1,0)</f>
        <v>1</v>
      </c>
      <c r="I7" cm="1">
        <f t="array" ref="I7">_xll.VALEURCOURBE($A$2,_xlfn.CONCAT("THEME14=",$B7),SCENARIOS!$A$2,SCENARIOS!$B$2,YIELDS_youvert!I$1,0)</f>
        <v>1</v>
      </c>
      <c r="J7" cm="1">
        <f t="array" ref="J7">_xll.VALEURCOURBE($A$2,_xlfn.CONCAT("THEME14=",$B7),SCENARIOS!$A$2,SCENARIOS!$B$2,YIELDS_youvert!J$1,0)</f>
        <v>1</v>
      </c>
      <c r="K7" cm="1">
        <f t="array" ref="K7">_xll.VALEURCOURBE($A$2,_xlfn.CONCAT("THEME14=",$B7),SCENARIOS!$A$2,SCENARIOS!$B$2,YIELDS_youvert!K$1,0)</f>
        <v>1</v>
      </c>
      <c r="L7" cm="1">
        <f t="array" ref="L7">_xll.VALEURCOURBE($A$2,_xlfn.CONCAT("THEME14=",$B7),SCENARIOS!$A$2,SCENARIOS!$B$2,YIELDS_youvert!L$1,0)</f>
        <v>1</v>
      </c>
      <c r="M7" cm="1">
        <f t="array" ref="M7">_xll.VALEURCOURBE($A$2,_xlfn.CONCAT("THEME14=",$B7),SCENARIOS!$A$2,SCENARIOS!$B$2,YIELDS_youvert!M$1,0)</f>
        <v>1</v>
      </c>
      <c r="N7" cm="1">
        <f t="array" ref="N7">_xll.VALEURCOURBE($A$2,_xlfn.CONCAT("THEME14=",$B7),SCENARIOS!$A$2,SCENARIOS!$B$2,YIELDS_youvert!N$1,0)</f>
        <v>1</v>
      </c>
      <c r="O7" cm="1">
        <f t="array" ref="O7">_xll.VALEURCOURBE($A$2,_xlfn.CONCAT("THEME14=",$B7),SCENARIOS!$A$2,SCENARIOS!$B$2,YIELDS_youvert!O$1,0)</f>
        <v>1</v>
      </c>
      <c r="P7" cm="1">
        <f t="array" ref="P7">_xll.VALEURCOURBE($A$2,_xlfn.CONCAT("THEME14=",$B7),SCENARIOS!$A$2,SCENARIOS!$B$2,YIELDS_youvert!P$1,0)</f>
        <v>1</v>
      </c>
      <c r="Q7" cm="1">
        <f t="array" ref="Q7">_xll.VALEURCOURBE($A$2,_xlfn.CONCAT("THEME14=",$B7),SCENARIOS!$A$2,SCENARIOS!$B$2,YIELDS_youvert!Q$1,0)</f>
        <v>1</v>
      </c>
      <c r="R7" cm="1">
        <f t="array" ref="R7">_xll.VALEURCOURBE($A$2,_xlfn.CONCAT("THEME14=",$B7),SCENARIOS!$A$2,SCENARIOS!$B$2,YIELDS_youvert!R$1,0)</f>
        <v>1</v>
      </c>
      <c r="S7" cm="1">
        <f t="array" ref="S7">_xll.VALEURCOURBE($A$2,_xlfn.CONCAT("THEME14=",$B7),SCENARIOS!$A$2,SCENARIOS!$B$2,YIELDS_youvert!S$1,0)</f>
        <v>1</v>
      </c>
      <c r="T7" cm="1">
        <f t="array" ref="T7">_xll.VALEURCOURBE($A$2,_xlfn.CONCAT("THEME14=",$B7),SCENARIOS!$A$2,SCENARIOS!$B$2,YIELDS_youvert!T$1,0)</f>
        <v>1</v>
      </c>
      <c r="U7" cm="1">
        <f t="array" ref="U7">_xll.VALEURCOURBE($A$2,_xlfn.CONCAT("THEME14=",$B7),SCENARIOS!$A$2,SCENARIOS!$B$2,YIELDS_youvert!U$1,0)</f>
        <v>1</v>
      </c>
      <c r="V7" cm="1">
        <f t="array" ref="V7">_xll.VALEURCOURBE($A$2,_xlfn.CONCAT("THEME14=",$B7),SCENARIOS!$A$2,SCENARIOS!$B$2,YIELDS_youvert!V$1,0)</f>
        <v>1</v>
      </c>
      <c r="W7" cm="1">
        <f t="array" ref="W7">_xll.VALEURCOURBE($A$2,_xlfn.CONCAT("THEME14=",$B7),SCENARIOS!$A$2,SCENARIOS!$B$2,YIELDS_youvert!W$1,0)</f>
        <v>1</v>
      </c>
      <c r="X7" cm="1">
        <f t="array" ref="X7">_xll.VALEURCOURBE($A$2,_xlfn.CONCAT("THEME14=",$B7),SCENARIOS!$A$2,SCENARIOS!$B$2,YIELDS_youvert!X$1,0)</f>
        <v>1</v>
      </c>
      <c r="Y7" cm="1">
        <f t="array" ref="Y7">_xll.VALEURCOURBE($A$2,_xlfn.CONCAT("THEME14=",$B7),SCENARIOS!$A$2,SCENARIOS!$B$2,YIELDS_youvert!Y$1,0)</f>
        <v>1</v>
      </c>
      <c r="Z7" cm="1">
        <f t="array" ref="Z7">_xll.VALEURCOURBE($A$2,_xlfn.CONCAT("THEME14=",$B7),SCENARIOS!$A$2,SCENARIOS!$B$2,YIELDS_youvert!Z$1,0)</f>
        <v>1</v>
      </c>
      <c r="AA7" cm="1">
        <f t="array" ref="AA7">_xll.VALEURCOURBE($A$2,_xlfn.CONCAT("THEME14=",$B7),SCENARIOS!$A$2,SCENARIOS!$B$2,YIELDS_youvert!AA$1,0)</f>
        <v>1</v>
      </c>
      <c r="AB7" cm="1">
        <f t="array" ref="AB7">_xll.VALEURCOURBE($A$2,_xlfn.CONCAT("THEME14=",$B7),SCENARIOS!$A$2,SCENARIOS!$B$2,YIELDS_youvert!AB$1,0)</f>
        <v>1</v>
      </c>
      <c r="AC7" cm="1">
        <f t="array" ref="AC7">_xll.VALEURCOURBE($A$2,_xlfn.CONCAT("THEME14=",$B7),SCENARIOS!$A$2,SCENARIOS!$B$2,YIELDS_youvert!AC$1,0)</f>
        <v>1</v>
      </c>
      <c r="AD7" cm="1">
        <f t="array" ref="AD7">_xll.VALEURCOURBE($A$2,_xlfn.CONCAT("THEME14=",$B7),SCENARIOS!$A$2,SCENARIOS!$B$2,YIELDS_youvert!AD$1,0)</f>
        <v>1</v>
      </c>
      <c r="AE7" cm="1">
        <f t="array" ref="AE7">_xll.VALEURCOURBE($A$2,_xlfn.CONCAT("THEME14=",$B7),SCENARIOS!$A$2,SCENARIOS!$B$2,YIELDS_youvert!AE$1,0)</f>
        <v>1</v>
      </c>
    </row>
    <row r="8" spans="1:32" x14ac:dyDescent="0.25">
      <c r="B8" t="str">
        <v>C00007</v>
      </c>
      <c r="C8" cm="1">
        <f t="array" ref="C8">_xll.VALEURCOURBE($A$2,_xlfn.CONCAT("THEME14=",$B8),SCENARIOS!$A$2,SCENARIOS!$B$2,YIELDS_youvert!C$1,0)</f>
        <v>1</v>
      </c>
      <c r="D8">
        <v>7</v>
      </c>
      <c r="E8" cm="1">
        <f t="array" ref="E8">_xll.VALEURCOURBE($A$2,_xlfn.CONCAT("THEME14=",$B8),SCENARIOS!$A$2,SCENARIOS!$B$2,YIELDS_youvert!E$1,0)</f>
        <v>1</v>
      </c>
      <c r="F8" cm="1">
        <f t="array" ref="F8">_xll.VALEURCOURBE($A$2,_xlfn.CONCAT("THEME14=",$B8),SCENARIOS!$A$2,SCENARIOS!$B$2,YIELDS_youvert!F$1,0)</f>
        <v>1</v>
      </c>
      <c r="G8" cm="1">
        <f t="array" ref="G8">_xll.VALEURCOURBE($A$2,_xlfn.CONCAT("THEME14=",$B8),SCENARIOS!$A$2,SCENARIOS!$B$2,YIELDS_youvert!G$1,0)</f>
        <v>1</v>
      </c>
      <c r="H8" cm="1">
        <f t="array" ref="H8">_xll.VALEURCOURBE($A$2,_xlfn.CONCAT("THEME14=",$B8),SCENARIOS!$A$2,SCENARIOS!$B$2,YIELDS_youvert!H$1,0)</f>
        <v>1</v>
      </c>
      <c r="I8" cm="1">
        <f t="array" ref="I8">_xll.VALEURCOURBE($A$2,_xlfn.CONCAT("THEME14=",$B8),SCENARIOS!$A$2,SCENARIOS!$B$2,YIELDS_youvert!I$1,0)</f>
        <v>1</v>
      </c>
      <c r="J8" cm="1">
        <f t="array" ref="J8">_xll.VALEURCOURBE($A$2,_xlfn.CONCAT("THEME14=",$B8),SCENARIOS!$A$2,SCENARIOS!$B$2,YIELDS_youvert!J$1,0)</f>
        <v>1</v>
      </c>
      <c r="K8" cm="1">
        <f t="array" ref="K8">_xll.VALEURCOURBE($A$2,_xlfn.CONCAT("THEME14=",$B8),SCENARIOS!$A$2,SCENARIOS!$B$2,YIELDS_youvert!K$1,0)</f>
        <v>1</v>
      </c>
      <c r="L8" cm="1">
        <f t="array" ref="L8">_xll.VALEURCOURBE($A$2,_xlfn.CONCAT("THEME14=",$B8),SCENARIOS!$A$2,SCENARIOS!$B$2,YIELDS_youvert!L$1,0)</f>
        <v>1</v>
      </c>
      <c r="M8" cm="1">
        <f t="array" ref="M8">_xll.VALEURCOURBE($A$2,_xlfn.CONCAT("THEME14=",$B8),SCENARIOS!$A$2,SCENARIOS!$B$2,YIELDS_youvert!M$1,0)</f>
        <v>1</v>
      </c>
      <c r="N8" cm="1">
        <f t="array" ref="N8">_xll.VALEURCOURBE($A$2,_xlfn.CONCAT("THEME14=",$B8),SCENARIOS!$A$2,SCENARIOS!$B$2,YIELDS_youvert!N$1,0)</f>
        <v>1</v>
      </c>
      <c r="O8" cm="1">
        <f t="array" ref="O8">_xll.VALEURCOURBE($A$2,_xlfn.CONCAT("THEME14=",$B8),SCENARIOS!$A$2,SCENARIOS!$B$2,YIELDS_youvert!O$1,0)</f>
        <v>1</v>
      </c>
      <c r="P8" cm="1">
        <f t="array" ref="P8">_xll.VALEURCOURBE($A$2,_xlfn.CONCAT("THEME14=",$B8),SCENARIOS!$A$2,SCENARIOS!$B$2,YIELDS_youvert!P$1,0)</f>
        <v>1</v>
      </c>
      <c r="Q8" cm="1">
        <f t="array" ref="Q8">_xll.VALEURCOURBE($A$2,_xlfn.CONCAT("THEME14=",$B8),SCENARIOS!$A$2,SCENARIOS!$B$2,YIELDS_youvert!Q$1,0)</f>
        <v>1</v>
      </c>
      <c r="R8" cm="1">
        <f t="array" ref="R8">_xll.VALEURCOURBE($A$2,_xlfn.CONCAT("THEME14=",$B8),SCENARIOS!$A$2,SCENARIOS!$B$2,YIELDS_youvert!R$1,0)</f>
        <v>1</v>
      </c>
      <c r="S8" cm="1">
        <f t="array" ref="S8">_xll.VALEURCOURBE($A$2,_xlfn.CONCAT("THEME14=",$B8),SCENARIOS!$A$2,SCENARIOS!$B$2,YIELDS_youvert!S$1,0)</f>
        <v>1</v>
      </c>
      <c r="T8" cm="1">
        <f t="array" ref="T8">_xll.VALEURCOURBE($A$2,_xlfn.CONCAT("THEME14=",$B8),SCENARIOS!$A$2,SCENARIOS!$B$2,YIELDS_youvert!T$1,0)</f>
        <v>1</v>
      </c>
      <c r="U8" cm="1">
        <f t="array" ref="U8">_xll.VALEURCOURBE($A$2,_xlfn.CONCAT("THEME14=",$B8),SCENARIOS!$A$2,SCENARIOS!$B$2,YIELDS_youvert!U$1,0)</f>
        <v>1</v>
      </c>
      <c r="V8" cm="1">
        <f t="array" ref="V8">_xll.VALEURCOURBE($A$2,_xlfn.CONCAT("THEME14=",$B8),SCENARIOS!$A$2,SCENARIOS!$B$2,YIELDS_youvert!V$1,0)</f>
        <v>1</v>
      </c>
      <c r="W8" cm="1">
        <f t="array" ref="W8">_xll.VALEURCOURBE($A$2,_xlfn.CONCAT("THEME14=",$B8),SCENARIOS!$A$2,SCENARIOS!$B$2,YIELDS_youvert!W$1,0)</f>
        <v>1</v>
      </c>
      <c r="X8" cm="1">
        <f t="array" ref="X8">_xll.VALEURCOURBE($A$2,_xlfn.CONCAT("THEME14=",$B8),SCENARIOS!$A$2,SCENARIOS!$B$2,YIELDS_youvert!X$1,0)</f>
        <v>1</v>
      </c>
      <c r="Y8" cm="1">
        <f t="array" ref="Y8">_xll.VALEURCOURBE($A$2,_xlfn.CONCAT("THEME14=",$B8),SCENARIOS!$A$2,SCENARIOS!$B$2,YIELDS_youvert!Y$1,0)</f>
        <v>1</v>
      </c>
      <c r="Z8" cm="1">
        <f t="array" ref="Z8">_xll.VALEURCOURBE($A$2,_xlfn.CONCAT("THEME14=",$B8),SCENARIOS!$A$2,SCENARIOS!$B$2,YIELDS_youvert!Z$1,0)</f>
        <v>1</v>
      </c>
      <c r="AA8" cm="1">
        <f t="array" ref="AA8">_xll.VALEURCOURBE($A$2,_xlfn.CONCAT("THEME14=",$B8),SCENARIOS!$A$2,SCENARIOS!$B$2,YIELDS_youvert!AA$1,0)</f>
        <v>1</v>
      </c>
      <c r="AB8" cm="1">
        <f t="array" ref="AB8">_xll.VALEURCOURBE($A$2,_xlfn.CONCAT("THEME14=",$B8),SCENARIOS!$A$2,SCENARIOS!$B$2,YIELDS_youvert!AB$1,0)</f>
        <v>1</v>
      </c>
      <c r="AC8" cm="1">
        <f t="array" ref="AC8">_xll.VALEURCOURBE($A$2,_xlfn.CONCAT("THEME14=",$B8),SCENARIOS!$A$2,SCENARIOS!$B$2,YIELDS_youvert!AC$1,0)</f>
        <v>1</v>
      </c>
      <c r="AD8" cm="1">
        <f t="array" ref="AD8">_xll.VALEURCOURBE($A$2,_xlfn.CONCAT("THEME14=",$B8),SCENARIOS!$A$2,SCENARIOS!$B$2,YIELDS_youvert!AD$1,0)</f>
        <v>1</v>
      </c>
      <c r="AE8" cm="1">
        <f t="array" ref="AE8">_xll.VALEURCOURBE($A$2,_xlfn.CONCAT("THEME14=",$B8),SCENARIOS!$A$2,SCENARIOS!$B$2,YIELDS_youvert!AE$1,0)</f>
        <v>1</v>
      </c>
    </row>
    <row r="9" spans="1:32" x14ac:dyDescent="0.25">
      <c r="B9" t="str">
        <v>C00008</v>
      </c>
      <c r="C9" cm="1">
        <f t="array" ref="C9">_xll.VALEURCOURBE($A$2,_xlfn.CONCAT("THEME14=",$B9),SCENARIOS!$A$2,SCENARIOS!$B$2,YIELDS_youvert!C$1,0)</f>
        <v>1</v>
      </c>
      <c r="D9">
        <v>8</v>
      </c>
      <c r="E9" cm="1">
        <f t="array" ref="E9">_xll.VALEURCOURBE($A$2,_xlfn.CONCAT("THEME14=",$B9),SCENARIOS!$A$2,SCENARIOS!$B$2,YIELDS_youvert!E$1,0)</f>
        <v>1</v>
      </c>
      <c r="F9" cm="1">
        <f t="array" ref="F9">_xll.VALEURCOURBE($A$2,_xlfn.CONCAT("THEME14=",$B9),SCENARIOS!$A$2,SCENARIOS!$B$2,YIELDS_youvert!F$1,0)</f>
        <v>1</v>
      </c>
      <c r="G9" cm="1">
        <f t="array" ref="G9">_xll.VALEURCOURBE($A$2,_xlfn.CONCAT("THEME14=",$B9),SCENARIOS!$A$2,SCENARIOS!$B$2,YIELDS_youvert!G$1,0)</f>
        <v>1</v>
      </c>
      <c r="H9" cm="1">
        <f t="array" ref="H9">_xll.VALEURCOURBE($A$2,_xlfn.CONCAT("THEME14=",$B9),SCENARIOS!$A$2,SCENARIOS!$B$2,YIELDS_youvert!H$1,0)</f>
        <v>1</v>
      </c>
      <c r="I9" cm="1">
        <f t="array" ref="I9">_xll.VALEURCOURBE($A$2,_xlfn.CONCAT("THEME14=",$B9),SCENARIOS!$A$2,SCENARIOS!$B$2,YIELDS_youvert!I$1,0)</f>
        <v>1</v>
      </c>
      <c r="J9" cm="1">
        <f t="array" ref="J9">_xll.VALEURCOURBE($A$2,_xlfn.CONCAT("THEME14=",$B9),SCENARIOS!$A$2,SCENARIOS!$B$2,YIELDS_youvert!J$1,0)</f>
        <v>1</v>
      </c>
      <c r="K9" cm="1">
        <f t="array" ref="K9">_xll.VALEURCOURBE($A$2,_xlfn.CONCAT("THEME14=",$B9),SCENARIOS!$A$2,SCENARIOS!$B$2,YIELDS_youvert!K$1,0)</f>
        <v>1</v>
      </c>
      <c r="L9" cm="1">
        <f t="array" ref="L9">_xll.VALEURCOURBE($A$2,_xlfn.CONCAT("THEME14=",$B9),SCENARIOS!$A$2,SCENARIOS!$B$2,YIELDS_youvert!L$1,0)</f>
        <v>1</v>
      </c>
      <c r="M9" cm="1">
        <f t="array" ref="M9">_xll.VALEURCOURBE($A$2,_xlfn.CONCAT("THEME14=",$B9),SCENARIOS!$A$2,SCENARIOS!$B$2,YIELDS_youvert!M$1,0)</f>
        <v>1</v>
      </c>
      <c r="N9" cm="1">
        <f t="array" ref="N9">_xll.VALEURCOURBE($A$2,_xlfn.CONCAT("THEME14=",$B9),SCENARIOS!$A$2,SCENARIOS!$B$2,YIELDS_youvert!N$1,0)</f>
        <v>1</v>
      </c>
      <c r="O9" cm="1">
        <f t="array" ref="O9">_xll.VALEURCOURBE($A$2,_xlfn.CONCAT("THEME14=",$B9),SCENARIOS!$A$2,SCENARIOS!$B$2,YIELDS_youvert!O$1,0)</f>
        <v>1</v>
      </c>
      <c r="P9" cm="1">
        <f t="array" ref="P9">_xll.VALEURCOURBE($A$2,_xlfn.CONCAT("THEME14=",$B9),SCENARIOS!$A$2,SCENARIOS!$B$2,YIELDS_youvert!P$1,0)</f>
        <v>1</v>
      </c>
      <c r="Q9" cm="1">
        <f t="array" ref="Q9">_xll.VALEURCOURBE($A$2,_xlfn.CONCAT("THEME14=",$B9),SCENARIOS!$A$2,SCENARIOS!$B$2,YIELDS_youvert!Q$1,0)</f>
        <v>1</v>
      </c>
      <c r="R9" cm="1">
        <f t="array" ref="R9">_xll.VALEURCOURBE($A$2,_xlfn.CONCAT("THEME14=",$B9),SCENARIOS!$A$2,SCENARIOS!$B$2,YIELDS_youvert!R$1,0)</f>
        <v>1</v>
      </c>
      <c r="S9" cm="1">
        <f t="array" ref="S9">_xll.VALEURCOURBE($A$2,_xlfn.CONCAT("THEME14=",$B9),SCENARIOS!$A$2,SCENARIOS!$B$2,YIELDS_youvert!S$1,0)</f>
        <v>1</v>
      </c>
      <c r="T9" cm="1">
        <f t="array" ref="T9">_xll.VALEURCOURBE($A$2,_xlfn.CONCAT("THEME14=",$B9),SCENARIOS!$A$2,SCENARIOS!$B$2,YIELDS_youvert!T$1,0)</f>
        <v>1</v>
      </c>
      <c r="U9" cm="1">
        <f t="array" ref="U9">_xll.VALEURCOURBE($A$2,_xlfn.CONCAT("THEME14=",$B9),SCENARIOS!$A$2,SCENARIOS!$B$2,YIELDS_youvert!U$1,0)</f>
        <v>1</v>
      </c>
      <c r="V9" cm="1">
        <f t="array" ref="V9">_xll.VALEURCOURBE($A$2,_xlfn.CONCAT("THEME14=",$B9),SCENARIOS!$A$2,SCENARIOS!$B$2,YIELDS_youvert!V$1,0)</f>
        <v>1</v>
      </c>
      <c r="W9" cm="1">
        <f t="array" ref="W9">_xll.VALEURCOURBE($A$2,_xlfn.CONCAT("THEME14=",$B9),SCENARIOS!$A$2,SCENARIOS!$B$2,YIELDS_youvert!W$1,0)</f>
        <v>1</v>
      </c>
      <c r="X9" cm="1">
        <f t="array" ref="X9">_xll.VALEURCOURBE($A$2,_xlfn.CONCAT("THEME14=",$B9),SCENARIOS!$A$2,SCENARIOS!$B$2,YIELDS_youvert!X$1,0)</f>
        <v>1</v>
      </c>
      <c r="Y9" cm="1">
        <f t="array" ref="Y9">_xll.VALEURCOURBE($A$2,_xlfn.CONCAT("THEME14=",$B9),SCENARIOS!$A$2,SCENARIOS!$B$2,YIELDS_youvert!Y$1,0)</f>
        <v>1</v>
      </c>
      <c r="Z9" cm="1">
        <f t="array" ref="Z9">_xll.VALEURCOURBE($A$2,_xlfn.CONCAT("THEME14=",$B9),SCENARIOS!$A$2,SCENARIOS!$B$2,YIELDS_youvert!Z$1,0)</f>
        <v>1</v>
      </c>
      <c r="AA9" cm="1">
        <f t="array" ref="AA9">_xll.VALEURCOURBE($A$2,_xlfn.CONCAT("THEME14=",$B9),SCENARIOS!$A$2,SCENARIOS!$B$2,YIELDS_youvert!AA$1,0)</f>
        <v>1</v>
      </c>
      <c r="AB9" cm="1">
        <f t="array" ref="AB9">_xll.VALEURCOURBE($A$2,_xlfn.CONCAT("THEME14=",$B9),SCENARIOS!$A$2,SCENARIOS!$B$2,YIELDS_youvert!AB$1,0)</f>
        <v>1</v>
      </c>
      <c r="AC9" cm="1">
        <f t="array" ref="AC9">_xll.VALEURCOURBE($A$2,_xlfn.CONCAT("THEME14=",$B9),SCENARIOS!$A$2,SCENARIOS!$B$2,YIELDS_youvert!AC$1,0)</f>
        <v>1</v>
      </c>
      <c r="AD9" cm="1">
        <f t="array" ref="AD9">_xll.VALEURCOURBE($A$2,_xlfn.CONCAT("THEME14=",$B9),SCENARIOS!$A$2,SCENARIOS!$B$2,YIELDS_youvert!AD$1,0)</f>
        <v>1</v>
      </c>
      <c r="AE9" cm="1">
        <f t="array" ref="AE9">_xll.VALEURCOURBE($A$2,_xlfn.CONCAT("THEME14=",$B9),SCENARIOS!$A$2,SCENARIOS!$B$2,YIELDS_youvert!AE$1,0)</f>
        <v>1</v>
      </c>
    </row>
    <row r="10" spans="1:32" x14ac:dyDescent="0.25">
      <c r="B10" t="str">
        <v>C00009</v>
      </c>
      <c r="C10" cm="1">
        <f t="array" ref="C10">_xll.VALEURCOURBE($A$2,_xlfn.CONCAT("THEME14=",$B10),SCENARIOS!$A$2,SCENARIOS!$B$2,YIELDS_youvert!C$1,0)</f>
        <v>1</v>
      </c>
      <c r="D10">
        <v>9</v>
      </c>
      <c r="E10" cm="1">
        <f t="array" ref="E10">_xll.VALEURCOURBE($A$2,_xlfn.CONCAT("THEME14=",$B10),SCENARIOS!$A$2,SCENARIOS!$B$2,YIELDS_youvert!E$1,0)</f>
        <v>1</v>
      </c>
      <c r="F10" cm="1">
        <f t="array" ref="F10">_xll.VALEURCOURBE($A$2,_xlfn.CONCAT("THEME14=",$B10),SCENARIOS!$A$2,SCENARIOS!$B$2,YIELDS_youvert!F$1,0)</f>
        <v>1</v>
      </c>
      <c r="G10" cm="1">
        <f t="array" ref="G10">_xll.VALEURCOURBE($A$2,_xlfn.CONCAT("THEME14=",$B10),SCENARIOS!$A$2,SCENARIOS!$B$2,YIELDS_youvert!G$1,0)</f>
        <v>1</v>
      </c>
      <c r="H10" cm="1">
        <f t="array" ref="H10">_xll.VALEURCOURBE($A$2,_xlfn.CONCAT("THEME14=",$B10),SCENARIOS!$A$2,SCENARIOS!$B$2,YIELDS_youvert!H$1,0)</f>
        <v>1</v>
      </c>
      <c r="I10" cm="1">
        <f t="array" ref="I10">_xll.VALEURCOURBE($A$2,_xlfn.CONCAT("THEME14=",$B10),SCENARIOS!$A$2,SCENARIOS!$B$2,YIELDS_youvert!I$1,0)</f>
        <v>1</v>
      </c>
      <c r="J10" cm="1">
        <f t="array" ref="J10">_xll.VALEURCOURBE($A$2,_xlfn.CONCAT("THEME14=",$B10),SCENARIOS!$A$2,SCENARIOS!$B$2,YIELDS_youvert!J$1,0)</f>
        <v>1</v>
      </c>
      <c r="K10" cm="1">
        <f t="array" ref="K10">_xll.VALEURCOURBE($A$2,_xlfn.CONCAT("THEME14=",$B10),SCENARIOS!$A$2,SCENARIOS!$B$2,YIELDS_youvert!K$1,0)</f>
        <v>1</v>
      </c>
      <c r="L10" cm="1">
        <f t="array" ref="L10">_xll.VALEURCOURBE($A$2,_xlfn.CONCAT("THEME14=",$B10),SCENARIOS!$A$2,SCENARIOS!$B$2,YIELDS_youvert!L$1,0)</f>
        <v>1</v>
      </c>
      <c r="M10" cm="1">
        <f t="array" ref="M10">_xll.VALEURCOURBE($A$2,_xlfn.CONCAT("THEME14=",$B10),SCENARIOS!$A$2,SCENARIOS!$B$2,YIELDS_youvert!M$1,0)</f>
        <v>1</v>
      </c>
      <c r="N10" cm="1">
        <f t="array" ref="N10">_xll.VALEURCOURBE($A$2,_xlfn.CONCAT("THEME14=",$B10),SCENARIOS!$A$2,SCENARIOS!$B$2,YIELDS_youvert!N$1,0)</f>
        <v>1</v>
      </c>
      <c r="O10" cm="1">
        <f t="array" ref="O10">_xll.VALEURCOURBE($A$2,_xlfn.CONCAT("THEME14=",$B10),SCENARIOS!$A$2,SCENARIOS!$B$2,YIELDS_youvert!O$1,0)</f>
        <v>1</v>
      </c>
      <c r="P10" cm="1">
        <f t="array" ref="P10">_xll.VALEURCOURBE($A$2,_xlfn.CONCAT("THEME14=",$B10),SCENARIOS!$A$2,SCENARIOS!$B$2,YIELDS_youvert!P$1,0)</f>
        <v>1</v>
      </c>
      <c r="Q10" cm="1">
        <f t="array" ref="Q10">_xll.VALEURCOURBE($A$2,_xlfn.CONCAT("THEME14=",$B10),SCENARIOS!$A$2,SCENARIOS!$B$2,YIELDS_youvert!Q$1,0)</f>
        <v>1</v>
      </c>
      <c r="R10" cm="1">
        <f t="array" ref="R10">_xll.VALEURCOURBE($A$2,_xlfn.CONCAT("THEME14=",$B10),SCENARIOS!$A$2,SCENARIOS!$B$2,YIELDS_youvert!R$1,0)</f>
        <v>1</v>
      </c>
      <c r="S10" cm="1">
        <f t="array" ref="S10">_xll.VALEURCOURBE($A$2,_xlfn.CONCAT("THEME14=",$B10),SCENARIOS!$A$2,SCENARIOS!$B$2,YIELDS_youvert!S$1,0)</f>
        <v>1</v>
      </c>
      <c r="T10" cm="1">
        <f t="array" ref="T10">_xll.VALEURCOURBE($A$2,_xlfn.CONCAT("THEME14=",$B10),SCENARIOS!$A$2,SCENARIOS!$B$2,YIELDS_youvert!T$1,0)</f>
        <v>1</v>
      </c>
      <c r="U10" cm="1">
        <f t="array" ref="U10">_xll.VALEURCOURBE($A$2,_xlfn.CONCAT("THEME14=",$B10),SCENARIOS!$A$2,SCENARIOS!$B$2,YIELDS_youvert!U$1,0)</f>
        <v>1</v>
      </c>
      <c r="V10" cm="1">
        <f t="array" ref="V10">_xll.VALEURCOURBE($A$2,_xlfn.CONCAT("THEME14=",$B10),SCENARIOS!$A$2,SCENARIOS!$B$2,YIELDS_youvert!V$1,0)</f>
        <v>1</v>
      </c>
      <c r="W10" cm="1">
        <f t="array" ref="W10">_xll.VALEURCOURBE($A$2,_xlfn.CONCAT("THEME14=",$B10),SCENARIOS!$A$2,SCENARIOS!$B$2,YIELDS_youvert!W$1,0)</f>
        <v>1</v>
      </c>
      <c r="X10" cm="1">
        <f t="array" ref="X10">_xll.VALEURCOURBE($A$2,_xlfn.CONCAT("THEME14=",$B10),SCENARIOS!$A$2,SCENARIOS!$B$2,YIELDS_youvert!X$1,0)</f>
        <v>1</v>
      </c>
      <c r="Y10" cm="1">
        <f t="array" ref="Y10">_xll.VALEURCOURBE($A$2,_xlfn.CONCAT("THEME14=",$B10),SCENARIOS!$A$2,SCENARIOS!$B$2,YIELDS_youvert!Y$1,0)</f>
        <v>1</v>
      </c>
      <c r="Z10" cm="1">
        <f t="array" ref="Z10">_xll.VALEURCOURBE($A$2,_xlfn.CONCAT("THEME14=",$B10),SCENARIOS!$A$2,SCENARIOS!$B$2,YIELDS_youvert!Z$1,0)</f>
        <v>1</v>
      </c>
      <c r="AA10" cm="1">
        <f t="array" ref="AA10">_xll.VALEURCOURBE($A$2,_xlfn.CONCAT("THEME14=",$B10),SCENARIOS!$A$2,SCENARIOS!$B$2,YIELDS_youvert!AA$1,0)</f>
        <v>1</v>
      </c>
      <c r="AB10" cm="1">
        <f t="array" ref="AB10">_xll.VALEURCOURBE($A$2,_xlfn.CONCAT("THEME14=",$B10),SCENARIOS!$A$2,SCENARIOS!$B$2,YIELDS_youvert!AB$1,0)</f>
        <v>1</v>
      </c>
      <c r="AC10" cm="1">
        <f t="array" ref="AC10">_xll.VALEURCOURBE($A$2,_xlfn.CONCAT("THEME14=",$B10),SCENARIOS!$A$2,SCENARIOS!$B$2,YIELDS_youvert!AC$1,0)</f>
        <v>1</v>
      </c>
      <c r="AD10" cm="1">
        <f t="array" ref="AD10">_xll.VALEURCOURBE($A$2,_xlfn.CONCAT("THEME14=",$B10),SCENARIOS!$A$2,SCENARIOS!$B$2,YIELDS_youvert!AD$1,0)</f>
        <v>1</v>
      </c>
      <c r="AE10" cm="1">
        <f t="array" ref="AE10">_xll.VALEURCOURBE($A$2,_xlfn.CONCAT("THEME14=",$B10),SCENARIOS!$A$2,SCENARIOS!$B$2,YIELDS_youvert!AE$1,0)</f>
        <v>1</v>
      </c>
    </row>
    <row r="11" spans="1:32" x14ac:dyDescent="0.25">
      <c r="B11" t="str">
        <v>C00010</v>
      </c>
      <c r="C11" cm="1">
        <f t="array" ref="C11">_xll.VALEURCOURBE($A$2,_xlfn.CONCAT("THEME14=",$B11),SCENARIOS!$A$2,SCENARIOS!$B$2,YIELDS_youvert!C$1,0)</f>
        <v>1</v>
      </c>
      <c r="D11">
        <v>10</v>
      </c>
      <c r="E11" cm="1">
        <f t="array" ref="E11">_xll.VALEURCOURBE($A$2,_xlfn.CONCAT("THEME14=",$B11),SCENARIOS!$A$2,SCENARIOS!$B$2,YIELDS_youvert!E$1,0)</f>
        <v>1</v>
      </c>
      <c r="F11" cm="1">
        <f t="array" ref="F11">_xll.VALEURCOURBE($A$2,_xlfn.CONCAT("THEME14=",$B11),SCENARIOS!$A$2,SCENARIOS!$B$2,YIELDS_youvert!F$1,0)</f>
        <v>1</v>
      </c>
      <c r="G11" cm="1">
        <f t="array" ref="G11">_xll.VALEURCOURBE($A$2,_xlfn.CONCAT("THEME14=",$B11),SCENARIOS!$A$2,SCENARIOS!$B$2,YIELDS_youvert!G$1,0)</f>
        <v>1</v>
      </c>
      <c r="H11" cm="1">
        <f t="array" ref="H11">_xll.VALEURCOURBE($A$2,_xlfn.CONCAT("THEME14=",$B11),SCENARIOS!$A$2,SCENARIOS!$B$2,YIELDS_youvert!H$1,0)</f>
        <v>1</v>
      </c>
      <c r="I11" cm="1">
        <f t="array" ref="I11">_xll.VALEURCOURBE($A$2,_xlfn.CONCAT("THEME14=",$B11),SCENARIOS!$A$2,SCENARIOS!$B$2,YIELDS_youvert!I$1,0)</f>
        <v>1</v>
      </c>
      <c r="J11" cm="1">
        <f t="array" ref="J11">_xll.VALEURCOURBE($A$2,_xlfn.CONCAT("THEME14=",$B11),SCENARIOS!$A$2,SCENARIOS!$B$2,YIELDS_youvert!J$1,0)</f>
        <v>1</v>
      </c>
      <c r="K11" cm="1">
        <f t="array" ref="K11">_xll.VALEURCOURBE($A$2,_xlfn.CONCAT("THEME14=",$B11),SCENARIOS!$A$2,SCENARIOS!$B$2,YIELDS_youvert!K$1,0)</f>
        <v>1</v>
      </c>
      <c r="L11" cm="1">
        <f t="array" ref="L11">_xll.VALEURCOURBE($A$2,_xlfn.CONCAT("THEME14=",$B11),SCENARIOS!$A$2,SCENARIOS!$B$2,YIELDS_youvert!L$1,0)</f>
        <v>1</v>
      </c>
      <c r="M11" cm="1">
        <f t="array" ref="M11">_xll.VALEURCOURBE($A$2,_xlfn.CONCAT("THEME14=",$B11),SCENARIOS!$A$2,SCENARIOS!$B$2,YIELDS_youvert!M$1,0)</f>
        <v>1</v>
      </c>
      <c r="N11" cm="1">
        <f t="array" ref="N11">_xll.VALEURCOURBE($A$2,_xlfn.CONCAT("THEME14=",$B11),SCENARIOS!$A$2,SCENARIOS!$B$2,YIELDS_youvert!N$1,0)</f>
        <v>1</v>
      </c>
      <c r="O11" cm="1">
        <f t="array" ref="O11">_xll.VALEURCOURBE($A$2,_xlfn.CONCAT("THEME14=",$B11),SCENARIOS!$A$2,SCENARIOS!$B$2,YIELDS_youvert!O$1,0)</f>
        <v>1</v>
      </c>
      <c r="P11" cm="1">
        <f t="array" ref="P11">_xll.VALEURCOURBE($A$2,_xlfn.CONCAT("THEME14=",$B11),SCENARIOS!$A$2,SCENARIOS!$B$2,YIELDS_youvert!P$1,0)</f>
        <v>1</v>
      </c>
      <c r="Q11" cm="1">
        <f t="array" ref="Q11">_xll.VALEURCOURBE($A$2,_xlfn.CONCAT("THEME14=",$B11),SCENARIOS!$A$2,SCENARIOS!$B$2,YIELDS_youvert!Q$1,0)</f>
        <v>1</v>
      </c>
      <c r="R11" cm="1">
        <f t="array" ref="R11">_xll.VALEURCOURBE($A$2,_xlfn.CONCAT("THEME14=",$B11),SCENARIOS!$A$2,SCENARIOS!$B$2,YIELDS_youvert!R$1,0)</f>
        <v>1</v>
      </c>
      <c r="S11" cm="1">
        <f t="array" ref="S11">_xll.VALEURCOURBE($A$2,_xlfn.CONCAT("THEME14=",$B11),SCENARIOS!$A$2,SCENARIOS!$B$2,YIELDS_youvert!S$1,0)</f>
        <v>1</v>
      </c>
      <c r="T11" cm="1">
        <f t="array" ref="T11">_xll.VALEURCOURBE($A$2,_xlfn.CONCAT("THEME14=",$B11),SCENARIOS!$A$2,SCENARIOS!$B$2,YIELDS_youvert!T$1,0)</f>
        <v>1</v>
      </c>
      <c r="U11" cm="1">
        <f t="array" ref="U11">_xll.VALEURCOURBE($A$2,_xlfn.CONCAT("THEME14=",$B11),SCENARIOS!$A$2,SCENARIOS!$B$2,YIELDS_youvert!U$1,0)</f>
        <v>1</v>
      </c>
      <c r="V11" cm="1">
        <f t="array" ref="V11">_xll.VALEURCOURBE($A$2,_xlfn.CONCAT("THEME14=",$B11),SCENARIOS!$A$2,SCENARIOS!$B$2,YIELDS_youvert!V$1,0)</f>
        <v>1</v>
      </c>
      <c r="W11" cm="1">
        <f t="array" ref="W11">_xll.VALEURCOURBE($A$2,_xlfn.CONCAT("THEME14=",$B11),SCENARIOS!$A$2,SCENARIOS!$B$2,YIELDS_youvert!W$1,0)</f>
        <v>1</v>
      </c>
      <c r="X11" cm="1">
        <f t="array" ref="X11">_xll.VALEURCOURBE($A$2,_xlfn.CONCAT("THEME14=",$B11),SCENARIOS!$A$2,SCENARIOS!$B$2,YIELDS_youvert!X$1,0)</f>
        <v>1</v>
      </c>
      <c r="Y11" cm="1">
        <f t="array" ref="Y11">_xll.VALEURCOURBE($A$2,_xlfn.CONCAT("THEME14=",$B11),SCENARIOS!$A$2,SCENARIOS!$B$2,YIELDS_youvert!Y$1,0)</f>
        <v>1</v>
      </c>
      <c r="Z11" cm="1">
        <f t="array" ref="Z11">_xll.VALEURCOURBE($A$2,_xlfn.CONCAT("THEME14=",$B11),SCENARIOS!$A$2,SCENARIOS!$B$2,YIELDS_youvert!Z$1,0)</f>
        <v>1</v>
      </c>
      <c r="AA11" cm="1">
        <f t="array" ref="AA11">_xll.VALEURCOURBE($A$2,_xlfn.CONCAT("THEME14=",$B11),SCENARIOS!$A$2,SCENARIOS!$B$2,YIELDS_youvert!AA$1,0)</f>
        <v>1</v>
      </c>
      <c r="AB11" cm="1">
        <f t="array" ref="AB11">_xll.VALEURCOURBE($A$2,_xlfn.CONCAT("THEME14=",$B11),SCENARIOS!$A$2,SCENARIOS!$B$2,YIELDS_youvert!AB$1,0)</f>
        <v>1</v>
      </c>
      <c r="AC11" cm="1">
        <f t="array" ref="AC11">_xll.VALEURCOURBE($A$2,_xlfn.CONCAT("THEME14=",$B11),SCENARIOS!$A$2,SCENARIOS!$B$2,YIELDS_youvert!AC$1,0)</f>
        <v>1</v>
      </c>
      <c r="AD11" cm="1">
        <f t="array" ref="AD11">_xll.VALEURCOURBE($A$2,_xlfn.CONCAT("THEME14=",$B11),SCENARIOS!$A$2,SCENARIOS!$B$2,YIELDS_youvert!AD$1,0)</f>
        <v>1</v>
      </c>
      <c r="AE11" cm="1">
        <f t="array" ref="AE11">_xll.VALEURCOURBE($A$2,_xlfn.CONCAT("THEME14=",$B11),SCENARIOS!$A$2,SCENARIOS!$B$2,YIELDS_youvert!AE$1,0)</f>
        <v>1</v>
      </c>
    </row>
    <row r="12" spans="1:32" x14ac:dyDescent="0.25">
      <c r="B12" t="str">
        <v>C00011</v>
      </c>
      <c r="C12" cm="1">
        <f t="array" ref="C12">_xll.VALEURCOURBE($A$2,_xlfn.CONCAT("THEME14=",$B12),SCENARIOS!$A$2,SCENARIOS!$B$2,YIELDS_youvert!C$1,0)</f>
        <v>1</v>
      </c>
      <c r="D12">
        <v>11</v>
      </c>
      <c r="E12" cm="1">
        <f t="array" ref="E12">_xll.VALEURCOURBE($A$2,_xlfn.CONCAT("THEME14=",$B12),SCENARIOS!$A$2,SCENARIOS!$B$2,YIELDS_youvert!E$1,0)</f>
        <v>1</v>
      </c>
      <c r="F12" cm="1">
        <f t="array" ref="F12">_xll.VALEURCOURBE($A$2,_xlfn.CONCAT("THEME14=",$B12),SCENARIOS!$A$2,SCENARIOS!$B$2,YIELDS_youvert!F$1,0)</f>
        <v>1</v>
      </c>
      <c r="G12" cm="1">
        <f t="array" ref="G12">_xll.VALEURCOURBE($A$2,_xlfn.CONCAT("THEME14=",$B12),SCENARIOS!$A$2,SCENARIOS!$B$2,YIELDS_youvert!G$1,0)</f>
        <v>1</v>
      </c>
      <c r="H12" cm="1">
        <f t="array" ref="H12">_xll.VALEURCOURBE($A$2,_xlfn.CONCAT("THEME14=",$B12),SCENARIOS!$A$2,SCENARIOS!$B$2,YIELDS_youvert!H$1,0)</f>
        <v>1</v>
      </c>
      <c r="I12" cm="1">
        <f t="array" ref="I12">_xll.VALEURCOURBE($A$2,_xlfn.CONCAT("THEME14=",$B12),SCENARIOS!$A$2,SCENARIOS!$B$2,YIELDS_youvert!I$1,0)</f>
        <v>1</v>
      </c>
      <c r="J12" cm="1">
        <f t="array" ref="J12">_xll.VALEURCOURBE($A$2,_xlfn.CONCAT("THEME14=",$B12),SCENARIOS!$A$2,SCENARIOS!$B$2,YIELDS_youvert!J$1,0)</f>
        <v>1</v>
      </c>
      <c r="K12" cm="1">
        <f t="array" ref="K12">_xll.VALEURCOURBE($A$2,_xlfn.CONCAT("THEME14=",$B12),SCENARIOS!$A$2,SCENARIOS!$B$2,YIELDS_youvert!K$1,0)</f>
        <v>1</v>
      </c>
      <c r="L12" cm="1">
        <f t="array" ref="L12">_xll.VALEURCOURBE($A$2,_xlfn.CONCAT("THEME14=",$B12),SCENARIOS!$A$2,SCENARIOS!$B$2,YIELDS_youvert!L$1,0)</f>
        <v>1</v>
      </c>
      <c r="M12" cm="1">
        <f t="array" ref="M12">_xll.VALEURCOURBE($A$2,_xlfn.CONCAT("THEME14=",$B12),SCENARIOS!$A$2,SCENARIOS!$B$2,YIELDS_youvert!M$1,0)</f>
        <v>1</v>
      </c>
      <c r="N12" cm="1">
        <f t="array" ref="N12">_xll.VALEURCOURBE($A$2,_xlfn.CONCAT("THEME14=",$B12),SCENARIOS!$A$2,SCENARIOS!$B$2,YIELDS_youvert!N$1,0)</f>
        <v>1</v>
      </c>
      <c r="O12" cm="1">
        <f t="array" ref="O12">_xll.VALEURCOURBE($A$2,_xlfn.CONCAT("THEME14=",$B12),SCENARIOS!$A$2,SCENARIOS!$B$2,YIELDS_youvert!O$1,0)</f>
        <v>1</v>
      </c>
      <c r="P12" cm="1">
        <f t="array" ref="P12">_xll.VALEURCOURBE($A$2,_xlfn.CONCAT("THEME14=",$B12),SCENARIOS!$A$2,SCENARIOS!$B$2,YIELDS_youvert!P$1,0)</f>
        <v>1</v>
      </c>
      <c r="Q12" cm="1">
        <f t="array" ref="Q12">_xll.VALEURCOURBE($A$2,_xlfn.CONCAT("THEME14=",$B12),SCENARIOS!$A$2,SCENARIOS!$B$2,YIELDS_youvert!Q$1,0)</f>
        <v>1</v>
      </c>
      <c r="R12" cm="1">
        <f t="array" ref="R12">_xll.VALEURCOURBE($A$2,_xlfn.CONCAT("THEME14=",$B12),SCENARIOS!$A$2,SCENARIOS!$B$2,YIELDS_youvert!R$1,0)</f>
        <v>1</v>
      </c>
      <c r="S12" cm="1">
        <f t="array" ref="S12">_xll.VALEURCOURBE($A$2,_xlfn.CONCAT("THEME14=",$B12),SCENARIOS!$A$2,SCENARIOS!$B$2,YIELDS_youvert!S$1,0)</f>
        <v>1</v>
      </c>
      <c r="T12" cm="1">
        <f t="array" ref="T12">_xll.VALEURCOURBE($A$2,_xlfn.CONCAT("THEME14=",$B12),SCENARIOS!$A$2,SCENARIOS!$B$2,YIELDS_youvert!T$1,0)</f>
        <v>1</v>
      </c>
      <c r="U12" cm="1">
        <f t="array" ref="U12">_xll.VALEURCOURBE($A$2,_xlfn.CONCAT("THEME14=",$B12),SCENARIOS!$A$2,SCENARIOS!$B$2,YIELDS_youvert!U$1,0)</f>
        <v>1</v>
      </c>
      <c r="V12" cm="1">
        <f t="array" ref="V12">_xll.VALEURCOURBE($A$2,_xlfn.CONCAT("THEME14=",$B12),SCENARIOS!$A$2,SCENARIOS!$B$2,YIELDS_youvert!V$1,0)</f>
        <v>1</v>
      </c>
      <c r="W12" cm="1">
        <f t="array" ref="W12">_xll.VALEURCOURBE($A$2,_xlfn.CONCAT("THEME14=",$B12),SCENARIOS!$A$2,SCENARIOS!$B$2,YIELDS_youvert!W$1,0)</f>
        <v>1</v>
      </c>
      <c r="X12" cm="1">
        <f t="array" ref="X12">_xll.VALEURCOURBE($A$2,_xlfn.CONCAT("THEME14=",$B12),SCENARIOS!$A$2,SCENARIOS!$B$2,YIELDS_youvert!X$1,0)</f>
        <v>1</v>
      </c>
      <c r="Y12" cm="1">
        <f t="array" ref="Y12">_xll.VALEURCOURBE($A$2,_xlfn.CONCAT("THEME14=",$B12),SCENARIOS!$A$2,SCENARIOS!$B$2,YIELDS_youvert!Y$1,0)</f>
        <v>1</v>
      </c>
      <c r="Z12" cm="1">
        <f t="array" ref="Z12">_xll.VALEURCOURBE($A$2,_xlfn.CONCAT("THEME14=",$B12),SCENARIOS!$A$2,SCENARIOS!$B$2,YIELDS_youvert!Z$1,0)</f>
        <v>1</v>
      </c>
      <c r="AA12" cm="1">
        <f t="array" ref="AA12">_xll.VALEURCOURBE($A$2,_xlfn.CONCAT("THEME14=",$B12),SCENARIOS!$A$2,SCENARIOS!$B$2,YIELDS_youvert!AA$1,0)</f>
        <v>1</v>
      </c>
      <c r="AB12" cm="1">
        <f t="array" ref="AB12">_xll.VALEURCOURBE($A$2,_xlfn.CONCAT("THEME14=",$B12),SCENARIOS!$A$2,SCENARIOS!$B$2,YIELDS_youvert!AB$1,0)</f>
        <v>1</v>
      </c>
      <c r="AC12" cm="1">
        <f t="array" ref="AC12">_xll.VALEURCOURBE($A$2,_xlfn.CONCAT("THEME14=",$B12),SCENARIOS!$A$2,SCENARIOS!$B$2,YIELDS_youvert!AC$1,0)</f>
        <v>1</v>
      </c>
      <c r="AD12" cm="1">
        <f t="array" ref="AD12">_xll.VALEURCOURBE($A$2,_xlfn.CONCAT("THEME14=",$B12),SCENARIOS!$A$2,SCENARIOS!$B$2,YIELDS_youvert!AD$1,0)</f>
        <v>1</v>
      </c>
      <c r="AE12" cm="1">
        <f t="array" ref="AE12">_xll.VALEURCOURBE($A$2,_xlfn.CONCAT("THEME14=",$B12),SCENARIOS!$A$2,SCENARIOS!$B$2,YIELDS_youvert!AE$1,0)</f>
        <v>1</v>
      </c>
    </row>
    <row r="13" spans="1:32" x14ac:dyDescent="0.25">
      <c r="B13" t="str">
        <v>C00012</v>
      </c>
      <c r="C13" cm="1">
        <f t="array" ref="C13">_xll.VALEURCOURBE($A$2,_xlfn.CONCAT("THEME14=",$B13),SCENARIOS!$A$2,SCENARIOS!$B$2,YIELDS_youvert!C$1,0)</f>
        <v>1</v>
      </c>
      <c r="D13">
        <v>12</v>
      </c>
      <c r="E13" cm="1">
        <f t="array" ref="E13">_xll.VALEURCOURBE($A$2,_xlfn.CONCAT("THEME14=",$B13),SCENARIOS!$A$2,SCENARIOS!$B$2,YIELDS_youvert!E$1,0)</f>
        <v>1</v>
      </c>
      <c r="F13" cm="1">
        <f t="array" ref="F13">_xll.VALEURCOURBE($A$2,_xlfn.CONCAT("THEME14=",$B13),SCENARIOS!$A$2,SCENARIOS!$B$2,YIELDS_youvert!F$1,0)</f>
        <v>1</v>
      </c>
      <c r="G13" cm="1">
        <f t="array" ref="G13">_xll.VALEURCOURBE($A$2,_xlfn.CONCAT("THEME14=",$B13),SCENARIOS!$A$2,SCENARIOS!$B$2,YIELDS_youvert!G$1,0)</f>
        <v>1</v>
      </c>
      <c r="H13" cm="1">
        <f t="array" ref="H13">_xll.VALEURCOURBE($A$2,_xlfn.CONCAT("THEME14=",$B13),SCENARIOS!$A$2,SCENARIOS!$B$2,YIELDS_youvert!H$1,0)</f>
        <v>1</v>
      </c>
      <c r="I13" cm="1">
        <f t="array" ref="I13">_xll.VALEURCOURBE($A$2,_xlfn.CONCAT("THEME14=",$B13),SCENARIOS!$A$2,SCENARIOS!$B$2,YIELDS_youvert!I$1,0)</f>
        <v>1</v>
      </c>
      <c r="J13" cm="1">
        <f t="array" ref="J13">_xll.VALEURCOURBE($A$2,_xlfn.CONCAT("THEME14=",$B13),SCENARIOS!$A$2,SCENARIOS!$B$2,YIELDS_youvert!J$1,0)</f>
        <v>1</v>
      </c>
      <c r="K13" cm="1">
        <f t="array" ref="K13">_xll.VALEURCOURBE($A$2,_xlfn.CONCAT("THEME14=",$B13),SCENARIOS!$A$2,SCENARIOS!$B$2,YIELDS_youvert!K$1,0)</f>
        <v>1</v>
      </c>
      <c r="L13" cm="1">
        <f t="array" ref="L13">_xll.VALEURCOURBE($A$2,_xlfn.CONCAT("THEME14=",$B13),SCENARIOS!$A$2,SCENARIOS!$B$2,YIELDS_youvert!L$1,0)</f>
        <v>1</v>
      </c>
      <c r="M13" cm="1">
        <f t="array" ref="M13">_xll.VALEURCOURBE($A$2,_xlfn.CONCAT("THEME14=",$B13),SCENARIOS!$A$2,SCENARIOS!$B$2,YIELDS_youvert!M$1,0)</f>
        <v>1</v>
      </c>
      <c r="N13" cm="1">
        <f t="array" ref="N13">_xll.VALEURCOURBE($A$2,_xlfn.CONCAT("THEME14=",$B13),SCENARIOS!$A$2,SCENARIOS!$B$2,YIELDS_youvert!N$1,0)</f>
        <v>1</v>
      </c>
      <c r="O13" cm="1">
        <f t="array" ref="O13">_xll.VALEURCOURBE($A$2,_xlfn.CONCAT("THEME14=",$B13),SCENARIOS!$A$2,SCENARIOS!$B$2,YIELDS_youvert!O$1,0)</f>
        <v>1</v>
      </c>
      <c r="P13" cm="1">
        <f t="array" ref="P13">_xll.VALEURCOURBE($A$2,_xlfn.CONCAT("THEME14=",$B13),SCENARIOS!$A$2,SCENARIOS!$B$2,YIELDS_youvert!P$1,0)</f>
        <v>1</v>
      </c>
      <c r="Q13" cm="1">
        <f t="array" ref="Q13">_xll.VALEURCOURBE($A$2,_xlfn.CONCAT("THEME14=",$B13),SCENARIOS!$A$2,SCENARIOS!$B$2,YIELDS_youvert!Q$1,0)</f>
        <v>1</v>
      </c>
      <c r="R13" cm="1">
        <f t="array" ref="R13">_xll.VALEURCOURBE($A$2,_xlfn.CONCAT("THEME14=",$B13),SCENARIOS!$A$2,SCENARIOS!$B$2,YIELDS_youvert!R$1,0)</f>
        <v>1</v>
      </c>
      <c r="S13" cm="1">
        <f t="array" ref="S13">_xll.VALEURCOURBE($A$2,_xlfn.CONCAT("THEME14=",$B13),SCENARIOS!$A$2,SCENARIOS!$B$2,YIELDS_youvert!S$1,0)</f>
        <v>1</v>
      </c>
      <c r="T13" cm="1">
        <f t="array" ref="T13">_xll.VALEURCOURBE($A$2,_xlfn.CONCAT("THEME14=",$B13),SCENARIOS!$A$2,SCENARIOS!$B$2,YIELDS_youvert!T$1,0)</f>
        <v>1</v>
      </c>
      <c r="U13" cm="1">
        <f t="array" ref="U13">_xll.VALEURCOURBE($A$2,_xlfn.CONCAT("THEME14=",$B13),SCENARIOS!$A$2,SCENARIOS!$B$2,YIELDS_youvert!U$1,0)</f>
        <v>1</v>
      </c>
      <c r="V13" cm="1">
        <f t="array" ref="V13">_xll.VALEURCOURBE($A$2,_xlfn.CONCAT("THEME14=",$B13),SCENARIOS!$A$2,SCENARIOS!$B$2,YIELDS_youvert!V$1,0)</f>
        <v>1</v>
      </c>
      <c r="W13" cm="1">
        <f t="array" ref="W13">_xll.VALEURCOURBE($A$2,_xlfn.CONCAT("THEME14=",$B13),SCENARIOS!$A$2,SCENARIOS!$B$2,YIELDS_youvert!W$1,0)</f>
        <v>1</v>
      </c>
      <c r="X13" cm="1">
        <f t="array" ref="X13">_xll.VALEURCOURBE($A$2,_xlfn.CONCAT("THEME14=",$B13),SCENARIOS!$A$2,SCENARIOS!$B$2,YIELDS_youvert!X$1,0)</f>
        <v>1</v>
      </c>
      <c r="Y13" cm="1">
        <f t="array" ref="Y13">_xll.VALEURCOURBE($A$2,_xlfn.CONCAT("THEME14=",$B13),SCENARIOS!$A$2,SCENARIOS!$B$2,YIELDS_youvert!Y$1,0)</f>
        <v>1</v>
      </c>
      <c r="Z13" cm="1">
        <f t="array" ref="Z13">_xll.VALEURCOURBE($A$2,_xlfn.CONCAT("THEME14=",$B13),SCENARIOS!$A$2,SCENARIOS!$B$2,YIELDS_youvert!Z$1,0)</f>
        <v>1</v>
      </c>
      <c r="AA13" cm="1">
        <f t="array" ref="AA13">_xll.VALEURCOURBE($A$2,_xlfn.CONCAT("THEME14=",$B13),SCENARIOS!$A$2,SCENARIOS!$B$2,YIELDS_youvert!AA$1,0)</f>
        <v>1</v>
      </c>
      <c r="AB13" cm="1">
        <f t="array" ref="AB13">_xll.VALEURCOURBE($A$2,_xlfn.CONCAT("THEME14=",$B13),SCENARIOS!$A$2,SCENARIOS!$B$2,YIELDS_youvert!AB$1,0)</f>
        <v>1</v>
      </c>
      <c r="AC13" cm="1">
        <f t="array" ref="AC13">_xll.VALEURCOURBE($A$2,_xlfn.CONCAT("THEME14=",$B13),SCENARIOS!$A$2,SCENARIOS!$B$2,YIELDS_youvert!AC$1,0)</f>
        <v>1</v>
      </c>
      <c r="AD13" cm="1">
        <f t="array" ref="AD13">_xll.VALEURCOURBE($A$2,_xlfn.CONCAT("THEME14=",$B13),SCENARIOS!$A$2,SCENARIOS!$B$2,YIELDS_youvert!AD$1,0)</f>
        <v>1</v>
      </c>
      <c r="AE13" cm="1">
        <f t="array" ref="AE13">_xll.VALEURCOURBE($A$2,_xlfn.CONCAT("THEME14=",$B13),SCENARIOS!$A$2,SCENARIOS!$B$2,YIELDS_youvert!AE$1,0)</f>
        <v>1</v>
      </c>
    </row>
    <row r="14" spans="1:32" x14ac:dyDescent="0.25">
      <c r="B14" t="str">
        <v>C00013</v>
      </c>
      <c r="C14" cm="1">
        <f t="array" ref="C14">_xll.VALEURCOURBE($A$2,_xlfn.CONCAT("THEME14=",$B14),SCENARIOS!$A$2,SCENARIOS!$B$2,YIELDS_youvert!C$1,0)</f>
        <v>1</v>
      </c>
      <c r="D14">
        <v>13</v>
      </c>
      <c r="E14" cm="1">
        <f t="array" ref="E14">_xll.VALEURCOURBE($A$2,_xlfn.CONCAT("THEME14=",$B14),SCENARIOS!$A$2,SCENARIOS!$B$2,YIELDS_youvert!E$1,0)</f>
        <v>1</v>
      </c>
      <c r="F14" cm="1">
        <f t="array" ref="F14">_xll.VALEURCOURBE($A$2,_xlfn.CONCAT("THEME14=",$B14),SCENARIOS!$A$2,SCENARIOS!$B$2,YIELDS_youvert!F$1,0)</f>
        <v>1</v>
      </c>
      <c r="G14" cm="1">
        <f t="array" ref="G14">_xll.VALEURCOURBE($A$2,_xlfn.CONCAT("THEME14=",$B14),SCENARIOS!$A$2,SCENARIOS!$B$2,YIELDS_youvert!G$1,0)</f>
        <v>1</v>
      </c>
      <c r="H14" cm="1">
        <f t="array" ref="H14">_xll.VALEURCOURBE($A$2,_xlfn.CONCAT("THEME14=",$B14),SCENARIOS!$A$2,SCENARIOS!$B$2,YIELDS_youvert!H$1,0)</f>
        <v>1</v>
      </c>
      <c r="I14" cm="1">
        <f t="array" ref="I14">_xll.VALEURCOURBE($A$2,_xlfn.CONCAT("THEME14=",$B14),SCENARIOS!$A$2,SCENARIOS!$B$2,YIELDS_youvert!I$1,0)</f>
        <v>1</v>
      </c>
      <c r="J14" cm="1">
        <f t="array" ref="J14">_xll.VALEURCOURBE($A$2,_xlfn.CONCAT("THEME14=",$B14),SCENARIOS!$A$2,SCENARIOS!$B$2,YIELDS_youvert!J$1,0)</f>
        <v>1</v>
      </c>
      <c r="K14" cm="1">
        <f t="array" ref="K14">_xll.VALEURCOURBE($A$2,_xlfn.CONCAT("THEME14=",$B14),SCENARIOS!$A$2,SCENARIOS!$B$2,YIELDS_youvert!K$1,0)</f>
        <v>1</v>
      </c>
      <c r="L14" cm="1">
        <f t="array" ref="L14">_xll.VALEURCOURBE($A$2,_xlfn.CONCAT("THEME14=",$B14),SCENARIOS!$A$2,SCENARIOS!$B$2,YIELDS_youvert!L$1,0)</f>
        <v>1</v>
      </c>
      <c r="M14" cm="1">
        <f t="array" ref="M14">_xll.VALEURCOURBE($A$2,_xlfn.CONCAT("THEME14=",$B14),SCENARIOS!$A$2,SCENARIOS!$B$2,YIELDS_youvert!M$1,0)</f>
        <v>1</v>
      </c>
      <c r="N14" cm="1">
        <f t="array" ref="N14">_xll.VALEURCOURBE($A$2,_xlfn.CONCAT("THEME14=",$B14),SCENARIOS!$A$2,SCENARIOS!$B$2,YIELDS_youvert!N$1,0)</f>
        <v>1</v>
      </c>
      <c r="O14" cm="1">
        <f t="array" ref="O14">_xll.VALEURCOURBE($A$2,_xlfn.CONCAT("THEME14=",$B14),SCENARIOS!$A$2,SCENARIOS!$B$2,YIELDS_youvert!O$1,0)</f>
        <v>1</v>
      </c>
      <c r="P14" cm="1">
        <f t="array" ref="P14">_xll.VALEURCOURBE($A$2,_xlfn.CONCAT("THEME14=",$B14),SCENARIOS!$A$2,SCENARIOS!$B$2,YIELDS_youvert!P$1,0)</f>
        <v>1</v>
      </c>
      <c r="Q14" cm="1">
        <f t="array" ref="Q14">_xll.VALEURCOURBE($A$2,_xlfn.CONCAT("THEME14=",$B14),SCENARIOS!$A$2,SCENARIOS!$B$2,YIELDS_youvert!Q$1,0)</f>
        <v>1</v>
      </c>
      <c r="R14" cm="1">
        <f t="array" ref="R14">_xll.VALEURCOURBE($A$2,_xlfn.CONCAT("THEME14=",$B14),SCENARIOS!$A$2,SCENARIOS!$B$2,YIELDS_youvert!R$1,0)</f>
        <v>1</v>
      </c>
      <c r="S14" cm="1">
        <f t="array" ref="S14">_xll.VALEURCOURBE($A$2,_xlfn.CONCAT("THEME14=",$B14),SCENARIOS!$A$2,SCENARIOS!$B$2,YIELDS_youvert!S$1,0)</f>
        <v>1</v>
      </c>
      <c r="T14" cm="1">
        <f t="array" ref="T14">_xll.VALEURCOURBE($A$2,_xlfn.CONCAT("THEME14=",$B14),SCENARIOS!$A$2,SCENARIOS!$B$2,YIELDS_youvert!T$1,0)</f>
        <v>1</v>
      </c>
      <c r="U14" cm="1">
        <f t="array" ref="U14">_xll.VALEURCOURBE($A$2,_xlfn.CONCAT("THEME14=",$B14),SCENARIOS!$A$2,SCENARIOS!$B$2,YIELDS_youvert!U$1,0)</f>
        <v>1</v>
      </c>
      <c r="V14" cm="1">
        <f t="array" ref="V14">_xll.VALEURCOURBE($A$2,_xlfn.CONCAT("THEME14=",$B14),SCENARIOS!$A$2,SCENARIOS!$B$2,YIELDS_youvert!V$1,0)</f>
        <v>1</v>
      </c>
      <c r="W14" cm="1">
        <f t="array" ref="W14">_xll.VALEURCOURBE($A$2,_xlfn.CONCAT("THEME14=",$B14),SCENARIOS!$A$2,SCENARIOS!$B$2,YIELDS_youvert!W$1,0)</f>
        <v>1</v>
      </c>
      <c r="X14" cm="1">
        <f t="array" ref="X14">_xll.VALEURCOURBE($A$2,_xlfn.CONCAT("THEME14=",$B14),SCENARIOS!$A$2,SCENARIOS!$B$2,YIELDS_youvert!X$1,0)</f>
        <v>1</v>
      </c>
      <c r="Y14" cm="1">
        <f t="array" ref="Y14">_xll.VALEURCOURBE($A$2,_xlfn.CONCAT("THEME14=",$B14),SCENARIOS!$A$2,SCENARIOS!$B$2,YIELDS_youvert!Y$1,0)</f>
        <v>1</v>
      </c>
      <c r="Z14" cm="1">
        <f t="array" ref="Z14">_xll.VALEURCOURBE($A$2,_xlfn.CONCAT("THEME14=",$B14),SCENARIOS!$A$2,SCENARIOS!$B$2,YIELDS_youvert!Z$1,0)</f>
        <v>1</v>
      </c>
      <c r="AA14" cm="1">
        <f t="array" ref="AA14">_xll.VALEURCOURBE($A$2,_xlfn.CONCAT("THEME14=",$B14),SCENARIOS!$A$2,SCENARIOS!$B$2,YIELDS_youvert!AA$1,0)</f>
        <v>1</v>
      </c>
      <c r="AB14" cm="1">
        <f t="array" ref="AB14">_xll.VALEURCOURBE($A$2,_xlfn.CONCAT("THEME14=",$B14),SCENARIOS!$A$2,SCENARIOS!$B$2,YIELDS_youvert!AB$1,0)</f>
        <v>1</v>
      </c>
      <c r="AC14" cm="1">
        <f t="array" ref="AC14">_xll.VALEURCOURBE($A$2,_xlfn.CONCAT("THEME14=",$B14),SCENARIOS!$A$2,SCENARIOS!$B$2,YIELDS_youvert!AC$1,0)</f>
        <v>1</v>
      </c>
      <c r="AD14" cm="1">
        <f t="array" ref="AD14">_xll.VALEURCOURBE($A$2,_xlfn.CONCAT("THEME14=",$B14),SCENARIOS!$A$2,SCENARIOS!$B$2,YIELDS_youvert!AD$1,0)</f>
        <v>1</v>
      </c>
      <c r="AE14" cm="1">
        <f t="array" ref="AE14">_xll.VALEURCOURBE($A$2,_xlfn.CONCAT("THEME14=",$B14),SCENARIOS!$A$2,SCENARIOS!$B$2,YIELDS_youvert!AE$1,0)</f>
        <v>1</v>
      </c>
    </row>
    <row r="15" spans="1:32" x14ac:dyDescent="0.25">
      <c r="B15" t="str">
        <v>C00014</v>
      </c>
      <c r="C15" cm="1">
        <f t="array" ref="C15">_xll.VALEURCOURBE($A$2,_xlfn.CONCAT("THEME14=",$B15),SCENARIOS!$A$2,SCENARIOS!$B$2,YIELDS_youvert!C$1,0)</f>
        <v>1</v>
      </c>
      <c r="D15">
        <v>14</v>
      </c>
      <c r="E15" cm="1">
        <f t="array" ref="E15">_xll.VALEURCOURBE($A$2,_xlfn.CONCAT("THEME14=",$B15),SCENARIOS!$A$2,SCENARIOS!$B$2,YIELDS_youvert!E$1,0)</f>
        <v>1</v>
      </c>
      <c r="F15" cm="1">
        <f t="array" ref="F15">_xll.VALEURCOURBE($A$2,_xlfn.CONCAT("THEME14=",$B15),SCENARIOS!$A$2,SCENARIOS!$B$2,YIELDS_youvert!F$1,0)</f>
        <v>1</v>
      </c>
      <c r="G15" cm="1">
        <f t="array" ref="G15">_xll.VALEURCOURBE($A$2,_xlfn.CONCAT("THEME14=",$B15),SCENARIOS!$A$2,SCENARIOS!$B$2,YIELDS_youvert!G$1,0)</f>
        <v>1</v>
      </c>
      <c r="H15" cm="1">
        <f t="array" ref="H15">_xll.VALEURCOURBE($A$2,_xlfn.CONCAT("THEME14=",$B15),SCENARIOS!$A$2,SCENARIOS!$B$2,YIELDS_youvert!H$1,0)</f>
        <v>1</v>
      </c>
      <c r="I15" cm="1">
        <f t="array" ref="I15">_xll.VALEURCOURBE($A$2,_xlfn.CONCAT("THEME14=",$B15),SCENARIOS!$A$2,SCENARIOS!$B$2,YIELDS_youvert!I$1,0)</f>
        <v>1</v>
      </c>
      <c r="J15" cm="1">
        <f t="array" ref="J15">_xll.VALEURCOURBE($A$2,_xlfn.CONCAT("THEME14=",$B15),SCENARIOS!$A$2,SCENARIOS!$B$2,YIELDS_youvert!J$1,0)</f>
        <v>1</v>
      </c>
      <c r="K15" cm="1">
        <f t="array" ref="K15">_xll.VALEURCOURBE($A$2,_xlfn.CONCAT("THEME14=",$B15),SCENARIOS!$A$2,SCENARIOS!$B$2,YIELDS_youvert!K$1,0)</f>
        <v>1</v>
      </c>
      <c r="L15" cm="1">
        <f t="array" ref="L15">_xll.VALEURCOURBE($A$2,_xlfn.CONCAT("THEME14=",$B15),SCENARIOS!$A$2,SCENARIOS!$B$2,YIELDS_youvert!L$1,0)</f>
        <v>1</v>
      </c>
      <c r="M15" cm="1">
        <f t="array" ref="M15">_xll.VALEURCOURBE($A$2,_xlfn.CONCAT("THEME14=",$B15),SCENARIOS!$A$2,SCENARIOS!$B$2,YIELDS_youvert!M$1,0)</f>
        <v>1</v>
      </c>
      <c r="N15" cm="1">
        <f t="array" ref="N15">_xll.VALEURCOURBE($A$2,_xlfn.CONCAT("THEME14=",$B15),SCENARIOS!$A$2,SCENARIOS!$B$2,YIELDS_youvert!N$1,0)</f>
        <v>1</v>
      </c>
      <c r="O15" cm="1">
        <f t="array" ref="O15">_xll.VALEURCOURBE($A$2,_xlfn.CONCAT("THEME14=",$B15),SCENARIOS!$A$2,SCENARIOS!$B$2,YIELDS_youvert!O$1,0)</f>
        <v>1</v>
      </c>
      <c r="P15" cm="1">
        <f t="array" ref="P15">_xll.VALEURCOURBE($A$2,_xlfn.CONCAT("THEME14=",$B15),SCENARIOS!$A$2,SCENARIOS!$B$2,YIELDS_youvert!P$1,0)</f>
        <v>1</v>
      </c>
      <c r="Q15" cm="1">
        <f t="array" ref="Q15">_xll.VALEURCOURBE($A$2,_xlfn.CONCAT("THEME14=",$B15),SCENARIOS!$A$2,SCENARIOS!$B$2,YIELDS_youvert!Q$1,0)</f>
        <v>1</v>
      </c>
      <c r="R15" cm="1">
        <f t="array" ref="R15">_xll.VALEURCOURBE($A$2,_xlfn.CONCAT("THEME14=",$B15),SCENARIOS!$A$2,SCENARIOS!$B$2,YIELDS_youvert!R$1,0)</f>
        <v>1</v>
      </c>
      <c r="S15" cm="1">
        <f t="array" ref="S15">_xll.VALEURCOURBE($A$2,_xlfn.CONCAT("THEME14=",$B15),SCENARIOS!$A$2,SCENARIOS!$B$2,YIELDS_youvert!S$1,0)</f>
        <v>1</v>
      </c>
      <c r="T15" cm="1">
        <f t="array" ref="T15">_xll.VALEURCOURBE($A$2,_xlfn.CONCAT("THEME14=",$B15),SCENARIOS!$A$2,SCENARIOS!$B$2,YIELDS_youvert!T$1,0)</f>
        <v>1</v>
      </c>
      <c r="U15" cm="1">
        <f t="array" ref="U15">_xll.VALEURCOURBE($A$2,_xlfn.CONCAT("THEME14=",$B15),SCENARIOS!$A$2,SCENARIOS!$B$2,YIELDS_youvert!U$1,0)</f>
        <v>1</v>
      </c>
      <c r="V15" cm="1">
        <f t="array" ref="V15">_xll.VALEURCOURBE($A$2,_xlfn.CONCAT("THEME14=",$B15),SCENARIOS!$A$2,SCENARIOS!$B$2,YIELDS_youvert!V$1,0)</f>
        <v>1</v>
      </c>
      <c r="W15" cm="1">
        <f t="array" ref="W15">_xll.VALEURCOURBE($A$2,_xlfn.CONCAT("THEME14=",$B15),SCENARIOS!$A$2,SCENARIOS!$B$2,YIELDS_youvert!W$1,0)</f>
        <v>1</v>
      </c>
      <c r="X15" cm="1">
        <f t="array" ref="X15">_xll.VALEURCOURBE($A$2,_xlfn.CONCAT("THEME14=",$B15),SCENARIOS!$A$2,SCENARIOS!$B$2,YIELDS_youvert!X$1,0)</f>
        <v>1</v>
      </c>
      <c r="Y15" cm="1">
        <f t="array" ref="Y15">_xll.VALEURCOURBE($A$2,_xlfn.CONCAT("THEME14=",$B15),SCENARIOS!$A$2,SCENARIOS!$B$2,YIELDS_youvert!Y$1,0)</f>
        <v>1</v>
      </c>
      <c r="Z15" cm="1">
        <f t="array" ref="Z15">_xll.VALEURCOURBE($A$2,_xlfn.CONCAT("THEME14=",$B15),SCENARIOS!$A$2,SCENARIOS!$B$2,YIELDS_youvert!Z$1,0)</f>
        <v>1</v>
      </c>
      <c r="AA15" cm="1">
        <f t="array" ref="AA15">_xll.VALEURCOURBE($A$2,_xlfn.CONCAT("THEME14=",$B15),SCENARIOS!$A$2,SCENARIOS!$B$2,YIELDS_youvert!AA$1,0)</f>
        <v>1</v>
      </c>
      <c r="AB15" cm="1">
        <f t="array" ref="AB15">_xll.VALEURCOURBE($A$2,_xlfn.CONCAT("THEME14=",$B15),SCENARIOS!$A$2,SCENARIOS!$B$2,YIELDS_youvert!AB$1,0)</f>
        <v>1</v>
      </c>
      <c r="AC15" cm="1">
        <f t="array" ref="AC15">_xll.VALEURCOURBE($A$2,_xlfn.CONCAT("THEME14=",$B15),SCENARIOS!$A$2,SCENARIOS!$B$2,YIELDS_youvert!AC$1,0)</f>
        <v>1</v>
      </c>
      <c r="AD15" cm="1">
        <f t="array" ref="AD15">_xll.VALEURCOURBE($A$2,_xlfn.CONCAT("THEME14=",$B15),SCENARIOS!$A$2,SCENARIOS!$B$2,YIELDS_youvert!AD$1,0)</f>
        <v>1</v>
      </c>
      <c r="AE15" cm="1">
        <f t="array" ref="AE15">_xll.VALEURCOURBE($A$2,_xlfn.CONCAT("THEME14=",$B15),SCENARIOS!$A$2,SCENARIOS!$B$2,YIELDS_youvert!AE$1,0)</f>
        <v>1</v>
      </c>
    </row>
    <row r="16" spans="1:32" x14ac:dyDescent="0.25">
      <c r="B16" t="str">
        <v>NA</v>
      </c>
      <c r="C16" cm="1">
        <f t="array" ref="C16">_xll.VALEURCOURBE($A$2,_xlfn.CONCAT("THEME14=",$B16),SCENARIOS!$A$2,SCENARIOS!$B$2,YIELDS_youvert!C$1,0)</f>
        <v>1</v>
      </c>
      <c r="D16">
        <v>15</v>
      </c>
      <c r="E16" cm="1">
        <f t="array" ref="E16">_xll.VALEURCOURBE($A$2,_xlfn.CONCAT("THEME14=",$B16),SCENARIOS!$A$2,SCENARIOS!$B$2,YIELDS_youvert!E$1,0)</f>
        <v>1</v>
      </c>
      <c r="F16" cm="1">
        <f t="array" ref="F16">_xll.VALEURCOURBE($A$2,_xlfn.CONCAT("THEME14=",$B16),SCENARIOS!$A$2,SCENARIOS!$B$2,YIELDS_youvert!F$1,0)</f>
        <v>1</v>
      </c>
      <c r="G16" cm="1">
        <f t="array" ref="G16">_xll.VALEURCOURBE($A$2,_xlfn.CONCAT("THEME14=",$B16),SCENARIOS!$A$2,SCENARIOS!$B$2,YIELDS_youvert!G$1,0)</f>
        <v>1</v>
      </c>
      <c r="H16" cm="1">
        <f t="array" ref="H16">_xll.VALEURCOURBE($A$2,_xlfn.CONCAT("THEME14=",$B16),SCENARIOS!$A$2,SCENARIOS!$B$2,YIELDS_youvert!H$1,0)</f>
        <v>1</v>
      </c>
      <c r="I16" cm="1">
        <f t="array" ref="I16">_xll.VALEURCOURBE($A$2,_xlfn.CONCAT("THEME14=",$B16),SCENARIOS!$A$2,SCENARIOS!$B$2,YIELDS_youvert!I$1,0)</f>
        <v>1</v>
      </c>
      <c r="J16" cm="1">
        <f t="array" ref="J16">_xll.VALEURCOURBE($A$2,_xlfn.CONCAT("THEME14=",$B16),SCENARIOS!$A$2,SCENARIOS!$B$2,YIELDS_youvert!J$1,0)</f>
        <v>1</v>
      </c>
      <c r="K16" cm="1">
        <f t="array" ref="K16">_xll.VALEURCOURBE($A$2,_xlfn.CONCAT("THEME14=",$B16),SCENARIOS!$A$2,SCENARIOS!$B$2,YIELDS_youvert!K$1,0)</f>
        <v>1</v>
      </c>
      <c r="L16" cm="1">
        <f t="array" ref="L16">_xll.VALEURCOURBE($A$2,_xlfn.CONCAT("THEME14=",$B16),SCENARIOS!$A$2,SCENARIOS!$B$2,YIELDS_youvert!L$1,0)</f>
        <v>1</v>
      </c>
      <c r="M16" cm="1">
        <f t="array" ref="M16">_xll.VALEURCOURBE($A$2,_xlfn.CONCAT("THEME14=",$B16),SCENARIOS!$A$2,SCENARIOS!$B$2,YIELDS_youvert!M$1,0)</f>
        <v>1</v>
      </c>
      <c r="N16" cm="1">
        <f t="array" ref="N16">_xll.VALEURCOURBE($A$2,_xlfn.CONCAT("THEME14=",$B16),SCENARIOS!$A$2,SCENARIOS!$B$2,YIELDS_youvert!N$1,0)</f>
        <v>1</v>
      </c>
      <c r="O16" cm="1">
        <f t="array" ref="O16">_xll.VALEURCOURBE($A$2,_xlfn.CONCAT("THEME14=",$B16),SCENARIOS!$A$2,SCENARIOS!$B$2,YIELDS_youvert!O$1,0)</f>
        <v>1</v>
      </c>
      <c r="P16" cm="1">
        <f t="array" ref="P16">_xll.VALEURCOURBE($A$2,_xlfn.CONCAT("THEME14=",$B16),SCENARIOS!$A$2,SCENARIOS!$B$2,YIELDS_youvert!P$1,0)</f>
        <v>1</v>
      </c>
      <c r="Q16" cm="1">
        <f t="array" ref="Q16">_xll.VALEURCOURBE($A$2,_xlfn.CONCAT("THEME14=",$B16),SCENARIOS!$A$2,SCENARIOS!$B$2,YIELDS_youvert!Q$1,0)</f>
        <v>1</v>
      </c>
      <c r="R16" cm="1">
        <f t="array" ref="R16">_xll.VALEURCOURBE($A$2,_xlfn.CONCAT("THEME14=",$B16),SCENARIOS!$A$2,SCENARIOS!$B$2,YIELDS_youvert!R$1,0)</f>
        <v>1</v>
      </c>
      <c r="S16" cm="1">
        <f t="array" ref="S16">_xll.VALEURCOURBE($A$2,_xlfn.CONCAT("THEME14=",$B16),SCENARIOS!$A$2,SCENARIOS!$B$2,YIELDS_youvert!S$1,0)</f>
        <v>1</v>
      </c>
      <c r="T16" cm="1">
        <f t="array" ref="T16">_xll.VALEURCOURBE($A$2,_xlfn.CONCAT("THEME14=",$B16),SCENARIOS!$A$2,SCENARIOS!$B$2,YIELDS_youvert!T$1,0)</f>
        <v>1</v>
      </c>
      <c r="U16" cm="1">
        <f t="array" ref="U16">_xll.VALEURCOURBE($A$2,_xlfn.CONCAT("THEME14=",$B16),SCENARIOS!$A$2,SCENARIOS!$B$2,YIELDS_youvert!U$1,0)</f>
        <v>1</v>
      </c>
      <c r="V16" cm="1">
        <f t="array" ref="V16">_xll.VALEURCOURBE($A$2,_xlfn.CONCAT("THEME14=",$B16),SCENARIOS!$A$2,SCENARIOS!$B$2,YIELDS_youvert!V$1,0)</f>
        <v>1</v>
      </c>
      <c r="W16" cm="1">
        <f t="array" ref="W16">_xll.VALEURCOURBE($A$2,_xlfn.CONCAT("THEME14=",$B16),SCENARIOS!$A$2,SCENARIOS!$B$2,YIELDS_youvert!W$1,0)</f>
        <v>1</v>
      </c>
      <c r="X16" cm="1">
        <f t="array" ref="X16">_xll.VALEURCOURBE($A$2,_xlfn.CONCAT("THEME14=",$B16),SCENARIOS!$A$2,SCENARIOS!$B$2,YIELDS_youvert!X$1,0)</f>
        <v>1</v>
      </c>
      <c r="Y16" cm="1">
        <f t="array" ref="Y16">_xll.VALEURCOURBE($A$2,_xlfn.CONCAT("THEME14=",$B16),SCENARIOS!$A$2,SCENARIOS!$B$2,YIELDS_youvert!Y$1,0)</f>
        <v>1</v>
      </c>
      <c r="Z16" cm="1">
        <f t="array" ref="Z16">_xll.VALEURCOURBE($A$2,_xlfn.CONCAT("THEME14=",$B16),SCENARIOS!$A$2,SCENARIOS!$B$2,YIELDS_youvert!Z$1,0)</f>
        <v>1</v>
      </c>
      <c r="AA16" cm="1">
        <f t="array" ref="AA16">_xll.VALEURCOURBE($A$2,_xlfn.CONCAT("THEME14=",$B16),SCENARIOS!$A$2,SCENARIOS!$B$2,YIELDS_youvert!AA$1,0)</f>
        <v>1</v>
      </c>
      <c r="AB16" cm="1">
        <f t="array" ref="AB16">_xll.VALEURCOURBE($A$2,_xlfn.CONCAT("THEME14=",$B16),SCENARIOS!$A$2,SCENARIOS!$B$2,YIELDS_youvert!AB$1,0)</f>
        <v>1</v>
      </c>
      <c r="AC16" cm="1">
        <f t="array" ref="AC16">_xll.VALEURCOURBE($A$2,_xlfn.CONCAT("THEME14=",$B16),SCENARIOS!$A$2,SCENARIOS!$B$2,YIELDS_youvert!AC$1,0)</f>
        <v>1</v>
      </c>
      <c r="AD16" cm="1">
        <f t="array" ref="AD16">_xll.VALEURCOURBE($A$2,_xlfn.CONCAT("THEME14=",$B16),SCENARIOS!$A$2,SCENARIOS!$B$2,YIELDS_youvert!AD$1,0)</f>
        <v>1</v>
      </c>
      <c r="AE16" cm="1">
        <f t="array" ref="AE16">_xll.VALEURCOURBE($A$2,_xlfn.CONCAT("THEME14=",$B16),SCENARIOS!$A$2,SCENARIOS!$B$2,YIELDS_youvert!AE$1,0)</f>
        <v>1</v>
      </c>
    </row>
    <row r="17" spans="3:31" x14ac:dyDescent="0.25">
      <c r="C17" cm="1">
        <f t="array" ref="C17">_xll.VALEURCOURBE($A$2,_xlfn.CONCAT("THEME14=",$B17),SCENARIOS!$A$2,SCENARIOS!$B$2,YIELDS_youvert!C$1,0)</f>
        <v>1</v>
      </c>
      <c r="D17" cm="1">
        <f t="array" ref="D17">_xll.VALEURCOURBE($A$2,_xlfn.CONCAT("THEME14=",$B17),SCENARIOS!$A$2,SCENARIOS!$B$2,YIELDS_youvert!D$1,0)</f>
        <v>1</v>
      </c>
      <c r="E17" cm="1">
        <f t="array" ref="E17">_xll.VALEURCOURBE($A$2,_xlfn.CONCAT("THEME14=",$B17),SCENARIOS!$A$2,SCENARIOS!$B$2,YIELDS_youvert!E$1,0)</f>
        <v>1</v>
      </c>
      <c r="F17" cm="1">
        <f t="array" ref="F17">_xll.VALEURCOURBE($A$2,_xlfn.CONCAT("THEME14=",$B17),SCENARIOS!$A$2,SCENARIOS!$B$2,YIELDS_youvert!F$1,0)</f>
        <v>1</v>
      </c>
      <c r="G17" cm="1">
        <f t="array" ref="G17">_xll.VALEURCOURBE($A$2,_xlfn.CONCAT("THEME14=",$B17),SCENARIOS!$A$2,SCENARIOS!$B$2,YIELDS_youvert!G$1,0)</f>
        <v>1</v>
      </c>
      <c r="H17" cm="1">
        <f t="array" ref="H17">_xll.VALEURCOURBE($A$2,_xlfn.CONCAT("THEME14=",$B17),SCENARIOS!$A$2,SCENARIOS!$B$2,YIELDS_youvert!H$1,0)</f>
        <v>1</v>
      </c>
      <c r="I17" cm="1">
        <f t="array" ref="I17">_xll.VALEURCOURBE($A$2,_xlfn.CONCAT("THEME14=",$B17),SCENARIOS!$A$2,SCENARIOS!$B$2,YIELDS_youvert!I$1,0)</f>
        <v>1</v>
      </c>
      <c r="J17" cm="1">
        <f t="array" ref="J17">_xll.VALEURCOURBE($A$2,_xlfn.CONCAT("THEME14=",$B17),SCENARIOS!$A$2,SCENARIOS!$B$2,YIELDS_youvert!J$1,0)</f>
        <v>1</v>
      </c>
      <c r="K17" cm="1">
        <f t="array" ref="K17">_xll.VALEURCOURBE($A$2,_xlfn.CONCAT("THEME14=",$B17),SCENARIOS!$A$2,SCENARIOS!$B$2,YIELDS_youvert!K$1,0)</f>
        <v>1</v>
      </c>
      <c r="L17" cm="1">
        <f t="array" ref="L17">_xll.VALEURCOURBE($A$2,_xlfn.CONCAT("THEME14=",$B17),SCENARIOS!$A$2,SCENARIOS!$B$2,YIELDS_youvert!L$1,0)</f>
        <v>1</v>
      </c>
      <c r="M17" cm="1">
        <f t="array" ref="M17">_xll.VALEURCOURBE($A$2,_xlfn.CONCAT("THEME14=",$B17),SCENARIOS!$A$2,SCENARIOS!$B$2,YIELDS_youvert!M$1,0)</f>
        <v>1</v>
      </c>
      <c r="N17" cm="1">
        <f t="array" ref="N17">_xll.VALEURCOURBE($A$2,_xlfn.CONCAT("THEME14=",$B17),SCENARIOS!$A$2,SCENARIOS!$B$2,YIELDS_youvert!N$1,0)</f>
        <v>1</v>
      </c>
      <c r="O17" cm="1">
        <f t="array" ref="O17">_xll.VALEURCOURBE($A$2,_xlfn.CONCAT("THEME14=",$B17),SCENARIOS!$A$2,SCENARIOS!$B$2,YIELDS_youvert!O$1,0)</f>
        <v>1</v>
      </c>
      <c r="P17" cm="1">
        <f t="array" ref="P17">_xll.VALEURCOURBE($A$2,_xlfn.CONCAT("THEME14=",$B17),SCENARIOS!$A$2,SCENARIOS!$B$2,YIELDS_youvert!P$1,0)</f>
        <v>1</v>
      </c>
      <c r="Q17" cm="1">
        <f t="array" ref="Q17">_xll.VALEURCOURBE($A$2,_xlfn.CONCAT("THEME14=",$B17),SCENARIOS!$A$2,SCENARIOS!$B$2,YIELDS_youvert!Q$1,0)</f>
        <v>1</v>
      </c>
      <c r="R17" cm="1">
        <f t="array" ref="R17">_xll.VALEURCOURBE($A$2,_xlfn.CONCAT("THEME14=",$B17),SCENARIOS!$A$2,SCENARIOS!$B$2,YIELDS_youvert!R$1,0)</f>
        <v>1</v>
      </c>
      <c r="S17" cm="1">
        <f t="array" ref="S17">_xll.VALEURCOURBE($A$2,_xlfn.CONCAT("THEME14=",$B17),SCENARIOS!$A$2,SCENARIOS!$B$2,YIELDS_youvert!S$1,0)</f>
        <v>1</v>
      </c>
      <c r="T17" cm="1">
        <f t="array" ref="T17">_xll.VALEURCOURBE($A$2,_xlfn.CONCAT("THEME14=",$B17),SCENARIOS!$A$2,SCENARIOS!$B$2,YIELDS_youvert!T$1,0)</f>
        <v>1</v>
      </c>
      <c r="U17" cm="1">
        <f t="array" ref="U17">_xll.VALEURCOURBE($A$2,_xlfn.CONCAT("THEME14=",$B17),SCENARIOS!$A$2,SCENARIOS!$B$2,YIELDS_youvert!U$1,0)</f>
        <v>1</v>
      </c>
      <c r="V17" cm="1">
        <f t="array" ref="V17">_xll.VALEURCOURBE($A$2,_xlfn.CONCAT("THEME14=",$B17),SCENARIOS!$A$2,SCENARIOS!$B$2,YIELDS_youvert!V$1,0)</f>
        <v>1</v>
      </c>
      <c r="W17" cm="1">
        <f t="array" ref="W17">_xll.VALEURCOURBE($A$2,_xlfn.CONCAT("THEME14=",$B17),SCENARIOS!$A$2,SCENARIOS!$B$2,YIELDS_youvert!W$1,0)</f>
        <v>1</v>
      </c>
      <c r="X17" cm="1">
        <f t="array" ref="X17">_xll.VALEURCOURBE($A$2,_xlfn.CONCAT("THEME14=",$B17),SCENARIOS!$A$2,SCENARIOS!$B$2,YIELDS_youvert!X$1,0)</f>
        <v>1</v>
      </c>
      <c r="Y17" cm="1">
        <f t="array" ref="Y17">_xll.VALEURCOURBE($A$2,_xlfn.CONCAT("THEME14=",$B17),SCENARIOS!$A$2,SCENARIOS!$B$2,YIELDS_youvert!Y$1,0)</f>
        <v>1</v>
      </c>
      <c r="Z17" cm="1">
        <f t="array" ref="Z17">_xll.VALEURCOURBE($A$2,_xlfn.CONCAT("THEME14=",$B17),SCENARIOS!$A$2,SCENARIOS!$B$2,YIELDS_youvert!Z$1,0)</f>
        <v>1</v>
      </c>
      <c r="AA17" cm="1">
        <f t="array" ref="AA17">_xll.VALEURCOURBE($A$2,_xlfn.CONCAT("THEME14=",$B17),SCENARIOS!$A$2,SCENARIOS!$B$2,YIELDS_youvert!AA$1,0)</f>
        <v>1</v>
      </c>
      <c r="AB17" cm="1">
        <f t="array" ref="AB17">_xll.VALEURCOURBE($A$2,_xlfn.CONCAT("THEME14=",$B17),SCENARIOS!$A$2,SCENARIOS!$B$2,YIELDS_youvert!AB$1,0)</f>
        <v>1</v>
      </c>
      <c r="AC17" cm="1">
        <f t="array" ref="AC17">_xll.VALEURCOURBE($A$2,_xlfn.CONCAT("THEME14=",$B17),SCENARIOS!$A$2,SCENARIOS!$B$2,YIELDS_youvert!AC$1,0)</f>
        <v>1</v>
      </c>
      <c r="AD17" cm="1">
        <f t="array" ref="AD17">_xll.VALEURCOURBE($A$2,_xlfn.CONCAT("THEME14=",$B17),SCENARIOS!$A$2,SCENARIOS!$B$2,YIELDS_youvert!AD$1,0)</f>
        <v>1</v>
      </c>
      <c r="AE17" cm="1">
        <f t="array" ref="AE17">_xll.VALEURCOURBE($A$2,_xlfn.CONCAT("THEME14=",$B17),SCENARIOS!$A$2,SCENARIOS!$B$2,YIELDS_youvert!AE$1,0)</f>
        <v>1</v>
      </c>
    </row>
    <row r="18" spans="3:31" x14ac:dyDescent="0.25">
      <c r="C18" cm="1">
        <f t="array" ref="C18">_xll.VALEURCOURBE($A$2,_xlfn.CONCAT("THEME14=",$B18),SCENARIOS!$A$2,SCENARIOS!$B$2,YIELDS_youvert!C$1,0)</f>
        <v>1</v>
      </c>
      <c r="D18" cm="1">
        <f t="array" ref="D18">_xll.VALEURCOURBE($A$2,_xlfn.CONCAT("THEME14=",$B18),SCENARIOS!$A$2,SCENARIOS!$B$2,YIELDS_youvert!D$1,0)</f>
        <v>1</v>
      </c>
      <c r="E18" cm="1">
        <f t="array" ref="E18">_xll.VALEURCOURBE($A$2,_xlfn.CONCAT("THEME14=",$B18),SCENARIOS!$A$2,SCENARIOS!$B$2,YIELDS_youvert!E$1,0)</f>
        <v>1</v>
      </c>
      <c r="F18" cm="1">
        <f t="array" ref="F18">_xll.VALEURCOURBE($A$2,_xlfn.CONCAT("THEME14=",$B18),SCENARIOS!$A$2,SCENARIOS!$B$2,YIELDS_youvert!F$1,0)</f>
        <v>1</v>
      </c>
      <c r="G18" cm="1">
        <f t="array" ref="G18">_xll.VALEURCOURBE($A$2,_xlfn.CONCAT("THEME14=",$B18),SCENARIOS!$A$2,SCENARIOS!$B$2,YIELDS_youvert!G$1,0)</f>
        <v>1</v>
      </c>
      <c r="H18" cm="1">
        <f t="array" ref="H18">_xll.VALEURCOURBE($A$2,_xlfn.CONCAT("THEME14=",$B18),SCENARIOS!$A$2,SCENARIOS!$B$2,YIELDS_youvert!H$1,0)</f>
        <v>1</v>
      </c>
      <c r="I18" cm="1">
        <f t="array" ref="I18">_xll.VALEURCOURBE($A$2,_xlfn.CONCAT("THEME14=",$B18),SCENARIOS!$A$2,SCENARIOS!$B$2,YIELDS_youvert!I$1,0)</f>
        <v>1</v>
      </c>
      <c r="J18" cm="1">
        <f t="array" ref="J18">_xll.VALEURCOURBE($A$2,_xlfn.CONCAT("THEME14=",$B18),SCENARIOS!$A$2,SCENARIOS!$B$2,YIELDS_youvert!J$1,0)</f>
        <v>1</v>
      </c>
      <c r="K18" cm="1">
        <f t="array" ref="K18">_xll.VALEURCOURBE($A$2,_xlfn.CONCAT("THEME14=",$B18),SCENARIOS!$A$2,SCENARIOS!$B$2,YIELDS_youvert!K$1,0)</f>
        <v>1</v>
      </c>
      <c r="L18" cm="1">
        <f t="array" ref="L18">_xll.VALEURCOURBE($A$2,_xlfn.CONCAT("THEME14=",$B18),SCENARIOS!$A$2,SCENARIOS!$B$2,YIELDS_youvert!L$1,0)</f>
        <v>1</v>
      </c>
      <c r="M18" cm="1">
        <f t="array" ref="M18">_xll.VALEURCOURBE($A$2,_xlfn.CONCAT("THEME14=",$B18),SCENARIOS!$A$2,SCENARIOS!$B$2,YIELDS_youvert!M$1,0)</f>
        <v>1</v>
      </c>
      <c r="N18" cm="1">
        <f t="array" ref="N18">_xll.VALEURCOURBE($A$2,_xlfn.CONCAT("THEME14=",$B18),SCENARIOS!$A$2,SCENARIOS!$B$2,YIELDS_youvert!N$1,0)</f>
        <v>1</v>
      </c>
      <c r="O18" cm="1">
        <f t="array" ref="O18">_xll.VALEURCOURBE($A$2,_xlfn.CONCAT("THEME14=",$B18),SCENARIOS!$A$2,SCENARIOS!$B$2,YIELDS_youvert!O$1,0)</f>
        <v>1</v>
      </c>
      <c r="P18" cm="1">
        <f t="array" ref="P18">_xll.VALEURCOURBE($A$2,_xlfn.CONCAT("THEME14=",$B18),SCENARIOS!$A$2,SCENARIOS!$B$2,YIELDS_youvert!P$1,0)</f>
        <v>1</v>
      </c>
      <c r="Q18" cm="1">
        <f t="array" ref="Q18">_xll.VALEURCOURBE($A$2,_xlfn.CONCAT("THEME14=",$B18),SCENARIOS!$A$2,SCENARIOS!$B$2,YIELDS_youvert!Q$1,0)</f>
        <v>1</v>
      </c>
      <c r="R18" cm="1">
        <f t="array" ref="R18">_xll.VALEURCOURBE($A$2,_xlfn.CONCAT("THEME14=",$B18),SCENARIOS!$A$2,SCENARIOS!$B$2,YIELDS_youvert!R$1,0)</f>
        <v>1</v>
      </c>
      <c r="S18" cm="1">
        <f t="array" ref="S18">_xll.VALEURCOURBE($A$2,_xlfn.CONCAT("THEME14=",$B18),SCENARIOS!$A$2,SCENARIOS!$B$2,YIELDS_youvert!S$1,0)</f>
        <v>1</v>
      </c>
      <c r="T18" cm="1">
        <f t="array" ref="T18">_xll.VALEURCOURBE($A$2,_xlfn.CONCAT("THEME14=",$B18),SCENARIOS!$A$2,SCENARIOS!$B$2,YIELDS_youvert!T$1,0)</f>
        <v>1</v>
      </c>
      <c r="U18" cm="1">
        <f t="array" ref="U18">_xll.VALEURCOURBE($A$2,_xlfn.CONCAT("THEME14=",$B18),SCENARIOS!$A$2,SCENARIOS!$B$2,YIELDS_youvert!U$1,0)</f>
        <v>1</v>
      </c>
      <c r="V18" cm="1">
        <f t="array" ref="V18">_xll.VALEURCOURBE($A$2,_xlfn.CONCAT("THEME14=",$B18),SCENARIOS!$A$2,SCENARIOS!$B$2,YIELDS_youvert!V$1,0)</f>
        <v>1</v>
      </c>
      <c r="W18" cm="1">
        <f t="array" ref="W18">_xll.VALEURCOURBE($A$2,_xlfn.CONCAT("THEME14=",$B18),SCENARIOS!$A$2,SCENARIOS!$B$2,YIELDS_youvert!W$1,0)</f>
        <v>1</v>
      </c>
      <c r="X18" cm="1">
        <f t="array" ref="X18">_xll.VALEURCOURBE($A$2,_xlfn.CONCAT("THEME14=",$B18),SCENARIOS!$A$2,SCENARIOS!$B$2,YIELDS_youvert!X$1,0)</f>
        <v>1</v>
      </c>
      <c r="Y18" cm="1">
        <f t="array" ref="Y18">_xll.VALEURCOURBE($A$2,_xlfn.CONCAT("THEME14=",$B18),SCENARIOS!$A$2,SCENARIOS!$B$2,YIELDS_youvert!Y$1,0)</f>
        <v>1</v>
      </c>
      <c r="Z18" cm="1">
        <f t="array" ref="Z18">_xll.VALEURCOURBE($A$2,_xlfn.CONCAT("THEME14=",$B18),SCENARIOS!$A$2,SCENARIOS!$B$2,YIELDS_youvert!Z$1,0)</f>
        <v>1</v>
      </c>
      <c r="AA18" cm="1">
        <f t="array" ref="AA18">_xll.VALEURCOURBE($A$2,_xlfn.CONCAT("THEME14=",$B18),SCENARIOS!$A$2,SCENARIOS!$B$2,YIELDS_youvert!AA$1,0)</f>
        <v>1</v>
      </c>
      <c r="AB18" cm="1">
        <f t="array" ref="AB18">_xll.VALEURCOURBE($A$2,_xlfn.CONCAT("THEME14=",$B18),SCENARIOS!$A$2,SCENARIOS!$B$2,YIELDS_youvert!AB$1,0)</f>
        <v>1</v>
      </c>
      <c r="AC18" cm="1">
        <f t="array" ref="AC18">_xll.VALEURCOURBE($A$2,_xlfn.CONCAT("THEME14=",$B18),SCENARIOS!$A$2,SCENARIOS!$B$2,YIELDS_youvert!AC$1,0)</f>
        <v>1</v>
      </c>
      <c r="AD18" cm="1">
        <f t="array" ref="AD18">_xll.VALEURCOURBE($A$2,_xlfn.CONCAT("THEME14=",$B18),SCENARIOS!$A$2,SCENARIOS!$B$2,YIELDS_youvert!AD$1,0)</f>
        <v>1</v>
      </c>
      <c r="AE18" cm="1">
        <f t="array" ref="AE18">_xll.VALEURCOURBE($A$2,_xlfn.CONCAT("THEME14=",$B18),SCENARIOS!$A$2,SCENARIOS!$B$2,YIELDS_youvert!AE$1,0)</f>
        <v>1</v>
      </c>
    </row>
    <row r="19" spans="3:31" x14ac:dyDescent="0.25">
      <c r="C19" cm="1">
        <f t="array" ref="C19">_xll.VALEURCOURBE($A$2,_xlfn.CONCAT("THEME14=",$B19),SCENARIOS!$A$2,SCENARIOS!$B$2,YIELDS_youvert!C$1,0)</f>
        <v>1</v>
      </c>
      <c r="D19" cm="1">
        <f t="array" ref="D19">_xll.VALEURCOURBE($A$2,_xlfn.CONCAT("THEME14=",$B19),SCENARIOS!$A$2,SCENARIOS!$B$2,YIELDS_youvert!D$1,0)</f>
        <v>1</v>
      </c>
      <c r="E19" cm="1">
        <f t="array" ref="E19">_xll.VALEURCOURBE($A$2,_xlfn.CONCAT("THEME14=",$B19),SCENARIOS!$A$2,SCENARIOS!$B$2,YIELDS_youvert!E$1,0)</f>
        <v>1</v>
      </c>
      <c r="F19" cm="1">
        <f t="array" ref="F19">_xll.VALEURCOURBE($A$2,_xlfn.CONCAT("THEME14=",$B19),SCENARIOS!$A$2,SCENARIOS!$B$2,YIELDS_youvert!F$1,0)</f>
        <v>1</v>
      </c>
      <c r="G19" cm="1">
        <f t="array" ref="G19">_xll.VALEURCOURBE($A$2,_xlfn.CONCAT("THEME14=",$B19),SCENARIOS!$A$2,SCENARIOS!$B$2,YIELDS_youvert!G$1,0)</f>
        <v>1</v>
      </c>
      <c r="H19" cm="1">
        <f t="array" ref="H19">_xll.VALEURCOURBE($A$2,_xlfn.CONCAT("THEME14=",$B19),SCENARIOS!$A$2,SCENARIOS!$B$2,YIELDS_youvert!H$1,0)</f>
        <v>1</v>
      </c>
      <c r="I19" cm="1">
        <f t="array" ref="I19">_xll.VALEURCOURBE($A$2,_xlfn.CONCAT("THEME14=",$B19),SCENARIOS!$A$2,SCENARIOS!$B$2,YIELDS_youvert!I$1,0)</f>
        <v>1</v>
      </c>
      <c r="J19" cm="1">
        <f t="array" ref="J19">_xll.VALEURCOURBE($A$2,_xlfn.CONCAT("THEME14=",$B19),SCENARIOS!$A$2,SCENARIOS!$B$2,YIELDS_youvert!J$1,0)</f>
        <v>1</v>
      </c>
      <c r="K19" cm="1">
        <f t="array" ref="K19">_xll.VALEURCOURBE($A$2,_xlfn.CONCAT("THEME14=",$B19),SCENARIOS!$A$2,SCENARIOS!$B$2,YIELDS_youvert!K$1,0)</f>
        <v>1</v>
      </c>
      <c r="L19" cm="1">
        <f t="array" ref="L19">_xll.VALEURCOURBE($A$2,_xlfn.CONCAT("THEME14=",$B19),SCENARIOS!$A$2,SCENARIOS!$B$2,YIELDS_youvert!L$1,0)</f>
        <v>1</v>
      </c>
      <c r="M19" cm="1">
        <f t="array" ref="M19">_xll.VALEURCOURBE($A$2,_xlfn.CONCAT("THEME14=",$B19),SCENARIOS!$A$2,SCENARIOS!$B$2,YIELDS_youvert!M$1,0)</f>
        <v>1</v>
      </c>
      <c r="N19" cm="1">
        <f t="array" ref="N19">_xll.VALEURCOURBE($A$2,_xlfn.CONCAT("THEME14=",$B19),SCENARIOS!$A$2,SCENARIOS!$B$2,YIELDS_youvert!N$1,0)</f>
        <v>1</v>
      </c>
      <c r="O19" cm="1">
        <f t="array" ref="O19">_xll.VALEURCOURBE($A$2,_xlfn.CONCAT("THEME14=",$B19),SCENARIOS!$A$2,SCENARIOS!$B$2,YIELDS_youvert!O$1,0)</f>
        <v>1</v>
      </c>
      <c r="P19" cm="1">
        <f t="array" ref="P19">_xll.VALEURCOURBE($A$2,_xlfn.CONCAT("THEME14=",$B19),SCENARIOS!$A$2,SCENARIOS!$B$2,YIELDS_youvert!P$1,0)</f>
        <v>1</v>
      </c>
      <c r="Q19" cm="1">
        <f t="array" ref="Q19">_xll.VALEURCOURBE($A$2,_xlfn.CONCAT("THEME14=",$B19),SCENARIOS!$A$2,SCENARIOS!$B$2,YIELDS_youvert!Q$1,0)</f>
        <v>1</v>
      </c>
      <c r="R19" cm="1">
        <f t="array" ref="R19">_xll.VALEURCOURBE($A$2,_xlfn.CONCAT("THEME14=",$B19),SCENARIOS!$A$2,SCENARIOS!$B$2,YIELDS_youvert!R$1,0)</f>
        <v>1</v>
      </c>
      <c r="S19" cm="1">
        <f t="array" ref="S19">_xll.VALEURCOURBE($A$2,_xlfn.CONCAT("THEME14=",$B19),SCENARIOS!$A$2,SCENARIOS!$B$2,YIELDS_youvert!S$1,0)</f>
        <v>1</v>
      </c>
      <c r="T19" cm="1">
        <f t="array" ref="T19">_xll.VALEURCOURBE($A$2,_xlfn.CONCAT("THEME14=",$B19),SCENARIOS!$A$2,SCENARIOS!$B$2,YIELDS_youvert!T$1,0)</f>
        <v>1</v>
      </c>
      <c r="U19" cm="1">
        <f t="array" ref="U19">_xll.VALEURCOURBE($A$2,_xlfn.CONCAT("THEME14=",$B19),SCENARIOS!$A$2,SCENARIOS!$B$2,YIELDS_youvert!U$1,0)</f>
        <v>1</v>
      </c>
      <c r="V19" cm="1">
        <f t="array" ref="V19">_xll.VALEURCOURBE($A$2,_xlfn.CONCAT("THEME14=",$B19),SCENARIOS!$A$2,SCENARIOS!$B$2,YIELDS_youvert!V$1,0)</f>
        <v>1</v>
      </c>
      <c r="W19" cm="1">
        <f t="array" ref="W19">_xll.VALEURCOURBE($A$2,_xlfn.CONCAT("THEME14=",$B19),SCENARIOS!$A$2,SCENARIOS!$B$2,YIELDS_youvert!W$1,0)</f>
        <v>1</v>
      </c>
      <c r="X19" cm="1">
        <f t="array" ref="X19">_xll.VALEURCOURBE($A$2,_xlfn.CONCAT("THEME14=",$B19),SCENARIOS!$A$2,SCENARIOS!$B$2,YIELDS_youvert!X$1,0)</f>
        <v>1</v>
      </c>
      <c r="Y19" cm="1">
        <f t="array" ref="Y19">_xll.VALEURCOURBE($A$2,_xlfn.CONCAT("THEME14=",$B19),SCENARIOS!$A$2,SCENARIOS!$B$2,YIELDS_youvert!Y$1,0)</f>
        <v>1</v>
      </c>
      <c r="Z19" cm="1">
        <f t="array" ref="Z19">_xll.VALEURCOURBE($A$2,_xlfn.CONCAT("THEME14=",$B19),SCENARIOS!$A$2,SCENARIOS!$B$2,YIELDS_youvert!Z$1,0)</f>
        <v>1</v>
      </c>
      <c r="AA19" cm="1">
        <f t="array" ref="AA19">_xll.VALEURCOURBE($A$2,_xlfn.CONCAT("THEME14=",$B19),SCENARIOS!$A$2,SCENARIOS!$B$2,YIELDS_youvert!AA$1,0)</f>
        <v>1</v>
      </c>
      <c r="AB19" cm="1">
        <f t="array" ref="AB19">_xll.VALEURCOURBE($A$2,_xlfn.CONCAT("THEME14=",$B19),SCENARIOS!$A$2,SCENARIOS!$B$2,YIELDS_youvert!AB$1,0)</f>
        <v>1</v>
      </c>
      <c r="AC19" cm="1">
        <f t="array" ref="AC19">_xll.VALEURCOURBE($A$2,_xlfn.CONCAT("THEME14=",$B19),SCENARIOS!$A$2,SCENARIOS!$B$2,YIELDS_youvert!AC$1,0)</f>
        <v>1</v>
      </c>
      <c r="AD19" cm="1">
        <f t="array" ref="AD19">_xll.VALEURCOURBE($A$2,_xlfn.CONCAT("THEME14=",$B19),SCENARIOS!$A$2,SCENARIOS!$B$2,YIELDS_youvert!AD$1,0)</f>
        <v>1</v>
      </c>
      <c r="AE19" cm="1">
        <f t="array" ref="AE19">_xll.VALEURCOURBE($A$2,_xlfn.CONCAT("THEME14=",$B19),SCENARIOS!$A$2,SCENARIOS!$B$2,YIELDS_youvert!AE$1,0)</f>
        <v>1</v>
      </c>
    </row>
    <row r="20" spans="3:31" x14ac:dyDescent="0.25">
      <c r="C20" cm="1">
        <f t="array" ref="C20">_xll.VALEURCOURBE($A$2,_xlfn.CONCAT("THEME14=",$B20),SCENARIOS!$A$2,SCENARIOS!$B$2,YIELDS_youvert!C$1,0)</f>
        <v>1</v>
      </c>
      <c r="D20" cm="1">
        <f t="array" ref="D20">_xll.VALEURCOURBE($A$2,_xlfn.CONCAT("THEME14=",$B20),SCENARIOS!$A$2,SCENARIOS!$B$2,YIELDS_youvert!D$1,0)</f>
        <v>1</v>
      </c>
      <c r="E20" cm="1">
        <f t="array" ref="E20">_xll.VALEURCOURBE($A$2,_xlfn.CONCAT("THEME14=",$B20),SCENARIOS!$A$2,SCENARIOS!$B$2,YIELDS_youvert!E$1,0)</f>
        <v>1</v>
      </c>
      <c r="F20" cm="1">
        <f t="array" ref="F20">_xll.VALEURCOURBE($A$2,_xlfn.CONCAT("THEME14=",$B20),SCENARIOS!$A$2,SCENARIOS!$B$2,YIELDS_youvert!F$1,0)</f>
        <v>1</v>
      </c>
      <c r="G20" cm="1">
        <f t="array" ref="G20">_xll.VALEURCOURBE($A$2,_xlfn.CONCAT("THEME14=",$B20),SCENARIOS!$A$2,SCENARIOS!$B$2,YIELDS_youvert!G$1,0)</f>
        <v>1</v>
      </c>
      <c r="H20" cm="1">
        <f t="array" ref="H20">_xll.VALEURCOURBE($A$2,_xlfn.CONCAT("THEME14=",$B20),SCENARIOS!$A$2,SCENARIOS!$B$2,YIELDS_youvert!H$1,0)</f>
        <v>1</v>
      </c>
      <c r="I20" cm="1">
        <f t="array" ref="I20">_xll.VALEURCOURBE($A$2,_xlfn.CONCAT("THEME14=",$B20),SCENARIOS!$A$2,SCENARIOS!$B$2,YIELDS_youvert!I$1,0)</f>
        <v>1</v>
      </c>
      <c r="J20" cm="1">
        <f t="array" ref="J20">_xll.VALEURCOURBE($A$2,_xlfn.CONCAT("THEME14=",$B20),SCENARIOS!$A$2,SCENARIOS!$B$2,YIELDS_youvert!J$1,0)</f>
        <v>1</v>
      </c>
      <c r="K20" cm="1">
        <f t="array" ref="K20">_xll.VALEURCOURBE($A$2,_xlfn.CONCAT("THEME14=",$B20),SCENARIOS!$A$2,SCENARIOS!$B$2,YIELDS_youvert!K$1,0)</f>
        <v>1</v>
      </c>
      <c r="L20" cm="1">
        <f t="array" ref="L20">_xll.VALEURCOURBE($A$2,_xlfn.CONCAT("THEME14=",$B20),SCENARIOS!$A$2,SCENARIOS!$B$2,YIELDS_youvert!L$1,0)</f>
        <v>1</v>
      </c>
      <c r="M20" cm="1">
        <f t="array" ref="M20">_xll.VALEURCOURBE($A$2,_xlfn.CONCAT("THEME14=",$B20),SCENARIOS!$A$2,SCENARIOS!$B$2,YIELDS_youvert!M$1,0)</f>
        <v>1</v>
      </c>
      <c r="N20" cm="1">
        <f t="array" ref="N20">_xll.VALEURCOURBE($A$2,_xlfn.CONCAT("THEME14=",$B20),SCENARIOS!$A$2,SCENARIOS!$B$2,YIELDS_youvert!N$1,0)</f>
        <v>1</v>
      </c>
      <c r="O20" cm="1">
        <f t="array" ref="O20">_xll.VALEURCOURBE($A$2,_xlfn.CONCAT("THEME14=",$B20),SCENARIOS!$A$2,SCENARIOS!$B$2,YIELDS_youvert!O$1,0)</f>
        <v>1</v>
      </c>
      <c r="P20" cm="1">
        <f t="array" ref="P20">_xll.VALEURCOURBE($A$2,_xlfn.CONCAT("THEME14=",$B20),SCENARIOS!$A$2,SCENARIOS!$B$2,YIELDS_youvert!P$1,0)</f>
        <v>1</v>
      </c>
      <c r="Q20" cm="1">
        <f t="array" ref="Q20">_xll.VALEURCOURBE($A$2,_xlfn.CONCAT("THEME14=",$B20),SCENARIOS!$A$2,SCENARIOS!$B$2,YIELDS_youvert!Q$1,0)</f>
        <v>1</v>
      </c>
      <c r="R20" cm="1">
        <f t="array" ref="R20">_xll.VALEURCOURBE($A$2,_xlfn.CONCAT("THEME14=",$B20),SCENARIOS!$A$2,SCENARIOS!$B$2,YIELDS_youvert!R$1,0)</f>
        <v>1</v>
      </c>
      <c r="S20" cm="1">
        <f t="array" ref="S20">_xll.VALEURCOURBE($A$2,_xlfn.CONCAT("THEME14=",$B20),SCENARIOS!$A$2,SCENARIOS!$B$2,YIELDS_youvert!S$1,0)</f>
        <v>1</v>
      </c>
      <c r="T20" cm="1">
        <f t="array" ref="T20">_xll.VALEURCOURBE($A$2,_xlfn.CONCAT("THEME14=",$B20),SCENARIOS!$A$2,SCENARIOS!$B$2,YIELDS_youvert!T$1,0)</f>
        <v>1</v>
      </c>
      <c r="U20" cm="1">
        <f t="array" ref="U20">_xll.VALEURCOURBE($A$2,_xlfn.CONCAT("THEME14=",$B20),SCENARIOS!$A$2,SCENARIOS!$B$2,YIELDS_youvert!U$1,0)</f>
        <v>1</v>
      </c>
      <c r="V20" cm="1">
        <f t="array" ref="V20">_xll.VALEURCOURBE($A$2,_xlfn.CONCAT("THEME14=",$B20),SCENARIOS!$A$2,SCENARIOS!$B$2,YIELDS_youvert!V$1,0)</f>
        <v>1</v>
      </c>
      <c r="W20" cm="1">
        <f t="array" ref="W20">_xll.VALEURCOURBE($A$2,_xlfn.CONCAT("THEME14=",$B20),SCENARIOS!$A$2,SCENARIOS!$B$2,YIELDS_youvert!W$1,0)</f>
        <v>1</v>
      </c>
      <c r="X20" cm="1">
        <f t="array" ref="X20">_xll.VALEURCOURBE($A$2,_xlfn.CONCAT("THEME14=",$B20),SCENARIOS!$A$2,SCENARIOS!$B$2,YIELDS_youvert!X$1,0)</f>
        <v>1</v>
      </c>
      <c r="Y20" cm="1">
        <f t="array" ref="Y20">_xll.VALEURCOURBE($A$2,_xlfn.CONCAT("THEME14=",$B20),SCENARIOS!$A$2,SCENARIOS!$B$2,YIELDS_youvert!Y$1,0)</f>
        <v>1</v>
      </c>
      <c r="Z20" cm="1">
        <f t="array" ref="Z20">_xll.VALEURCOURBE($A$2,_xlfn.CONCAT("THEME14=",$B20),SCENARIOS!$A$2,SCENARIOS!$B$2,YIELDS_youvert!Z$1,0)</f>
        <v>1</v>
      </c>
      <c r="AA20" cm="1">
        <f t="array" ref="AA20">_xll.VALEURCOURBE($A$2,_xlfn.CONCAT("THEME14=",$B20),SCENARIOS!$A$2,SCENARIOS!$B$2,YIELDS_youvert!AA$1,0)</f>
        <v>1</v>
      </c>
      <c r="AB20" cm="1">
        <f t="array" ref="AB20">_xll.VALEURCOURBE($A$2,_xlfn.CONCAT("THEME14=",$B20),SCENARIOS!$A$2,SCENARIOS!$B$2,YIELDS_youvert!AB$1,0)</f>
        <v>1</v>
      </c>
      <c r="AC20" cm="1">
        <f t="array" ref="AC20">_xll.VALEURCOURBE($A$2,_xlfn.CONCAT("THEME14=",$B20),SCENARIOS!$A$2,SCENARIOS!$B$2,YIELDS_youvert!AC$1,0)</f>
        <v>1</v>
      </c>
      <c r="AD20" cm="1">
        <f t="array" ref="AD20">_xll.VALEURCOURBE($A$2,_xlfn.CONCAT("THEME14=",$B20),SCENARIOS!$A$2,SCENARIOS!$B$2,YIELDS_youvert!AD$1,0)</f>
        <v>1</v>
      </c>
      <c r="AE20" cm="1">
        <f t="array" ref="AE20">_xll.VALEURCOURBE($A$2,_xlfn.CONCAT("THEME14=",$B20),SCENARIOS!$A$2,SCENARIOS!$B$2,YIELDS_youvert!AE$1,0)</f>
        <v>1</v>
      </c>
    </row>
    <row r="21" spans="3:31" x14ac:dyDescent="0.25">
      <c r="C21" cm="1">
        <f t="array" ref="C21">_xll.VALEURCOURBE($A$2,_xlfn.CONCAT("THEME14=",$B21),SCENARIOS!$A$2,SCENARIOS!$B$2,YIELDS_youvert!C$1,0)</f>
        <v>1</v>
      </c>
      <c r="D21" cm="1">
        <f t="array" ref="D21">_xll.VALEURCOURBE($A$2,_xlfn.CONCAT("THEME14=",$B21),SCENARIOS!$A$2,SCENARIOS!$B$2,YIELDS_youvert!D$1,0)</f>
        <v>1</v>
      </c>
      <c r="E21" cm="1">
        <f t="array" ref="E21">_xll.VALEURCOURBE($A$2,_xlfn.CONCAT("THEME14=",$B21),SCENARIOS!$A$2,SCENARIOS!$B$2,YIELDS_youvert!E$1,0)</f>
        <v>1</v>
      </c>
      <c r="F21" cm="1">
        <f t="array" ref="F21">_xll.VALEURCOURBE($A$2,_xlfn.CONCAT("THEME14=",$B21),SCENARIOS!$A$2,SCENARIOS!$B$2,YIELDS_youvert!F$1,0)</f>
        <v>1</v>
      </c>
      <c r="G21" cm="1">
        <f t="array" ref="G21">_xll.VALEURCOURBE($A$2,_xlfn.CONCAT("THEME14=",$B21),SCENARIOS!$A$2,SCENARIOS!$B$2,YIELDS_youvert!G$1,0)</f>
        <v>1</v>
      </c>
      <c r="H21" cm="1">
        <f t="array" ref="H21">_xll.VALEURCOURBE($A$2,_xlfn.CONCAT("THEME14=",$B21),SCENARIOS!$A$2,SCENARIOS!$B$2,YIELDS_youvert!H$1,0)</f>
        <v>1</v>
      </c>
      <c r="I21" cm="1">
        <f t="array" ref="I21">_xll.VALEURCOURBE($A$2,_xlfn.CONCAT("THEME14=",$B21),SCENARIOS!$A$2,SCENARIOS!$B$2,YIELDS_youvert!I$1,0)</f>
        <v>1</v>
      </c>
      <c r="J21" cm="1">
        <f t="array" ref="J21">_xll.VALEURCOURBE($A$2,_xlfn.CONCAT("THEME14=",$B21),SCENARIOS!$A$2,SCENARIOS!$B$2,YIELDS_youvert!J$1,0)</f>
        <v>1</v>
      </c>
      <c r="K21" cm="1">
        <f t="array" ref="K21">_xll.VALEURCOURBE($A$2,_xlfn.CONCAT("THEME14=",$B21),SCENARIOS!$A$2,SCENARIOS!$B$2,YIELDS_youvert!K$1,0)</f>
        <v>1</v>
      </c>
      <c r="L21" cm="1">
        <f t="array" ref="L21">_xll.VALEURCOURBE($A$2,_xlfn.CONCAT("THEME14=",$B21),SCENARIOS!$A$2,SCENARIOS!$B$2,YIELDS_youvert!L$1,0)</f>
        <v>1</v>
      </c>
      <c r="M21" cm="1">
        <f t="array" ref="M21">_xll.VALEURCOURBE($A$2,_xlfn.CONCAT("THEME14=",$B21),SCENARIOS!$A$2,SCENARIOS!$B$2,YIELDS_youvert!M$1,0)</f>
        <v>1</v>
      </c>
      <c r="N21" cm="1">
        <f t="array" ref="N21">_xll.VALEURCOURBE($A$2,_xlfn.CONCAT("THEME14=",$B21),SCENARIOS!$A$2,SCENARIOS!$B$2,YIELDS_youvert!N$1,0)</f>
        <v>1</v>
      </c>
      <c r="O21" cm="1">
        <f t="array" ref="O21">_xll.VALEURCOURBE($A$2,_xlfn.CONCAT("THEME14=",$B21),SCENARIOS!$A$2,SCENARIOS!$B$2,YIELDS_youvert!O$1,0)</f>
        <v>1</v>
      </c>
      <c r="P21" cm="1">
        <f t="array" ref="P21">_xll.VALEURCOURBE($A$2,_xlfn.CONCAT("THEME14=",$B21),SCENARIOS!$A$2,SCENARIOS!$B$2,YIELDS_youvert!P$1,0)</f>
        <v>1</v>
      </c>
      <c r="Q21" cm="1">
        <f t="array" ref="Q21">_xll.VALEURCOURBE($A$2,_xlfn.CONCAT("THEME14=",$B21),SCENARIOS!$A$2,SCENARIOS!$B$2,YIELDS_youvert!Q$1,0)</f>
        <v>1</v>
      </c>
      <c r="R21" cm="1">
        <f t="array" ref="R21">_xll.VALEURCOURBE($A$2,_xlfn.CONCAT("THEME14=",$B21),SCENARIOS!$A$2,SCENARIOS!$B$2,YIELDS_youvert!R$1,0)</f>
        <v>1</v>
      </c>
      <c r="S21" cm="1">
        <f t="array" ref="S21">_xll.VALEURCOURBE($A$2,_xlfn.CONCAT("THEME14=",$B21),SCENARIOS!$A$2,SCENARIOS!$B$2,YIELDS_youvert!S$1,0)</f>
        <v>1</v>
      </c>
      <c r="T21" cm="1">
        <f t="array" ref="T21">_xll.VALEURCOURBE($A$2,_xlfn.CONCAT("THEME14=",$B21),SCENARIOS!$A$2,SCENARIOS!$B$2,YIELDS_youvert!T$1,0)</f>
        <v>1</v>
      </c>
      <c r="U21" cm="1">
        <f t="array" ref="U21">_xll.VALEURCOURBE($A$2,_xlfn.CONCAT("THEME14=",$B21),SCENARIOS!$A$2,SCENARIOS!$B$2,YIELDS_youvert!U$1,0)</f>
        <v>1</v>
      </c>
      <c r="V21" cm="1">
        <f t="array" ref="V21">_xll.VALEURCOURBE($A$2,_xlfn.CONCAT("THEME14=",$B21),SCENARIOS!$A$2,SCENARIOS!$B$2,YIELDS_youvert!V$1,0)</f>
        <v>1</v>
      </c>
      <c r="W21" cm="1">
        <f t="array" ref="W21">_xll.VALEURCOURBE($A$2,_xlfn.CONCAT("THEME14=",$B21),SCENARIOS!$A$2,SCENARIOS!$B$2,YIELDS_youvert!W$1,0)</f>
        <v>1</v>
      </c>
      <c r="X21" cm="1">
        <f t="array" ref="X21">_xll.VALEURCOURBE($A$2,_xlfn.CONCAT("THEME14=",$B21),SCENARIOS!$A$2,SCENARIOS!$B$2,YIELDS_youvert!X$1,0)</f>
        <v>1</v>
      </c>
      <c r="Y21" cm="1">
        <f t="array" ref="Y21">_xll.VALEURCOURBE($A$2,_xlfn.CONCAT("THEME14=",$B21),SCENARIOS!$A$2,SCENARIOS!$B$2,YIELDS_youvert!Y$1,0)</f>
        <v>1</v>
      </c>
      <c r="Z21" cm="1">
        <f t="array" ref="Z21">_xll.VALEURCOURBE($A$2,_xlfn.CONCAT("THEME14=",$B21),SCENARIOS!$A$2,SCENARIOS!$B$2,YIELDS_youvert!Z$1,0)</f>
        <v>1</v>
      </c>
      <c r="AA21" cm="1">
        <f t="array" ref="AA21">_xll.VALEURCOURBE($A$2,_xlfn.CONCAT("THEME14=",$B21),SCENARIOS!$A$2,SCENARIOS!$B$2,YIELDS_youvert!AA$1,0)</f>
        <v>1</v>
      </c>
      <c r="AB21" cm="1">
        <f t="array" ref="AB21">_xll.VALEURCOURBE($A$2,_xlfn.CONCAT("THEME14=",$B21),SCENARIOS!$A$2,SCENARIOS!$B$2,YIELDS_youvert!AB$1,0)</f>
        <v>1</v>
      </c>
      <c r="AC21" cm="1">
        <f t="array" ref="AC21">_xll.VALEURCOURBE($A$2,_xlfn.CONCAT("THEME14=",$B21),SCENARIOS!$A$2,SCENARIOS!$B$2,YIELDS_youvert!AC$1,0)</f>
        <v>1</v>
      </c>
      <c r="AD21" cm="1">
        <f t="array" ref="AD21">_xll.VALEURCOURBE($A$2,_xlfn.CONCAT("THEME14=",$B21),SCENARIOS!$A$2,SCENARIOS!$B$2,YIELDS_youvert!AD$1,0)</f>
        <v>1</v>
      </c>
      <c r="AE21" cm="1">
        <f t="array" ref="AE21">_xll.VALEURCOURBE($A$2,_xlfn.CONCAT("THEME14=",$B21),SCENARIOS!$A$2,SCENARIOS!$B$2,YIELDS_youvert!AE$1,0)</f>
        <v>1</v>
      </c>
    </row>
    <row r="22" spans="3:31" x14ac:dyDescent="0.25">
      <c r="C22" cm="1">
        <f t="array" ref="C22">_xll.VALEURCOURBE($A$2,_xlfn.CONCAT("THEME14=",$B22),SCENARIOS!$A$2,SCENARIOS!$B$2,YIELDS_youvert!C$1,0)</f>
        <v>1</v>
      </c>
      <c r="D22" cm="1">
        <f t="array" ref="D22">_xll.VALEURCOURBE($A$2,_xlfn.CONCAT("THEME14=",$B22),SCENARIOS!$A$2,SCENARIOS!$B$2,YIELDS_youvert!D$1,0)</f>
        <v>1</v>
      </c>
      <c r="E22" cm="1">
        <f t="array" ref="E22">_xll.VALEURCOURBE($A$2,_xlfn.CONCAT("THEME14=",$B22),SCENARIOS!$A$2,SCENARIOS!$B$2,YIELDS_youvert!E$1,0)</f>
        <v>1</v>
      </c>
      <c r="F22" cm="1">
        <f t="array" ref="F22">_xll.VALEURCOURBE($A$2,_xlfn.CONCAT("THEME14=",$B22),SCENARIOS!$A$2,SCENARIOS!$B$2,YIELDS_youvert!F$1,0)</f>
        <v>1</v>
      </c>
      <c r="G22" cm="1">
        <f t="array" ref="G22">_xll.VALEURCOURBE($A$2,_xlfn.CONCAT("THEME14=",$B22),SCENARIOS!$A$2,SCENARIOS!$B$2,YIELDS_youvert!G$1,0)</f>
        <v>1</v>
      </c>
      <c r="H22" cm="1">
        <f t="array" ref="H22">_xll.VALEURCOURBE($A$2,_xlfn.CONCAT("THEME14=",$B22),SCENARIOS!$A$2,SCENARIOS!$B$2,YIELDS_youvert!H$1,0)</f>
        <v>1</v>
      </c>
      <c r="I22" cm="1">
        <f t="array" ref="I22">_xll.VALEURCOURBE($A$2,_xlfn.CONCAT("THEME14=",$B22),SCENARIOS!$A$2,SCENARIOS!$B$2,YIELDS_youvert!I$1,0)</f>
        <v>1</v>
      </c>
      <c r="J22" cm="1">
        <f t="array" ref="J22">_xll.VALEURCOURBE($A$2,_xlfn.CONCAT("THEME14=",$B22),SCENARIOS!$A$2,SCENARIOS!$B$2,YIELDS_youvert!J$1,0)</f>
        <v>1</v>
      </c>
      <c r="K22" cm="1">
        <f t="array" ref="K22">_xll.VALEURCOURBE($A$2,_xlfn.CONCAT("THEME14=",$B22),SCENARIOS!$A$2,SCENARIOS!$B$2,YIELDS_youvert!K$1,0)</f>
        <v>1</v>
      </c>
      <c r="L22" cm="1">
        <f t="array" ref="L22">_xll.VALEURCOURBE($A$2,_xlfn.CONCAT("THEME14=",$B22),SCENARIOS!$A$2,SCENARIOS!$B$2,YIELDS_youvert!L$1,0)</f>
        <v>1</v>
      </c>
      <c r="M22" cm="1">
        <f t="array" ref="M22">_xll.VALEURCOURBE($A$2,_xlfn.CONCAT("THEME14=",$B22),SCENARIOS!$A$2,SCENARIOS!$B$2,YIELDS_youvert!M$1,0)</f>
        <v>1</v>
      </c>
      <c r="N22" cm="1">
        <f t="array" ref="N22">_xll.VALEURCOURBE($A$2,_xlfn.CONCAT("THEME14=",$B22),SCENARIOS!$A$2,SCENARIOS!$B$2,YIELDS_youvert!N$1,0)</f>
        <v>1</v>
      </c>
      <c r="O22" cm="1">
        <f t="array" ref="O22">_xll.VALEURCOURBE($A$2,_xlfn.CONCAT("THEME14=",$B22),SCENARIOS!$A$2,SCENARIOS!$B$2,YIELDS_youvert!O$1,0)</f>
        <v>1</v>
      </c>
      <c r="P22" cm="1">
        <f t="array" ref="P22">_xll.VALEURCOURBE($A$2,_xlfn.CONCAT("THEME14=",$B22),SCENARIOS!$A$2,SCENARIOS!$B$2,YIELDS_youvert!P$1,0)</f>
        <v>1</v>
      </c>
      <c r="Q22" cm="1">
        <f t="array" ref="Q22">_xll.VALEURCOURBE($A$2,_xlfn.CONCAT("THEME14=",$B22),SCENARIOS!$A$2,SCENARIOS!$B$2,YIELDS_youvert!Q$1,0)</f>
        <v>1</v>
      </c>
      <c r="R22" cm="1">
        <f t="array" ref="R22">_xll.VALEURCOURBE($A$2,_xlfn.CONCAT("THEME14=",$B22),SCENARIOS!$A$2,SCENARIOS!$B$2,YIELDS_youvert!R$1,0)</f>
        <v>1</v>
      </c>
      <c r="S22" cm="1">
        <f t="array" ref="S22">_xll.VALEURCOURBE($A$2,_xlfn.CONCAT("THEME14=",$B22),SCENARIOS!$A$2,SCENARIOS!$B$2,YIELDS_youvert!S$1,0)</f>
        <v>1</v>
      </c>
      <c r="T22" cm="1">
        <f t="array" ref="T22">_xll.VALEURCOURBE($A$2,_xlfn.CONCAT("THEME14=",$B22),SCENARIOS!$A$2,SCENARIOS!$B$2,YIELDS_youvert!T$1,0)</f>
        <v>1</v>
      </c>
      <c r="U22" cm="1">
        <f t="array" ref="U22">_xll.VALEURCOURBE($A$2,_xlfn.CONCAT("THEME14=",$B22),SCENARIOS!$A$2,SCENARIOS!$B$2,YIELDS_youvert!U$1,0)</f>
        <v>1</v>
      </c>
      <c r="V22" cm="1">
        <f t="array" ref="V22">_xll.VALEURCOURBE($A$2,_xlfn.CONCAT("THEME14=",$B22),SCENARIOS!$A$2,SCENARIOS!$B$2,YIELDS_youvert!V$1,0)</f>
        <v>1</v>
      </c>
      <c r="W22" cm="1">
        <f t="array" ref="W22">_xll.VALEURCOURBE($A$2,_xlfn.CONCAT("THEME14=",$B22),SCENARIOS!$A$2,SCENARIOS!$B$2,YIELDS_youvert!W$1,0)</f>
        <v>1</v>
      </c>
      <c r="X22" cm="1">
        <f t="array" ref="X22">_xll.VALEURCOURBE($A$2,_xlfn.CONCAT("THEME14=",$B22),SCENARIOS!$A$2,SCENARIOS!$B$2,YIELDS_youvert!X$1,0)</f>
        <v>1</v>
      </c>
      <c r="Y22" cm="1">
        <f t="array" ref="Y22">_xll.VALEURCOURBE($A$2,_xlfn.CONCAT("THEME14=",$B22),SCENARIOS!$A$2,SCENARIOS!$B$2,YIELDS_youvert!Y$1,0)</f>
        <v>1</v>
      </c>
      <c r="Z22" cm="1">
        <f t="array" ref="Z22">_xll.VALEURCOURBE($A$2,_xlfn.CONCAT("THEME14=",$B22),SCENARIOS!$A$2,SCENARIOS!$B$2,YIELDS_youvert!Z$1,0)</f>
        <v>1</v>
      </c>
      <c r="AA22" cm="1">
        <f t="array" ref="AA22">_xll.VALEURCOURBE($A$2,_xlfn.CONCAT("THEME14=",$B22),SCENARIOS!$A$2,SCENARIOS!$B$2,YIELDS_youvert!AA$1,0)</f>
        <v>1</v>
      </c>
      <c r="AB22" cm="1">
        <f t="array" ref="AB22">_xll.VALEURCOURBE($A$2,_xlfn.CONCAT("THEME14=",$B22),SCENARIOS!$A$2,SCENARIOS!$B$2,YIELDS_youvert!AB$1,0)</f>
        <v>1</v>
      </c>
      <c r="AC22" cm="1">
        <f t="array" ref="AC22">_xll.VALEURCOURBE($A$2,_xlfn.CONCAT("THEME14=",$B22),SCENARIOS!$A$2,SCENARIOS!$B$2,YIELDS_youvert!AC$1,0)</f>
        <v>1</v>
      </c>
      <c r="AD22" cm="1">
        <f t="array" ref="AD22">_xll.VALEURCOURBE($A$2,_xlfn.CONCAT("THEME14=",$B22),SCENARIOS!$A$2,SCENARIOS!$B$2,YIELDS_youvert!AD$1,0)</f>
        <v>1</v>
      </c>
      <c r="AE22" cm="1">
        <f t="array" ref="AE22">_xll.VALEURCOURBE($A$2,_xlfn.CONCAT("THEME14=",$B22),SCENARIOS!$A$2,SCENARIOS!$B$2,YIELDS_youvert!AE$1,0)</f>
        <v>1</v>
      </c>
    </row>
    <row r="23" spans="3:31" x14ac:dyDescent="0.25">
      <c r="C23" cm="1">
        <f t="array" ref="C23">_xll.VALEURCOURBE($A$2,_xlfn.CONCAT("THEME14=",$B23),SCENARIOS!$A$2,SCENARIOS!$B$2,YIELDS_youvert!C$1,0)</f>
        <v>1</v>
      </c>
      <c r="D23" cm="1">
        <f t="array" ref="D23">_xll.VALEURCOURBE($A$2,_xlfn.CONCAT("THEME14=",$B23),SCENARIOS!$A$2,SCENARIOS!$B$2,YIELDS_youvert!D$1,0)</f>
        <v>1</v>
      </c>
      <c r="E23" cm="1">
        <f t="array" ref="E23">_xll.VALEURCOURBE($A$2,_xlfn.CONCAT("THEME14=",$B23),SCENARIOS!$A$2,SCENARIOS!$B$2,YIELDS_youvert!E$1,0)</f>
        <v>1</v>
      </c>
      <c r="F23" cm="1">
        <f t="array" ref="F23">_xll.VALEURCOURBE($A$2,_xlfn.CONCAT("THEME14=",$B23),SCENARIOS!$A$2,SCENARIOS!$B$2,YIELDS_youvert!F$1,0)</f>
        <v>1</v>
      </c>
      <c r="G23" cm="1">
        <f t="array" ref="G23">_xll.VALEURCOURBE($A$2,_xlfn.CONCAT("THEME14=",$B23),SCENARIOS!$A$2,SCENARIOS!$B$2,YIELDS_youvert!G$1,0)</f>
        <v>1</v>
      </c>
      <c r="H23" cm="1">
        <f t="array" ref="H23">_xll.VALEURCOURBE($A$2,_xlfn.CONCAT("THEME14=",$B23),SCENARIOS!$A$2,SCENARIOS!$B$2,YIELDS_youvert!H$1,0)</f>
        <v>1</v>
      </c>
      <c r="I23" cm="1">
        <f t="array" ref="I23">_xll.VALEURCOURBE($A$2,_xlfn.CONCAT("THEME14=",$B23),SCENARIOS!$A$2,SCENARIOS!$B$2,YIELDS_youvert!I$1,0)</f>
        <v>1</v>
      </c>
      <c r="J23" cm="1">
        <f t="array" ref="J23">_xll.VALEURCOURBE($A$2,_xlfn.CONCAT("THEME14=",$B23),SCENARIOS!$A$2,SCENARIOS!$B$2,YIELDS_youvert!J$1,0)</f>
        <v>1</v>
      </c>
      <c r="K23" cm="1">
        <f t="array" ref="K23">_xll.VALEURCOURBE($A$2,_xlfn.CONCAT("THEME14=",$B23),SCENARIOS!$A$2,SCENARIOS!$B$2,YIELDS_youvert!K$1,0)</f>
        <v>1</v>
      </c>
      <c r="L23" cm="1">
        <f t="array" ref="L23">_xll.VALEURCOURBE($A$2,_xlfn.CONCAT("THEME14=",$B23),SCENARIOS!$A$2,SCENARIOS!$B$2,YIELDS_youvert!L$1,0)</f>
        <v>1</v>
      </c>
      <c r="M23" cm="1">
        <f t="array" ref="M23">_xll.VALEURCOURBE($A$2,_xlfn.CONCAT("THEME14=",$B23),SCENARIOS!$A$2,SCENARIOS!$B$2,YIELDS_youvert!M$1,0)</f>
        <v>1</v>
      </c>
      <c r="N23" cm="1">
        <f t="array" ref="N23">_xll.VALEURCOURBE($A$2,_xlfn.CONCAT("THEME14=",$B23),SCENARIOS!$A$2,SCENARIOS!$B$2,YIELDS_youvert!N$1,0)</f>
        <v>1</v>
      </c>
      <c r="O23" cm="1">
        <f t="array" ref="O23">_xll.VALEURCOURBE($A$2,_xlfn.CONCAT("THEME14=",$B23),SCENARIOS!$A$2,SCENARIOS!$B$2,YIELDS_youvert!O$1,0)</f>
        <v>1</v>
      </c>
      <c r="P23" cm="1">
        <f t="array" ref="P23">_xll.VALEURCOURBE($A$2,_xlfn.CONCAT("THEME14=",$B23),SCENARIOS!$A$2,SCENARIOS!$B$2,YIELDS_youvert!P$1,0)</f>
        <v>1</v>
      </c>
      <c r="Q23" cm="1">
        <f t="array" ref="Q23">_xll.VALEURCOURBE($A$2,_xlfn.CONCAT("THEME14=",$B23),SCENARIOS!$A$2,SCENARIOS!$B$2,YIELDS_youvert!Q$1,0)</f>
        <v>1</v>
      </c>
      <c r="R23" cm="1">
        <f t="array" ref="R23">_xll.VALEURCOURBE($A$2,_xlfn.CONCAT("THEME14=",$B23),SCENARIOS!$A$2,SCENARIOS!$B$2,YIELDS_youvert!R$1,0)</f>
        <v>1</v>
      </c>
      <c r="S23" cm="1">
        <f t="array" ref="S23">_xll.VALEURCOURBE($A$2,_xlfn.CONCAT("THEME14=",$B23),SCENARIOS!$A$2,SCENARIOS!$B$2,YIELDS_youvert!S$1,0)</f>
        <v>1</v>
      </c>
      <c r="T23" cm="1">
        <f t="array" ref="T23">_xll.VALEURCOURBE($A$2,_xlfn.CONCAT("THEME14=",$B23),SCENARIOS!$A$2,SCENARIOS!$B$2,YIELDS_youvert!T$1,0)</f>
        <v>1</v>
      </c>
      <c r="U23" cm="1">
        <f t="array" ref="U23">_xll.VALEURCOURBE($A$2,_xlfn.CONCAT("THEME14=",$B23),SCENARIOS!$A$2,SCENARIOS!$B$2,YIELDS_youvert!U$1,0)</f>
        <v>1</v>
      </c>
      <c r="V23" cm="1">
        <f t="array" ref="V23">_xll.VALEURCOURBE($A$2,_xlfn.CONCAT("THEME14=",$B23),SCENARIOS!$A$2,SCENARIOS!$B$2,YIELDS_youvert!V$1,0)</f>
        <v>1</v>
      </c>
      <c r="W23" cm="1">
        <f t="array" ref="W23">_xll.VALEURCOURBE($A$2,_xlfn.CONCAT("THEME14=",$B23),SCENARIOS!$A$2,SCENARIOS!$B$2,YIELDS_youvert!W$1,0)</f>
        <v>1</v>
      </c>
      <c r="X23" cm="1">
        <f t="array" ref="X23">_xll.VALEURCOURBE($A$2,_xlfn.CONCAT("THEME14=",$B23),SCENARIOS!$A$2,SCENARIOS!$B$2,YIELDS_youvert!X$1,0)</f>
        <v>1</v>
      </c>
      <c r="Y23" cm="1">
        <f t="array" ref="Y23">_xll.VALEURCOURBE($A$2,_xlfn.CONCAT("THEME14=",$B23),SCENARIOS!$A$2,SCENARIOS!$B$2,YIELDS_youvert!Y$1,0)</f>
        <v>1</v>
      </c>
      <c r="Z23" cm="1">
        <f t="array" ref="Z23">_xll.VALEURCOURBE($A$2,_xlfn.CONCAT("THEME14=",$B23),SCENARIOS!$A$2,SCENARIOS!$B$2,YIELDS_youvert!Z$1,0)</f>
        <v>1</v>
      </c>
      <c r="AA23" cm="1">
        <f t="array" ref="AA23">_xll.VALEURCOURBE($A$2,_xlfn.CONCAT("THEME14=",$B23),SCENARIOS!$A$2,SCENARIOS!$B$2,YIELDS_youvert!AA$1,0)</f>
        <v>1</v>
      </c>
      <c r="AB23" cm="1">
        <f t="array" ref="AB23">_xll.VALEURCOURBE($A$2,_xlfn.CONCAT("THEME14=",$B23),SCENARIOS!$A$2,SCENARIOS!$B$2,YIELDS_youvert!AB$1,0)</f>
        <v>1</v>
      </c>
      <c r="AC23" cm="1">
        <f t="array" ref="AC23">_xll.VALEURCOURBE($A$2,_xlfn.CONCAT("THEME14=",$B23),SCENARIOS!$A$2,SCENARIOS!$B$2,YIELDS_youvert!AC$1,0)</f>
        <v>1</v>
      </c>
      <c r="AD23" cm="1">
        <f t="array" ref="AD23">_xll.VALEURCOURBE($A$2,_xlfn.CONCAT("THEME14=",$B23),SCENARIOS!$A$2,SCENARIOS!$B$2,YIELDS_youvert!AD$1,0)</f>
        <v>1</v>
      </c>
      <c r="AE23" cm="1">
        <f t="array" ref="AE23">_xll.VALEURCOURBE($A$2,_xlfn.CONCAT("THEME14=",$B23),SCENARIOS!$A$2,SCENARIOS!$B$2,YIELDS_youvert!AE$1,0)</f>
        <v>1</v>
      </c>
    </row>
    <row r="24" spans="3:31" x14ac:dyDescent="0.25">
      <c r="C24" cm="1">
        <f t="array" ref="C24">_xll.VALEURCOURBE($A$2,_xlfn.CONCAT("THEME14=",$B24),SCENARIOS!$A$2,SCENARIOS!$B$2,YIELDS_youvert!C$1,0)</f>
        <v>1</v>
      </c>
      <c r="D24" cm="1">
        <f t="array" ref="D24">_xll.VALEURCOURBE($A$2,_xlfn.CONCAT("THEME14=",$B24),SCENARIOS!$A$2,SCENARIOS!$B$2,YIELDS_youvert!D$1,0)</f>
        <v>1</v>
      </c>
      <c r="E24" cm="1">
        <f t="array" ref="E24">_xll.VALEURCOURBE($A$2,_xlfn.CONCAT("THEME14=",$B24),SCENARIOS!$A$2,SCENARIOS!$B$2,YIELDS_youvert!E$1,0)</f>
        <v>1</v>
      </c>
      <c r="F24" cm="1">
        <f t="array" ref="F24">_xll.VALEURCOURBE($A$2,_xlfn.CONCAT("THEME14=",$B24),SCENARIOS!$A$2,SCENARIOS!$B$2,YIELDS_youvert!F$1,0)</f>
        <v>1</v>
      </c>
      <c r="G24" cm="1">
        <f t="array" ref="G24">_xll.VALEURCOURBE($A$2,_xlfn.CONCAT("THEME14=",$B24),SCENARIOS!$A$2,SCENARIOS!$B$2,YIELDS_youvert!G$1,0)</f>
        <v>1</v>
      </c>
      <c r="H24" cm="1">
        <f t="array" ref="H24">_xll.VALEURCOURBE($A$2,_xlfn.CONCAT("THEME14=",$B24),SCENARIOS!$A$2,SCENARIOS!$B$2,YIELDS_youvert!H$1,0)</f>
        <v>1</v>
      </c>
      <c r="I24" cm="1">
        <f t="array" ref="I24">_xll.VALEURCOURBE($A$2,_xlfn.CONCAT("THEME14=",$B24),SCENARIOS!$A$2,SCENARIOS!$B$2,YIELDS_youvert!I$1,0)</f>
        <v>1</v>
      </c>
      <c r="J24" cm="1">
        <f t="array" ref="J24">_xll.VALEURCOURBE($A$2,_xlfn.CONCAT("THEME14=",$B24),SCENARIOS!$A$2,SCENARIOS!$B$2,YIELDS_youvert!J$1,0)</f>
        <v>1</v>
      </c>
      <c r="K24" cm="1">
        <f t="array" ref="K24">_xll.VALEURCOURBE($A$2,_xlfn.CONCAT("THEME14=",$B24),SCENARIOS!$A$2,SCENARIOS!$B$2,YIELDS_youvert!K$1,0)</f>
        <v>1</v>
      </c>
      <c r="L24" cm="1">
        <f t="array" ref="L24">_xll.VALEURCOURBE($A$2,_xlfn.CONCAT("THEME14=",$B24),SCENARIOS!$A$2,SCENARIOS!$B$2,YIELDS_youvert!L$1,0)</f>
        <v>1</v>
      </c>
      <c r="M24" cm="1">
        <f t="array" ref="M24">_xll.VALEURCOURBE($A$2,_xlfn.CONCAT("THEME14=",$B24),SCENARIOS!$A$2,SCENARIOS!$B$2,YIELDS_youvert!M$1,0)</f>
        <v>1</v>
      </c>
      <c r="N24" cm="1">
        <f t="array" ref="N24">_xll.VALEURCOURBE($A$2,_xlfn.CONCAT("THEME14=",$B24),SCENARIOS!$A$2,SCENARIOS!$B$2,YIELDS_youvert!N$1,0)</f>
        <v>1</v>
      </c>
      <c r="O24" cm="1">
        <f t="array" ref="O24">_xll.VALEURCOURBE($A$2,_xlfn.CONCAT("THEME14=",$B24),SCENARIOS!$A$2,SCENARIOS!$B$2,YIELDS_youvert!O$1,0)</f>
        <v>1</v>
      </c>
      <c r="P24" cm="1">
        <f t="array" ref="P24">_xll.VALEURCOURBE($A$2,_xlfn.CONCAT("THEME14=",$B24),SCENARIOS!$A$2,SCENARIOS!$B$2,YIELDS_youvert!P$1,0)</f>
        <v>1</v>
      </c>
      <c r="Q24" cm="1">
        <f t="array" ref="Q24">_xll.VALEURCOURBE($A$2,_xlfn.CONCAT("THEME14=",$B24),SCENARIOS!$A$2,SCENARIOS!$B$2,YIELDS_youvert!Q$1,0)</f>
        <v>1</v>
      </c>
      <c r="R24" cm="1">
        <f t="array" ref="R24">_xll.VALEURCOURBE($A$2,_xlfn.CONCAT("THEME14=",$B24),SCENARIOS!$A$2,SCENARIOS!$B$2,YIELDS_youvert!R$1,0)</f>
        <v>1</v>
      </c>
      <c r="S24" cm="1">
        <f t="array" ref="S24">_xll.VALEURCOURBE($A$2,_xlfn.CONCAT("THEME14=",$B24),SCENARIOS!$A$2,SCENARIOS!$B$2,YIELDS_youvert!S$1,0)</f>
        <v>1</v>
      </c>
      <c r="T24" cm="1">
        <f t="array" ref="T24">_xll.VALEURCOURBE($A$2,_xlfn.CONCAT("THEME14=",$B24),SCENARIOS!$A$2,SCENARIOS!$B$2,YIELDS_youvert!T$1,0)</f>
        <v>1</v>
      </c>
      <c r="U24" cm="1">
        <f t="array" ref="U24">_xll.VALEURCOURBE($A$2,_xlfn.CONCAT("THEME14=",$B24),SCENARIOS!$A$2,SCENARIOS!$B$2,YIELDS_youvert!U$1,0)</f>
        <v>1</v>
      </c>
      <c r="V24" cm="1">
        <f t="array" ref="V24">_xll.VALEURCOURBE($A$2,_xlfn.CONCAT("THEME14=",$B24),SCENARIOS!$A$2,SCENARIOS!$B$2,YIELDS_youvert!V$1,0)</f>
        <v>1</v>
      </c>
      <c r="W24" cm="1">
        <f t="array" ref="W24">_xll.VALEURCOURBE($A$2,_xlfn.CONCAT("THEME14=",$B24),SCENARIOS!$A$2,SCENARIOS!$B$2,YIELDS_youvert!W$1,0)</f>
        <v>1</v>
      </c>
      <c r="X24" cm="1">
        <f t="array" ref="X24">_xll.VALEURCOURBE($A$2,_xlfn.CONCAT("THEME14=",$B24),SCENARIOS!$A$2,SCENARIOS!$B$2,YIELDS_youvert!X$1,0)</f>
        <v>1</v>
      </c>
      <c r="Y24" cm="1">
        <f t="array" ref="Y24">_xll.VALEURCOURBE($A$2,_xlfn.CONCAT("THEME14=",$B24),SCENARIOS!$A$2,SCENARIOS!$B$2,YIELDS_youvert!Y$1,0)</f>
        <v>1</v>
      </c>
      <c r="Z24" cm="1">
        <f t="array" ref="Z24">_xll.VALEURCOURBE($A$2,_xlfn.CONCAT("THEME14=",$B24),SCENARIOS!$A$2,SCENARIOS!$B$2,YIELDS_youvert!Z$1,0)</f>
        <v>1</v>
      </c>
      <c r="AA24" cm="1">
        <f t="array" ref="AA24">_xll.VALEURCOURBE($A$2,_xlfn.CONCAT("THEME14=",$B24),SCENARIOS!$A$2,SCENARIOS!$B$2,YIELDS_youvert!AA$1,0)</f>
        <v>1</v>
      </c>
      <c r="AB24" cm="1">
        <f t="array" ref="AB24">_xll.VALEURCOURBE($A$2,_xlfn.CONCAT("THEME14=",$B24),SCENARIOS!$A$2,SCENARIOS!$B$2,YIELDS_youvert!AB$1,0)</f>
        <v>1</v>
      </c>
      <c r="AC24" cm="1">
        <f t="array" ref="AC24">_xll.VALEURCOURBE($A$2,_xlfn.CONCAT("THEME14=",$B24),SCENARIOS!$A$2,SCENARIOS!$B$2,YIELDS_youvert!AC$1,0)</f>
        <v>1</v>
      </c>
      <c r="AD24" cm="1">
        <f t="array" ref="AD24">_xll.VALEURCOURBE($A$2,_xlfn.CONCAT("THEME14=",$B24),SCENARIOS!$A$2,SCENARIOS!$B$2,YIELDS_youvert!AD$1,0)</f>
        <v>1</v>
      </c>
      <c r="AE24" cm="1">
        <f t="array" ref="AE24">_xll.VALEURCOURBE($A$2,_xlfn.CONCAT("THEME14=",$B24),SCENARIOS!$A$2,SCENARIOS!$B$2,YIELDS_youvert!AE$1,0)</f>
        <v>1</v>
      </c>
    </row>
    <row r="25" spans="3:31" x14ac:dyDescent="0.25">
      <c r="C25" cm="1">
        <f t="array" ref="C25">_xll.VALEURCOURBE($A$2,_xlfn.CONCAT("THEME14=",$B25),SCENARIOS!$A$2,SCENARIOS!$B$2,YIELDS_youvert!C$1,0)</f>
        <v>1</v>
      </c>
      <c r="D25" cm="1">
        <f t="array" ref="D25">_xll.VALEURCOURBE($A$2,_xlfn.CONCAT("THEME14=",$B25),SCENARIOS!$A$2,SCENARIOS!$B$2,YIELDS_youvert!D$1,0)</f>
        <v>1</v>
      </c>
      <c r="E25" cm="1">
        <f t="array" ref="E25">_xll.VALEURCOURBE($A$2,_xlfn.CONCAT("THEME14=",$B25),SCENARIOS!$A$2,SCENARIOS!$B$2,YIELDS_youvert!E$1,0)</f>
        <v>1</v>
      </c>
      <c r="F25" cm="1">
        <f t="array" ref="F25">_xll.VALEURCOURBE($A$2,_xlfn.CONCAT("THEME14=",$B25),SCENARIOS!$A$2,SCENARIOS!$B$2,YIELDS_youvert!F$1,0)</f>
        <v>1</v>
      </c>
      <c r="G25" cm="1">
        <f t="array" ref="G25">_xll.VALEURCOURBE($A$2,_xlfn.CONCAT("THEME14=",$B25),SCENARIOS!$A$2,SCENARIOS!$B$2,YIELDS_youvert!G$1,0)</f>
        <v>1</v>
      </c>
      <c r="H25" cm="1">
        <f t="array" ref="H25">_xll.VALEURCOURBE($A$2,_xlfn.CONCAT("THEME14=",$B25),SCENARIOS!$A$2,SCENARIOS!$B$2,YIELDS_youvert!H$1,0)</f>
        <v>1</v>
      </c>
      <c r="I25" cm="1">
        <f t="array" ref="I25">_xll.VALEURCOURBE($A$2,_xlfn.CONCAT("THEME14=",$B25),SCENARIOS!$A$2,SCENARIOS!$B$2,YIELDS_youvert!I$1,0)</f>
        <v>1</v>
      </c>
      <c r="J25" cm="1">
        <f t="array" ref="J25">_xll.VALEURCOURBE($A$2,_xlfn.CONCAT("THEME14=",$B25),SCENARIOS!$A$2,SCENARIOS!$B$2,YIELDS_youvert!J$1,0)</f>
        <v>1</v>
      </c>
      <c r="K25" cm="1">
        <f t="array" ref="K25">_xll.VALEURCOURBE($A$2,_xlfn.CONCAT("THEME14=",$B25),SCENARIOS!$A$2,SCENARIOS!$B$2,YIELDS_youvert!K$1,0)</f>
        <v>1</v>
      </c>
      <c r="L25" cm="1">
        <f t="array" ref="L25">_xll.VALEURCOURBE($A$2,_xlfn.CONCAT("THEME14=",$B25),SCENARIOS!$A$2,SCENARIOS!$B$2,YIELDS_youvert!L$1,0)</f>
        <v>1</v>
      </c>
      <c r="M25" cm="1">
        <f t="array" ref="M25">_xll.VALEURCOURBE($A$2,_xlfn.CONCAT("THEME14=",$B25),SCENARIOS!$A$2,SCENARIOS!$B$2,YIELDS_youvert!M$1,0)</f>
        <v>1</v>
      </c>
      <c r="N25" cm="1">
        <f t="array" ref="N25">_xll.VALEURCOURBE($A$2,_xlfn.CONCAT("THEME14=",$B25),SCENARIOS!$A$2,SCENARIOS!$B$2,YIELDS_youvert!N$1,0)</f>
        <v>1</v>
      </c>
      <c r="O25" cm="1">
        <f t="array" ref="O25">_xll.VALEURCOURBE($A$2,_xlfn.CONCAT("THEME14=",$B25),SCENARIOS!$A$2,SCENARIOS!$B$2,YIELDS_youvert!O$1,0)</f>
        <v>1</v>
      </c>
      <c r="P25" cm="1">
        <f t="array" ref="P25">_xll.VALEURCOURBE($A$2,_xlfn.CONCAT("THEME14=",$B25),SCENARIOS!$A$2,SCENARIOS!$B$2,YIELDS_youvert!P$1,0)</f>
        <v>1</v>
      </c>
      <c r="Q25" cm="1">
        <f t="array" ref="Q25">_xll.VALEURCOURBE($A$2,_xlfn.CONCAT("THEME14=",$B25),SCENARIOS!$A$2,SCENARIOS!$B$2,YIELDS_youvert!Q$1,0)</f>
        <v>1</v>
      </c>
      <c r="R25" cm="1">
        <f t="array" ref="R25">_xll.VALEURCOURBE($A$2,_xlfn.CONCAT("THEME14=",$B25),SCENARIOS!$A$2,SCENARIOS!$B$2,YIELDS_youvert!R$1,0)</f>
        <v>1</v>
      </c>
      <c r="S25" cm="1">
        <f t="array" ref="S25">_xll.VALEURCOURBE($A$2,_xlfn.CONCAT("THEME14=",$B25),SCENARIOS!$A$2,SCENARIOS!$B$2,YIELDS_youvert!S$1,0)</f>
        <v>1</v>
      </c>
      <c r="T25" cm="1">
        <f t="array" ref="T25">_xll.VALEURCOURBE($A$2,_xlfn.CONCAT("THEME14=",$B25),SCENARIOS!$A$2,SCENARIOS!$B$2,YIELDS_youvert!T$1,0)</f>
        <v>1</v>
      </c>
      <c r="U25" cm="1">
        <f t="array" ref="U25">_xll.VALEURCOURBE($A$2,_xlfn.CONCAT("THEME14=",$B25),SCENARIOS!$A$2,SCENARIOS!$B$2,YIELDS_youvert!U$1,0)</f>
        <v>1</v>
      </c>
      <c r="V25" cm="1">
        <f t="array" ref="V25">_xll.VALEURCOURBE($A$2,_xlfn.CONCAT("THEME14=",$B25),SCENARIOS!$A$2,SCENARIOS!$B$2,YIELDS_youvert!V$1,0)</f>
        <v>1</v>
      </c>
      <c r="W25" cm="1">
        <f t="array" ref="W25">_xll.VALEURCOURBE($A$2,_xlfn.CONCAT("THEME14=",$B25),SCENARIOS!$A$2,SCENARIOS!$B$2,YIELDS_youvert!W$1,0)</f>
        <v>1</v>
      </c>
      <c r="X25" cm="1">
        <f t="array" ref="X25">_xll.VALEURCOURBE($A$2,_xlfn.CONCAT("THEME14=",$B25),SCENARIOS!$A$2,SCENARIOS!$B$2,YIELDS_youvert!X$1,0)</f>
        <v>1</v>
      </c>
      <c r="Y25" cm="1">
        <f t="array" ref="Y25">_xll.VALEURCOURBE($A$2,_xlfn.CONCAT("THEME14=",$B25),SCENARIOS!$A$2,SCENARIOS!$B$2,YIELDS_youvert!Y$1,0)</f>
        <v>1</v>
      </c>
      <c r="Z25" cm="1">
        <f t="array" ref="Z25">_xll.VALEURCOURBE($A$2,_xlfn.CONCAT("THEME14=",$B25),SCENARIOS!$A$2,SCENARIOS!$B$2,YIELDS_youvert!Z$1,0)</f>
        <v>1</v>
      </c>
      <c r="AA25" cm="1">
        <f t="array" ref="AA25">_xll.VALEURCOURBE($A$2,_xlfn.CONCAT("THEME14=",$B25),SCENARIOS!$A$2,SCENARIOS!$B$2,YIELDS_youvert!AA$1,0)</f>
        <v>1</v>
      </c>
      <c r="AB25" cm="1">
        <f t="array" ref="AB25">_xll.VALEURCOURBE($A$2,_xlfn.CONCAT("THEME14=",$B25),SCENARIOS!$A$2,SCENARIOS!$B$2,YIELDS_youvert!AB$1,0)</f>
        <v>1</v>
      </c>
      <c r="AC25" cm="1">
        <f t="array" ref="AC25">_xll.VALEURCOURBE($A$2,_xlfn.CONCAT("THEME14=",$B25),SCENARIOS!$A$2,SCENARIOS!$B$2,YIELDS_youvert!AC$1,0)</f>
        <v>1</v>
      </c>
      <c r="AD25" cm="1">
        <f t="array" ref="AD25">_xll.VALEURCOURBE($A$2,_xlfn.CONCAT("THEME14=",$B25),SCENARIOS!$A$2,SCENARIOS!$B$2,YIELDS_youvert!AD$1,0)</f>
        <v>1</v>
      </c>
      <c r="AE25" cm="1">
        <f t="array" ref="AE25">_xll.VALEURCOURBE($A$2,_xlfn.CONCAT("THEME14=",$B25),SCENARIOS!$A$2,SCENARIOS!$B$2,YIELDS_youvert!AE$1,0)</f>
        <v>1</v>
      </c>
    </row>
    <row r="26" spans="3:31" x14ac:dyDescent="0.25">
      <c r="C26" cm="1">
        <f t="array" ref="C26">_xll.VALEURCOURBE($A$2,_xlfn.CONCAT("THEME14=",$B26),SCENARIOS!$A$2,SCENARIOS!$B$2,YIELDS_youvert!C$1,0)</f>
        <v>1</v>
      </c>
      <c r="D26" cm="1">
        <f t="array" ref="D26">_xll.VALEURCOURBE($A$2,_xlfn.CONCAT("THEME14=",$B26),SCENARIOS!$A$2,SCENARIOS!$B$2,YIELDS_youvert!D$1,0)</f>
        <v>1</v>
      </c>
      <c r="E26" cm="1">
        <f t="array" ref="E26">_xll.VALEURCOURBE($A$2,_xlfn.CONCAT("THEME14=",$B26),SCENARIOS!$A$2,SCENARIOS!$B$2,YIELDS_youvert!E$1,0)</f>
        <v>1</v>
      </c>
      <c r="F26" cm="1">
        <f t="array" ref="F26">_xll.VALEURCOURBE($A$2,_xlfn.CONCAT("THEME14=",$B26),SCENARIOS!$A$2,SCENARIOS!$B$2,YIELDS_youvert!F$1,0)</f>
        <v>1</v>
      </c>
      <c r="G26" cm="1">
        <f t="array" ref="G26">_xll.VALEURCOURBE($A$2,_xlfn.CONCAT("THEME14=",$B26),SCENARIOS!$A$2,SCENARIOS!$B$2,YIELDS_youvert!G$1,0)</f>
        <v>1</v>
      </c>
      <c r="H26" cm="1">
        <f t="array" ref="H26">_xll.VALEURCOURBE($A$2,_xlfn.CONCAT("THEME14=",$B26),SCENARIOS!$A$2,SCENARIOS!$B$2,YIELDS_youvert!H$1,0)</f>
        <v>1</v>
      </c>
      <c r="I26" cm="1">
        <f t="array" ref="I26">_xll.VALEURCOURBE($A$2,_xlfn.CONCAT("THEME14=",$B26),SCENARIOS!$A$2,SCENARIOS!$B$2,YIELDS_youvert!I$1,0)</f>
        <v>1</v>
      </c>
      <c r="J26" cm="1">
        <f t="array" ref="J26">_xll.VALEURCOURBE($A$2,_xlfn.CONCAT("THEME14=",$B26),SCENARIOS!$A$2,SCENARIOS!$B$2,YIELDS_youvert!J$1,0)</f>
        <v>1</v>
      </c>
      <c r="K26" cm="1">
        <f t="array" ref="K26">_xll.VALEURCOURBE($A$2,_xlfn.CONCAT("THEME14=",$B26),SCENARIOS!$A$2,SCENARIOS!$B$2,YIELDS_youvert!K$1,0)</f>
        <v>1</v>
      </c>
      <c r="L26" cm="1">
        <f t="array" ref="L26">_xll.VALEURCOURBE($A$2,_xlfn.CONCAT("THEME14=",$B26),SCENARIOS!$A$2,SCENARIOS!$B$2,YIELDS_youvert!L$1,0)</f>
        <v>1</v>
      </c>
      <c r="M26" cm="1">
        <f t="array" ref="M26">_xll.VALEURCOURBE($A$2,_xlfn.CONCAT("THEME14=",$B26),SCENARIOS!$A$2,SCENARIOS!$B$2,YIELDS_youvert!M$1,0)</f>
        <v>1</v>
      </c>
      <c r="N26" cm="1">
        <f t="array" ref="N26">_xll.VALEURCOURBE($A$2,_xlfn.CONCAT("THEME14=",$B26),SCENARIOS!$A$2,SCENARIOS!$B$2,YIELDS_youvert!N$1,0)</f>
        <v>1</v>
      </c>
      <c r="O26" cm="1">
        <f t="array" ref="O26">_xll.VALEURCOURBE($A$2,_xlfn.CONCAT("THEME14=",$B26),SCENARIOS!$A$2,SCENARIOS!$B$2,YIELDS_youvert!O$1,0)</f>
        <v>1</v>
      </c>
      <c r="P26" cm="1">
        <f t="array" ref="P26">_xll.VALEURCOURBE($A$2,_xlfn.CONCAT("THEME14=",$B26),SCENARIOS!$A$2,SCENARIOS!$B$2,YIELDS_youvert!P$1,0)</f>
        <v>1</v>
      </c>
      <c r="Q26" cm="1">
        <f t="array" ref="Q26">_xll.VALEURCOURBE($A$2,_xlfn.CONCAT("THEME14=",$B26),SCENARIOS!$A$2,SCENARIOS!$B$2,YIELDS_youvert!Q$1,0)</f>
        <v>1</v>
      </c>
      <c r="R26" cm="1">
        <f t="array" ref="R26">_xll.VALEURCOURBE($A$2,_xlfn.CONCAT("THEME14=",$B26),SCENARIOS!$A$2,SCENARIOS!$B$2,YIELDS_youvert!R$1,0)</f>
        <v>1</v>
      </c>
      <c r="S26" cm="1">
        <f t="array" ref="S26">_xll.VALEURCOURBE($A$2,_xlfn.CONCAT("THEME14=",$B26),SCENARIOS!$A$2,SCENARIOS!$B$2,YIELDS_youvert!S$1,0)</f>
        <v>1</v>
      </c>
      <c r="T26" cm="1">
        <f t="array" ref="T26">_xll.VALEURCOURBE($A$2,_xlfn.CONCAT("THEME14=",$B26),SCENARIOS!$A$2,SCENARIOS!$B$2,YIELDS_youvert!T$1,0)</f>
        <v>1</v>
      </c>
      <c r="U26" cm="1">
        <f t="array" ref="U26">_xll.VALEURCOURBE($A$2,_xlfn.CONCAT("THEME14=",$B26),SCENARIOS!$A$2,SCENARIOS!$B$2,YIELDS_youvert!U$1,0)</f>
        <v>1</v>
      </c>
      <c r="V26" cm="1">
        <f t="array" ref="V26">_xll.VALEURCOURBE($A$2,_xlfn.CONCAT("THEME14=",$B26),SCENARIOS!$A$2,SCENARIOS!$B$2,YIELDS_youvert!V$1,0)</f>
        <v>1</v>
      </c>
      <c r="W26" cm="1">
        <f t="array" ref="W26">_xll.VALEURCOURBE($A$2,_xlfn.CONCAT("THEME14=",$B26),SCENARIOS!$A$2,SCENARIOS!$B$2,YIELDS_youvert!W$1,0)</f>
        <v>1</v>
      </c>
      <c r="X26" cm="1">
        <f t="array" ref="X26">_xll.VALEURCOURBE($A$2,_xlfn.CONCAT("THEME14=",$B26),SCENARIOS!$A$2,SCENARIOS!$B$2,YIELDS_youvert!X$1,0)</f>
        <v>1</v>
      </c>
      <c r="Y26" cm="1">
        <f t="array" ref="Y26">_xll.VALEURCOURBE($A$2,_xlfn.CONCAT("THEME14=",$B26),SCENARIOS!$A$2,SCENARIOS!$B$2,YIELDS_youvert!Y$1,0)</f>
        <v>1</v>
      </c>
      <c r="Z26" cm="1">
        <f t="array" ref="Z26">_xll.VALEURCOURBE($A$2,_xlfn.CONCAT("THEME14=",$B26),SCENARIOS!$A$2,SCENARIOS!$B$2,YIELDS_youvert!Z$1,0)</f>
        <v>1</v>
      </c>
      <c r="AA26" cm="1">
        <f t="array" ref="AA26">_xll.VALEURCOURBE($A$2,_xlfn.CONCAT("THEME14=",$B26),SCENARIOS!$A$2,SCENARIOS!$B$2,YIELDS_youvert!AA$1,0)</f>
        <v>1</v>
      </c>
      <c r="AB26" cm="1">
        <f t="array" ref="AB26">_xll.VALEURCOURBE($A$2,_xlfn.CONCAT("THEME14=",$B26),SCENARIOS!$A$2,SCENARIOS!$B$2,YIELDS_youvert!AB$1,0)</f>
        <v>1</v>
      </c>
      <c r="AC26" cm="1">
        <f t="array" ref="AC26">_xll.VALEURCOURBE($A$2,_xlfn.CONCAT("THEME14=",$B26),SCENARIOS!$A$2,SCENARIOS!$B$2,YIELDS_youvert!AC$1,0)</f>
        <v>1</v>
      </c>
      <c r="AD26" cm="1">
        <f t="array" ref="AD26">_xll.VALEURCOURBE($A$2,_xlfn.CONCAT("THEME14=",$B26),SCENARIOS!$A$2,SCENARIOS!$B$2,YIELDS_youvert!AD$1,0)</f>
        <v>1</v>
      </c>
      <c r="AE26" cm="1">
        <f t="array" ref="AE26">_xll.VALEURCOURBE($A$2,_xlfn.CONCAT("THEME14=",$B26),SCENARIOS!$A$2,SCENARIOS!$B$2,YIELDS_youvert!AE$1,0)</f>
        <v>1</v>
      </c>
    </row>
    <row r="27" spans="3:31" x14ac:dyDescent="0.25">
      <c r="C27" cm="1">
        <f t="array" ref="C27">_xll.VALEURCOURBE($A$2,_xlfn.CONCAT("THEME14=",$B27),SCENARIOS!$A$2,SCENARIOS!$B$2,YIELDS_youvert!C$1,0)</f>
        <v>1</v>
      </c>
      <c r="D27" cm="1">
        <f t="array" ref="D27">_xll.VALEURCOURBE($A$2,_xlfn.CONCAT("THEME14=",$B27),SCENARIOS!$A$2,SCENARIOS!$B$2,YIELDS_youvert!D$1,0)</f>
        <v>1</v>
      </c>
      <c r="E27" cm="1">
        <f t="array" ref="E27">_xll.VALEURCOURBE($A$2,_xlfn.CONCAT("THEME14=",$B27),SCENARIOS!$A$2,SCENARIOS!$B$2,YIELDS_youvert!E$1,0)</f>
        <v>1</v>
      </c>
      <c r="F27" cm="1">
        <f t="array" ref="F27">_xll.VALEURCOURBE($A$2,_xlfn.CONCAT("THEME14=",$B27),SCENARIOS!$A$2,SCENARIOS!$B$2,YIELDS_youvert!F$1,0)</f>
        <v>1</v>
      </c>
      <c r="G27" cm="1">
        <f t="array" ref="G27">_xll.VALEURCOURBE($A$2,_xlfn.CONCAT("THEME14=",$B27),SCENARIOS!$A$2,SCENARIOS!$B$2,YIELDS_youvert!G$1,0)</f>
        <v>1</v>
      </c>
      <c r="H27" cm="1">
        <f t="array" ref="H27">_xll.VALEURCOURBE($A$2,_xlfn.CONCAT("THEME14=",$B27),SCENARIOS!$A$2,SCENARIOS!$B$2,YIELDS_youvert!H$1,0)</f>
        <v>1</v>
      </c>
      <c r="I27" cm="1">
        <f t="array" ref="I27">_xll.VALEURCOURBE($A$2,_xlfn.CONCAT("THEME14=",$B27),SCENARIOS!$A$2,SCENARIOS!$B$2,YIELDS_youvert!I$1,0)</f>
        <v>1</v>
      </c>
      <c r="J27" cm="1">
        <f t="array" ref="J27">_xll.VALEURCOURBE($A$2,_xlfn.CONCAT("THEME14=",$B27),SCENARIOS!$A$2,SCENARIOS!$B$2,YIELDS_youvert!J$1,0)</f>
        <v>1</v>
      </c>
      <c r="K27" cm="1">
        <f t="array" ref="K27">_xll.VALEURCOURBE($A$2,_xlfn.CONCAT("THEME14=",$B27),SCENARIOS!$A$2,SCENARIOS!$B$2,YIELDS_youvert!K$1,0)</f>
        <v>1</v>
      </c>
      <c r="L27" cm="1">
        <f t="array" ref="L27">_xll.VALEURCOURBE($A$2,_xlfn.CONCAT("THEME14=",$B27),SCENARIOS!$A$2,SCENARIOS!$B$2,YIELDS_youvert!L$1,0)</f>
        <v>1</v>
      </c>
      <c r="M27" cm="1">
        <f t="array" ref="M27">_xll.VALEURCOURBE($A$2,_xlfn.CONCAT("THEME14=",$B27),SCENARIOS!$A$2,SCENARIOS!$B$2,YIELDS_youvert!M$1,0)</f>
        <v>1</v>
      </c>
      <c r="N27" cm="1">
        <f t="array" ref="N27">_xll.VALEURCOURBE($A$2,_xlfn.CONCAT("THEME14=",$B27),SCENARIOS!$A$2,SCENARIOS!$B$2,YIELDS_youvert!N$1,0)</f>
        <v>1</v>
      </c>
      <c r="O27" cm="1">
        <f t="array" ref="O27">_xll.VALEURCOURBE($A$2,_xlfn.CONCAT("THEME14=",$B27),SCENARIOS!$A$2,SCENARIOS!$B$2,YIELDS_youvert!O$1,0)</f>
        <v>1</v>
      </c>
      <c r="P27" cm="1">
        <f t="array" ref="P27">_xll.VALEURCOURBE($A$2,_xlfn.CONCAT("THEME14=",$B27),SCENARIOS!$A$2,SCENARIOS!$B$2,YIELDS_youvert!P$1,0)</f>
        <v>1</v>
      </c>
      <c r="Q27" cm="1">
        <f t="array" ref="Q27">_xll.VALEURCOURBE($A$2,_xlfn.CONCAT("THEME14=",$B27),SCENARIOS!$A$2,SCENARIOS!$B$2,YIELDS_youvert!Q$1,0)</f>
        <v>1</v>
      </c>
      <c r="R27" cm="1">
        <f t="array" ref="R27">_xll.VALEURCOURBE($A$2,_xlfn.CONCAT("THEME14=",$B27),SCENARIOS!$A$2,SCENARIOS!$B$2,YIELDS_youvert!R$1,0)</f>
        <v>1</v>
      </c>
      <c r="S27" cm="1">
        <f t="array" ref="S27">_xll.VALEURCOURBE($A$2,_xlfn.CONCAT("THEME14=",$B27),SCENARIOS!$A$2,SCENARIOS!$B$2,YIELDS_youvert!S$1,0)</f>
        <v>1</v>
      </c>
      <c r="T27" cm="1">
        <f t="array" ref="T27">_xll.VALEURCOURBE($A$2,_xlfn.CONCAT("THEME14=",$B27),SCENARIOS!$A$2,SCENARIOS!$B$2,YIELDS_youvert!T$1,0)</f>
        <v>1</v>
      </c>
      <c r="U27" cm="1">
        <f t="array" ref="U27">_xll.VALEURCOURBE($A$2,_xlfn.CONCAT("THEME14=",$B27),SCENARIOS!$A$2,SCENARIOS!$B$2,YIELDS_youvert!U$1,0)</f>
        <v>1</v>
      </c>
      <c r="V27" cm="1">
        <f t="array" ref="V27">_xll.VALEURCOURBE($A$2,_xlfn.CONCAT("THEME14=",$B27),SCENARIOS!$A$2,SCENARIOS!$B$2,YIELDS_youvert!V$1,0)</f>
        <v>1</v>
      </c>
      <c r="W27" cm="1">
        <f t="array" ref="W27">_xll.VALEURCOURBE($A$2,_xlfn.CONCAT("THEME14=",$B27),SCENARIOS!$A$2,SCENARIOS!$B$2,YIELDS_youvert!W$1,0)</f>
        <v>1</v>
      </c>
      <c r="X27" cm="1">
        <f t="array" ref="X27">_xll.VALEURCOURBE($A$2,_xlfn.CONCAT("THEME14=",$B27),SCENARIOS!$A$2,SCENARIOS!$B$2,YIELDS_youvert!X$1,0)</f>
        <v>1</v>
      </c>
      <c r="Y27" cm="1">
        <f t="array" ref="Y27">_xll.VALEURCOURBE($A$2,_xlfn.CONCAT("THEME14=",$B27),SCENARIOS!$A$2,SCENARIOS!$B$2,YIELDS_youvert!Y$1,0)</f>
        <v>1</v>
      </c>
      <c r="Z27" cm="1">
        <f t="array" ref="Z27">_xll.VALEURCOURBE($A$2,_xlfn.CONCAT("THEME14=",$B27),SCENARIOS!$A$2,SCENARIOS!$B$2,YIELDS_youvert!Z$1,0)</f>
        <v>1</v>
      </c>
      <c r="AA27" cm="1">
        <f t="array" ref="AA27">_xll.VALEURCOURBE($A$2,_xlfn.CONCAT("THEME14=",$B27),SCENARIOS!$A$2,SCENARIOS!$B$2,YIELDS_youvert!AA$1,0)</f>
        <v>1</v>
      </c>
      <c r="AB27" cm="1">
        <f t="array" ref="AB27">_xll.VALEURCOURBE($A$2,_xlfn.CONCAT("THEME14=",$B27),SCENARIOS!$A$2,SCENARIOS!$B$2,YIELDS_youvert!AB$1,0)</f>
        <v>1</v>
      </c>
      <c r="AC27" cm="1">
        <f t="array" ref="AC27">_xll.VALEURCOURBE($A$2,_xlfn.CONCAT("THEME14=",$B27),SCENARIOS!$A$2,SCENARIOS!$B$2,YIELDS_youvert!AC$1,0)</f>
        <v>1</v>
      </c>
      <c r="AD27" cm="1">
        <f t="array" ref="AD27">_xll.VALEURCOURBE($A$2,_xlfn.CONCAT("THEME14=",$B27),SCENARIOS!$A$2,SCENARIOS!$B$2,YIELDS_youvert!AD$1,0)</f>
        <v>1</v>
      </c>
      <c r="AE27" cm="1">
        <f t="array" ref="AE27">_xll.VALEURCOURBE($A$2,_xlfn.CONCAT("THEME14=",$B27),SCENARIOS!$A$2,SCENARIOS!$B$2,YIELDS_youvert!AE$1,0)</f>
        <v>1</v>
      </c>
    </row>
    <row r="28" spans="3:31" x14ac:dyDescent="0.25">
      <c r="C28" cm="1">
        <f t="array" ref="C28">_xll.VALEURCOURBE($A$2,_xlfn.CONCAT("THEME14=",$B28),SCENARIOS!$A$2,SCENARIOS!$B$2,YIELDS_youvert!C$1,0)</f>
        <v>1</v>
      </c>
      <c r="D28" cm="1">
        <f t="array" ref="D28">_xll.VALEURCOURBE($A$2,_xlfn.CONCAT("THEME14=",$B28),SCENARIOS!$A$2,SCENARIOS!$B$2,YIELDS_youvert!D$1,0)</f>
        <v>1</v>
      </c>
      <c r="E28" cm="1">
        <f t="array" ref="E28">_xll.VALEURCOURBE($A$2,_xlfn.CONCAT("THEME14=",$B28),SCENARIOS!$A$2,SCENARIOS!$B$2,YIELDS_youvert!E$1,0)</f>
        <v>1</v>
      </c>
      <c r="F28" cm="1">
        <f t="array" ref="F28">_xll.VALEURCOURBE($A$2,_xlfn.CONCAT("THEME14=",$B28),SCENARIOS!$A$2,SCENARIOS!$B$2,YIELDS_youvert!F$1,0)</f>
        <v>1</v>
      </c>
      <c r="G28" cm="1">
        <f t="array" ref="G28">_xll.VALEURCOURBE($A$2,_xlfn.CONCAT("THEME14=",$B28),SCENARIOS!$A$2,SCENARIOS!$B$2,YIELDS_youvert!G$1,0)</f>
        <v>1</v>
      </c>
      <c r="H28" cm="1">
        <f t="array" ref="H28">_xll.VALEURCOURBE($A$2,_xlfn.CONCAT("THEME14=",$B28),SCENARIOS!$A$2,SCENARIOS!$B$2,YIELDS_youvert!H$1,0)</f>
        <v>1</v>
      </c>
      <c r="I28" cm="1">
        <f t="array" ref="I28">_xll.VALEURCOURBE($A$2,_xlfn.CONCAT("THEME14=",$B28),SCENARIOS!$A$2,SCENARIOS!$B$2,YIELDS_youvert!I$1,0)</f>
        <v>1</v>
      </c>
      <c r="J28" cm="1">
        <f t="array" ref="J28">_xll.VALEURCOURBE($A$2,_xlfn.CONCAT("THEME14=",$B28),SCENARIOS!$A$2,SCENARIOS!$B$2,YIELDS_youvert!J$1,0)</f>
        <v>1</v>
      </c>
      <c r="K28" cm="1">
        <f t="array" ref="K28">_xll.VALEURCOURBE($A$2,_xlfn.CONCAT("THEME14=",$B28),SCENARIOS!$A$2,SCENARIOS!$B$2,YIELDS_youvert!K$1,0)</f>
        <v>1</v>
      </c>
      <c r="L28" cm="1">
        <f t="array" ref="L28">_xll.VALEURCOURBE($A$2,_xlfn.CONCAT("THEME14=",$B28),SCENARIOS!$A$2,SCENARIOS!$B$2,YIELDS_youvert!L$1,0)</f>
        <v>1</v>
      </c>
      <c r="M28" cm="1">
        <f t="array" ref="M28">_xll.VALEURCOURBE($A$2,_xlfn.CONCAT("THEME14=",$B28),SCENARIOS!$A$2,SCENARIOS!$B$2,YIELDS_youvert!M$1,0)</f>
        <v>1</v>
      </c>
      <c r="N28" cm="1">
        <f t="array" ref="N28">_xll.VALEURCOURBE($A$2,_xlfn.CONCAT("THEME14=",$B28),SCENARIOS!$A$2,SCENARIOS!$B$2,YIELDS_youvert!N$1,0)</f>
        <v>1</v>
      </c>
      <c r="O28" cm="1">
        <f t="array" ref="O28">_xll.VALEURCOURBE($A$2,_xlfn.CONCAT("THEME14=",$B28),SCENARIOS!$A$2,SCENARIOS!$B$2,YIELDS_youvert!O$1,0)</f>
        <v>1</v>
      </c>
      <c r="P28" cm="1">
        <f t="array" ref="P28">_xll.VALEURCOURBE($A$2,_xlfn.CONCAT("THEME14=",$B28),SCENARIOS!$A$2,SCENARIOS!$B$2,YIELDS_youvert!P$1,0)</f>
        <v>1</v>
      </c>
      <c r="Q28" cm="1">
        <f t="array" ref="Q28">_xll.VALEURCOURBE($A$2,_xlfn.CONCAT("THEME14=",$B28),SCENARIOS!$A$2,SCENARIOS!$B$2,YIELDS_youvert!Q$1,0)</f>
        <v>1</v>
      </c>
      <c r="R28" cm="1">
        <f t="array" ref="R28">_xll.VALEURCOURBE($A$2,_xlfn.CONCAT("THEME14=",$B28),SCENARIOS!$A$2,SCENARIOS!$B$2,YIELDS_youvert!R$1,0)</f>
        <v>1</v>
      </c>
      <c r="S28" cm="1">
        <f t="array" ref="S28">_xll.VALEURCOURBE($A$2,_xlfn.CONCAT("THEME14=",$B28),SCENARIOS!$A$2,SCENARIOS!$B$2,YIELDS_youvert!S$1,0)</f>
        <v>1</v>
      </c>
      <c r="T28" cm="1">
        <f t="array" ref="T28">_xll.VALEURCOURBE($A$2,_xlfn.CONCAT("THEME14=",$B28),SCENARIOS!$A$2,SCENARIOS!$B$2,YIELDS_youvert!T$1,0)</f>
        <v>1</v>
      </c>
      <c r="U28" cm="1">
        <f t="array" ref="U28">_xll.VALEURCOURBE($A$2,_xlfn.CONCAT("THEME14=",$B28),SCENARIOS!$A$2,SCENARIOS!$B$2,YIELDS_youvert!U$1,0)</f>
        <v>1</v>
      </c>
      <c r="V28" cm="1">
        <f t="array" ref="V28">_xll.VALEURCOURBE($A$2,_xlfn.CONCAT("THEME14=",$B28),SCENARIOS!$A$2,SCENARIOS!$B$2,YIELDS_youvert!V$1,0)</f>
        <v>1</v>
      </c>
      <c r="W28" cm="1">
        <f t="array" ref="W28">_xll.VALEURCOURBE($A$2,_xlfn.CONCAT("THEME14=",$B28),SCENARIOS!$A$2,SCENARIOS!$B$2,YIELDS_youvert!W$1,0)</f>
        <v>1</v>
      </c>
      <c r="X28" cm="1">
        <f t="array" ref="X28">_xll.VALEURCOURBE($A$2,_xlfn.CONCAT("THEME14=",$B28),SCENARIOS!$A$2,SCENARIOS!$B$2,YIELDS_youvert!X$1,0)</f>
        <v>1</v>
      </c>
      <c r="Y28" cm="1">
        <f t="array" ref="Y28">_xll.VALEURCOURBE($A$2,_xlfn.CONCAT("THEME14=",$B28),SCENARIOS!$A$2,SCENARIOS!$B$2,YIELDS_youvert!Y$1,0)</f>
        <v>1</v>
      </c>
      <c r="Z28" cm="1">
        <f t="array" ref="Z28">_xll.VALEURCOURBE($A$2,_xlfn.CONCAT("THEME14=",$B28),SCENARIOS!$A$2,SCENARIOS!$B$2,YIELDS_youvert!Z$1,0)</f>
        <v>1</v>
      </c>
      <c r="AA28" cm="1">
        <f t="array" ref="AA28">_xll.VALEURCOURBE($A$2,_xlfn.CONCAT("THEME14=",$B28),SCENARIOS!$A$2,SCENARIOS!$B$2,YIELDS_youvert!AA$1,0)</f>
        <v>1</v>
      </c>
      <c r="AB28" cm="1">
        <f t="array" ref="AB28">_xll.VALEURCOURBE($A$2,_xlfn.CONCAT("THEME14=",$B28),SCENARIOS!$A$2,SCENARIOS!$B$2,YIELDS_youvert!AB$1,0)</f>
        <v>1</v>
      </c>
      <c r="AC28" cm="1">
        <f t="array" ref="AC28">_xll.VALEURCOURBE($A$2,_xlfn.CONCAT("THEME14=",$B28),SCENARIOS!$A$2,SCENARIOS!$B$2,YIELDS_youvert!AC$1,0)</f>
        <v>1</v>
      </c>
      <c r="AD28" cm="1">
        <f t="array" ref="AD28">_xll.VALEURCOURBE($A$2,_xlfn.CONCAT("THEME14=",$B28),SCENARIOS!$A$2,SCENARIOS!$B$2,YIELDS_youvert!AD$1,0)</f>
        <v>1</v>
      </c>
      <c r="AE28" cm="1">
        <f t="array" ref="AE28">_xll.VALEURCOURBE($A$2,_xlfn.CONCAT("THEME14=",$B28),SCENARIOS!$A$2,SCENARIOS!$B$2,YIELDS_youvert!AE$1,0)</f>
        <v>1</v>
      </c>
    </row>
    <row r="29" spans="3:31" x14ac:dyDescent="0.25">
      <c r="C29" cm="1">
        <f t="array" ref="C29">_xll.VALEURCOURBE($A$2,_xlfn.CONCAT("THEME14=",$B29),SCENARIOS!$A$2,SCENARIOS!$B$2,YIELDS_youvert!C$1,0)</f>
        <v>1</v>
      </c>
      <c r="D29" cm="1">
        <f t="array" ref="D29">_xll.VALEURCOURBE($A$2,_xlfn.CONCAT("THEME14=",$B29),SCENARIOS!$A$2,SCENARIOS!$B$2,YIELDS_youvert!D$1,0)</f>
        <v>1</v>
      </c>
      <c r="E29" cm="1">
        <f t="array" ref="E29">_xll.VALEURCOURBE($A$2,_xlfn.CONCAT("THEME14=",$B29),SCENARIOS!$A$2,SCENARIOS!$B$2,YIELDS_youvert!E$1,0)</f>
        <v>1</v>
      </c>
      <c r="F29" cm="1">
        <f t="array" ref="F29">_xll.VALEURCOURBE($A$2,_xlfn.CONCAT("THEME14=",$B29),SCENARIOS!$A$2,SCENARIOS!$B$2,YIELDS_youvert!F$1,0)</f>
        <v>1</v>
      </c>
      <c r="G29" cm="1">
        <f t="array" ref="G29">_xll.VALEURCOURBE($A$2,_xlfn.CONCAT("THEME14=",$B29),SCENARIOS!$A$2,SCENARIOS!$B$2,YIELDS_youvert!G$1,0)</f>
        <v>1</v>
      </c>
      <c r="H29" cm="1">
        <f t="array" ref="H29">_xll.VALEURCOURBE($A$2,_xlfn.CONCAT("THEME14=",$B29),SCENARIOS!$A$2,SCENARIOS!$B$2,YIELDS_youvert!H$1,0)</f>
        <v>1</v>
      </c>
      <c r="I29" cm="1">
        <f t="array" ref="I29">_xll.VALEURCOURBE($A$2,_xlfn.CONCAT("THEME14=",$B29),SCENARIOS!$A$2,SCENARIOS!$B$2,YIELDS_youvert!I$1,0)</f>
        <v>1</v>
      </c>
      <c r="J29" cm="1">
        <f t="array" ref="J29">_xll.VALEURCOURBE($A$2,_xlfn.CONCAT("THEME14=",$B29),SCENARIOS!$A$2,SCENARIOS!$B$2,YIELDS_youvert!J$1,0)</f>
        <v>1</v>
      </c>
      <c r="K29" cm="1">
        <f t="array" ref="K29">_xll.VALEURCOURBE($A$2,_xlfn.CONCAT("THEME14=",$B29),SCENARIOS!$A$2,SCENARIOS!$B$2,YIELDS_youvert!K$1,0)</f>
        <v>1</v>
      </c>
      <c r="L29" cm="1">
        <f t="array" ref="L29">_xll.VALEURCOURBE($A$2,_xlfn.CONCAT("THEME14=",$B29),SCENARIOS!$A$2,SCENARIOS!$B$2,YIELDS_youvert!L$1,0)</f>
        <v>1</v>
      </c>
      <c r="M29" cm="1">
        <f t="array" ref="M29">_xll.VALEURCOURBE($A$2,_xlfn.CONCAT("THEME14=",$B29),SCENARIOS!$A$2,SCENARIOS!$B$2,YIELDS_youvert!M$1,0)</f>
        <v>1</v>
      </c>
      <c r="N29" cm="1">
        <f t="array" ref="N29">_xll.VALEURCOURBE($A$2,_xlfn.CONCAT("THEME14=",$B29),SCENARIOS!$A$2,SCENARIOS!$B$2,YIELDS_youvert!N$1,0)</f>
        <v>1</v>
      </c>
      <c r="O29" cm="1">
        <f t="array" ref="O29">_xll.VALEURCOURBE($A$2,_xlfn.CONCAT("THEME14=",$B29),SCENARIOS!$A$2,SCENARIOS!$B$2,YIELDS_youvert!O$1,0)</f>
        <v>1</v>
      </c>
      <c r="P29" cm="1">
        <f t="array" ref="P29">_xll.VALEURCOURBE($A$2,_xlfn.CONCAT("THEME14=",$B29),SCENARIOS!$A$2,SCENARIOS!$B$2,YIELDS_youvert!P$1,0)</f>
        <v>1</v>
      </c>
      <c r="Q29" cm="1">
        <f t="array" ref="Q29">_xll.VALEURCOURBE($A$2,_xlfn.CONCAT("THEME14=",$B29),SCENARIOS!$A$2,SCENARIOS!$B$2,YIELDS_youvert!Q$1,0)</f>
        <v>1</v>
      </c>
      <c r="R29" cm="1">
        <f t="array" ref="R29">_xll.VALEURCOURBE($A$2,_xlfn.CONCAT("THEME14=",$B29),SCENARIOS!$A$2,SCENARIOS!$B$2,YIELDS_youvert!R$1,0)</f>
        <v>1</v>
      </c>
      <c r="S29" cm="1">
        <f t="array" ref="S29">_xll.VALEURCOURBE($A$2,_xlfn.CONCAT("THEME14=",$B29),SCENARIOS!$A$2,SCENARIOS!$B$2,YIELDS_youvert!S$1,0)</f>
        <v>1</v>
      </c>
      <c r="T29" cm="1">
        <f t="array" ref="T29">_xll.VALEURCOURBE($A$2,_xlfn.CONCAT("THEME14=",$B29),SCENARIOS!$A$2,SCENARIOS!$B$2,YIELDS_youvert!T$1,0)</f>
        <v>1</v>
      </c>
      <c r="U29" cm="1">
        <f t="array" ref="U29">_xll.VALEURCOURBE($A$2,_xlfn.CONCAT("THEME14=",$B29),SCENARIOS!$A$2,SCENARIOS!$B$2,YIELDS_youvert!U$1,0)</f>
        <v>1</v>
      </c>
      <c r="V29" cm="1">
        <f t="array" ref="V29">_xll.VALEURCOURBE($A$2,_xlfn.CONCAT("THEME14=",$B29),SCENARIOS!$A$2,SCENARIOS!$B$2,YIELDS_youvert!V$1,0)</f>
        <v>1</v>
      </c>
      <c r="W29" cm="1">
        <f t="array" ref="W29">_xll.VALEURCOURBE($A$2,_xlfn.CONCAT("THEME14=",$B29),SCENARIOS!$A$2,SCENARIOS!$B$2,YIELDS_youvert!W$1,0)</f>
        <v>1</v>
      </c>
      <c r="X29" cm="1">
        <f t="array" ref="X29">_xll.VALEURCOURBE($A$2,_xlfn.CONCAT("THEME14=",$B29),SCENARIOS!$A$2,SCENARIOS!$B$2,YIELDS_youvert!X$1,0)</f>
        <v>1</v>
      </c>
      <c r="Y29" cm="1">
        <f t="array" ref="Y29">_xll.VALEURCOURBE($A$2,_xlfn.CONCAT("THEME14=",$B29),SCENARIOS!$A$2,SCENARIOS!$B$2,YIELDS_youvert!Y$1,0)</f>
        <v>1</v>
      </c>
      <c r="Z29" cm="1">
        <f t="array" ref="Z29">_xll.VALEURCOURBE($A$2,_xlfn.CONCAT("THEME14=",$B29),SCENARIOS!$A$2,SCENARIOS!$B$2,YIELDS_youvert!Z$1,0)</f>
        <v>1</v>
      </c>
      <c r="AA29" cm="1">
        <f t="array" ref="AA29">_xll.VALEURCOURBE($A$2,_xlfn.CONCAT("THEME14=",$B29),SCENARIOS!$A$2,SCENARIOS!$B$2,YIELDS_youvert!AA$1,0)</f>
        <v>1</v>
      </c>
      <c r="AB29" cm="1">
        <f t="array" ref="AB29">_xll.VALEURCOURBE($A$2,_xlfn.CONCAT("THEME14=",$B29),SCENARIOS!$A$2,SCENARIOS!$B$2,YIELDS_youvert!AB$1,0)</f>
        <v>1</v>
      </c>
      <c r="AC29" cm="1">
        <f t="array" ref="AC29">_xll.VALEURCOURBE($A$2,_xlfn.CONCAT("THEME14=",$B29),SCENARIOS!$A$2,SCENARIOS!$B$2,YIELDS_youvert!AC$1,0)</f>
        <v>1</v>
      </c>
      <c r="AD29" cm="1">
        <f t="array" ref="AD29">_xll.VALEURCOURBE($A$2,_xlfn.CONCAT("THEME14=",$B29),SCENARIOS!$A$2,SCENARIOS!$B$2,YIELDS_youvert!AD$1,0)</f>
        <v>1</v>
      </c>
      <c r="AE29" cm="1">
        <f t="array" ref="AE29">_xll.VALEURCOURBE($A$2,_xlfn.CONCAT("THEME14=",$B29),SCENARIOS!$A$2,SCENARIOS!$B$2,YIELDS_youvert!AE$1,0)</f>
        <v>1</v>
      </c>
    </row>
    <row r="30" spans="3:31" x14ac:dyDescent="0.25">
      <c r="C30" cm="1">
        <f t="array" ref="C30">_xll.VALEURCOURBE($A$2,_xlfn.CONCAT("THEME14=",$B30),SCENARIOS!$A$2,SCENARIOS!$B$2,YIELDS_youvert!C$1,0)</f>
        <v>1</v>
      </c>
      <c r="D30" cm="1">
        <f t="array" ref="D30">_xll.VALEURCOURBE($A$2,_xlfn.CONCAT("THEME14=",$B30),SCENARIOS!$A$2,SCENARIOS!$B$2,YIELDS_youvert!D$1,0)</f>
        <v>1</v>
      </c>
      <c r="E30" cm="1">
        <f t="array" ref="E30">_xll.VALEURCOURBE($A$2,_xlfn.CONCAT("THEME14=",$B30),SCENARIOS!$A$2,SCENARIOS!$B$2,YIELDS_youvert!E$1,0)</f>
        <v>1</v>
      </c>
      <c r="F30" cm="1">
        <f t="array" ref="F30">_xll.VALEURCOURBE($A$2,_xlfn.CONCAT("THEME14=",$B30),SCENARIOS!$A$2,SCENARIOS!$B$2,YIELDS_youvert!F$1,0)</f>
        <v>1</v>
      </c>
      <c r="G30" cm="1">
        <f t="array" ref="G30">_xll.VALEURCOURBE($A$2,_xlfn.CONCAT("THEME14=",$B30),SCENARIOS!$A$2,SCENARIOS!$B$2,YIELDS_youvert!G$1,0)</f>
        <v>1</v>
      </c>
      <c r="H30" cm="1">
        <f t="array" ref="H30">_xll.VALEURCOURBE($A$2,_xlfn.CONCAT("THEME14=",$B30),SCENARIOS!$A$2,SCENARIOS!$B$2,YIELDS_youvert!H$1,0)</f>
        <v>1</v>
      </c>
      <c r="I30" cm="1">
        <f t="array" ref="I30">_xll.VALEURCOURBE($A$2,_xlfn.CONCAT("THEME14=",$B30),SCENARIOS!$A$2,SCENARIOS!$B$2,YIELDS_youvert!I$1,0)</f>
        <v>1</v>
      </c>
      <c r="J30" cm="1">
        <f t="array" ref="J30">_xll.VALEURCOURBE($A$2,_xlfn.CONCAT("THEME14=",$B30),SCENARIOS!$A$2,SCENARIOS!$B$2,YIELDS_youvert!J$1,0)</f>
        <v>1</v>
      </c>
      <c r="K30" cm="1">
        <f t="array" ref="K30">_xll.VALEURCOURBE($A$2,_xlfn.CONCAT("THEME14=",$B30),SCENARIOS!$A$2,SCENARIOS!$B$2,YIELDS_youvert!K$1,0)</f>
        <v>1</v>
      </c>
      <c r="L30" cm="1">
        <f t="array" ref="L30">_xll.VALEURCOURBE($A$2,_xlfn.CONCAT("THEME14=",$B30),SCENARIOS!$A$2,SCENARIOS!$B$2,YIELDS_youvert!L$1,0)</f>
        <v>1</v>
      </c>
      <c r="M30" cm="1">
        <f t="array" ref="M30">_xll.VALEURCOURBE($A$2,_xlfn.CONCAT("THEME14=",$B30),SCENARIOS!$A$2,SCENARIOS!$B$2,YIELDS_youvert!M$1,0)</f>
        <v>1</v>
      </c>
      <c r="N30" cm="1">
        <f t="array" ref="N30">_xll.VALEURCOURBE($A$2,_xlfn.CONCAT("THEME14=",$B30),SCENARIOS!$A$2,SCENARIOS!$B$2,YIELDS_youvert!N$1,0)</f>
        <v>1</v>
      </c>
      <c r="O30" cm="1">
        <f t="array" ref="O30">_xll.VALEURCOURBE($A$2,_xlfn.CONCAT("THEME14=",$B30),SCENARIOS!$A$2,SCENARIOS!$B$2,YIELDS_youvert!O$1,0)</f>
        <v>1</v>
      </c>
      <c r="P30" cm="1">
        <f t="array" ref="P30">_xll.VALEURCOURBE($A$2,_xlfn.CONCAT("THEME14=",$B30),SCENARIOS!$A$2,SCENARIOS!$B$2,YIELDS_youvert!P$1,0)</f>
        <v>1</v>
      </c>
      <c r="Q30" cm="1">
        <f t="array" ref="Q30">_xll.VALEURCOURBE($A$2,_xlfn.CONCAT("THEME14=",$B30),SCENARIOS!$A$2,SCENARIOS!$B$2,YIELDS_youvert!Q$1,0)</f>
        <v>1</v>
      </c>
      <c r="R30" cm="1">
        <f t="array" ref="R30">_xll.VALEURCOURBE($A$2,_xlfn.CONCAT("THEME14=",$B30),SCENARIOS!$A$2,SCENARIOS!$B$2,YIELDS_youvert!R$1,0)</f>
        <v>1</v>
      </c>
      <c r="S30" cm="1">
        <f t="array" ref="S30">_xll.VALEURCOURBE($A$2,_xlfn.CONCAT("THEME14=",$B30),SCENARIOS!$A$2,SCENARIOS!$B$2,YIELDS_youvert!S$1,0)</f>
        <v>1</v>
      </c>
      <c r="T30" cm="1">
        <f t="array" ref="T30">_xll.VALEURCOURBE($A$2,_xlfn.CONCAT("THEME14=",$B30),SCENARIOS!$A$2,SCENARIOS!$B$2,YIELDS_youvert!T$1,0)</f>
        <v>1</v>
      </c>
      <c r="U30" cm="1">
        <f t="array" ref="U30">_xll.VALEURCOURBE($A$2,_xlfn.CONCAT("THEME14=",$B30),SCENARIOS!$A$2,SCENARIOS!$B$2,YIELDS_youvert!U$1,0)</f>
        <v>1</v>
      </c>
      <c r="V30" cm="1">
        <f t="array" ref="V30">_xll.VALEURCOURBE($A$2,_xlfn.CONCAT("THEME14=",$B30),SCENARIOS!$A$2,SCENARIOS!$B$2,YIELDS_youvert!V$1,0)</f>
        <v>1</v>
      </c>
      <c r="W30" cm="1">
        <f t="array" ref="W30">_xll.VALEURCOURBE($A$2,_xlfn.CONCAT("THEME14=",$B30),SCENARIOS!$A$2,SCENARIOS!$B$2,YIELDS_youvert!W$1,0)</f>
        <v>1</v>
      </c>
      <c r="X30" cm="1">
        <f t="array" ref="X30">_xll.VALEURCOURBE($A$2,_xlfn.CONCAT("THEME14=",$B30),SCENARIOS!$A$2,SCENARIOS!$B$2,YIELDS_youvert!X$1,0)</f>
        <v>1</v>
      </c>
      <c r="Y30" cm="1">
        <f t="array" ref="Y30">_xll.VALEURCOURBE($A$2,_xlfn.CONCAT("THEME14=",$B30),SCENARIOS!$A$2,SCENARIOS!$B$2,YIELDS_youvert!Y$1,0)</f>
        <v>1</v>
      </c>
      <c r="Z30" cm="1">
        <f t="array" ref="Z30">_xll.VALEURCOURBE($A$2,_xlfn.CONCAT("THEME14=",$B30),SCENARIOS!$A$2,SCENARIOS!$B$2,YIELDS_youvert!Z$1,0)</f>
        <v>1</v>
      </c>
      <c r="AA30" cm="1">
        <f t="array" ref="AA30">_xll.VALEURCOURBE($A$2,_xlfn.CONCAT("THEME14=",$B30),SCENARIOS!$A$2,SCENARIOS!$B$2,YIELDS_youvert!AA$1,0)</f>
        <v>1</v>
      </c>
      <c r="AB30" cm="1">
        <f t="array" ref="AB30">_xll.VALEURCOURBE($A$2,_xlfn.CONCAT("THEME14=",$B30),SCENARIOS!$A$2,SCENARIOS!$B$2,YIELDS_youvert!AB$1,0)</f>
        <v>1</v>
      </c>
      <c r="AC30" cm="1">
        <f t="array" ref="AC30">_xll.VALEURCOURBE($A$2,_xlfn.CONCAT("THEME14=",$B30),SCENARIOS!$A$2,SCENARIOS!$B$2,YIELDS_youvert!AC$1,0)</f>
        <v>1</v>
      </c>
      <c r="AD30" cm="1">
        <f t="array" ref="AD30">_xll.VALEURCOURBE($A$2,_xlfn.CONCAT("THEME14=",$B30),SCENARIOS!$A$2,SCENARIOS!$B$2,YIELDS_youvert!AD$1,0)</f>
        <v>1</v>
      </c>
      <c r="AE30" cm="1">
        <f t="array" ref="AE30">_xll.VALEURCOURBE($A$2,_xlfn.CONCAT("THEME14=",$B30),SCENARIOS!$A$2,SCENARIOS!$B$2,YIELDS_youvert!AE$1,0)</f>
        <v>1</v>
      </c>
    </row>
    <row r="31" spans="3:31" x14ac:dyDescent="0.25">
      <c r="C31" cm="1">
        <f t="array" ref="C31">_xll.VALEURCOURBE($A$2,_xlfn.CONCAT("THEME14=",$B31),SCENARIOS!$A$2,SCENARIOS!$B$2,YIELDS_youvert!C$1,0)</f>
        <v>1</v>
      </c>
      <c r="D31" cm="1">
        <f t="array" ref="D31">_xll.VALEURCOURBE($A$2,_xlfn.CONCAT("THEME14=",$B31),SCENARIOS!$A$2,SCENARIOS!$B$2,YIELDS_youvert!D$1,0)</f>
        <v>1</v>
      </c>
      <c r="E31" cm="1">
        <f t="array" ref="E31">_xll.VALEURCOURBE($A$2,_xlfn.CONCAT("THEME14=",$B31),SCENARIOS!$A$2,SCENARIOS!$B$2,YIELDS_youvert!E$1,0)</f>
        <v>1</v>
      </c>
      <c r="F31" cm="1">
        <f t="array" ref="F31">_xll.VALEURCOURBE($A$2,_xlfn.CONCAT("THEME14=",$B31),SCENARIOS!$A$2,SCENARIOS!$B$2,YIELDS_youvert!F$1,0)</f>
        <v>1</v>
      </c>
      <c r="G31" cm="1">
        <f t="array" ref="G31">_xll.VALEURCOURBE($A$2,_xlfn.CONCAT("THEME14=",$B31),SCENARIOS!$A$2,SCENARIOS!$B$2,YIELDS_youvert!G$1,0)</f>
        <v>1</v>
      </c>
      <c r="H31" cm="1">
        <f t="array" ref="H31">_xll.VALEURCOURBE($A$2,_xlfn.CONCAT("THEME14=",$B31),SCENARIOS!$A$2,SCENARIOS!$B$2,YIELDS_youvert!H$1,0)</f>
        <v>1</v>
      </c>
      <c r="I31" cm="1">
        <f t="array" ref="I31">_xll.VALEURCOURBE($A$2,_xlfn.CONCAT("THEME14=",$B31),SCENARIOS!$A$2,SCENARIOS!$B$2,YIELDS_youvert!I$1,0)</f>
        <v>1</v>
      </c>
      <c r="J31" cm="1">
        <f t="array" ref="J31">_xll.VALEURCOURBE($A$2,_xlfn.CONCAT("THEME14=",$B31),SCENARIOS!$A$2,SCENARIOS!$B$2,YIELDS_youvert!J$1,0)</f>
        <v>1</v>
      </c>
      <c r="K31" cm="1">
        <f t="array" ref="K31">_xll.VALEURCOURBE($A$2,_xlfn.CONCAT("THEME14=",$B31),SCENARIOS!$A$2,SCENARIOS!$B$2,YIELDS_youvert!K$1,0)</f>
        <v>1</v>
      </c>
      <c r="L31" cm="1">
        <f t="array" ref="L31">_xll.VALEURCOURBE($A$2,_xlfn.CONCAT("THEME14=",$B31),SCENARIOS!$A$2,SCENARIOS!$B$2,YIELDS_youvert!L$1,0)</f>
        <v>1</v>
      </c>
      <c r="M31" cm="1">
        <f t="array" ref="M31">_xll.VALEURCOURBE($A$2,_xlfn.CONCAT("THEME14=",$B31),SCENARIOS!$A$2,SCENARIOS!$B$2,YIELDS_youvert!M$1,0)</f>
        <v>1</v>
      </c>
      <c r="N31" cm="1">
        <f t="array" ref="N31">_xll.VALEURCOURBE($A$2,_xlfn.CONCAT("THEME14=",$B31),SCENARIOS!$A$2,SCENARIOS!$B$2,YIELDS_youvert!N$1,0)</f>
        <v>1</v>
      </c>
      <c r="O31" cm="1">
        <f t="array" ref="O31">_xll.VALEURCOURBE($A$2,_xlfn.CONCAT("THEME14=",$B31),SCENARIOS!$A$2,SCENARIOS!$B$2,YIELDS_youvert!O$1,0)</f>
        <v>1</v>
      </c>
      <c r="P31" cm="1">
        <f t="array" ref="P31">_xll.VALEURCOURBE($A$2,_xlfn.CONCAT("THEME14=",$B31),SCENARIOS!$A$2,SCENARIOS!$B$2,YIELDS_youvert!P$1,0)</f>
        <v>1</v>
      </c>
      <c r="Q31" cm="1">
        <f t="array" ref="Q31">_xll.VALEURCOURBE($A$2,_xlfn.CONCAT("THEME14=",$B31),SCENARIOS!$A$2,SCENARIOS!$B$2,YIELDS_youvert!Q$1,0)</f>
        <v>1</v>
      </c>
      <c r="R31" cm="1">
        <f t="array" ref="R31">_xll.VALEURCOURBE($A$2,_xlfn.CONCAT("THEME14=",$B31),SCENARIOS!$A$2,SCENARIOS!$B$2,YIELDS_youvert!R$1,0)</f>
        <v>1</v>
      </c>
      <c r="S31" cm="1">
        <f t="array" ref="S31">_xll.VALEURCOURBE($A$2,_xlfn.CONCAT("THEME14=",$B31),SCENARIOS!$A$2,SCENARIOS!$B$2,YIELDS_youvert!S$1,0)</f>
        <v>1</v>
      </c>
      <c r="T31" cm="1">
        <f t="array" ref="T31">_xll.VALEURCOURBE($A$2,_xlfn.CONCAT("THEME14=",$B31),SCENARIOS!$A$2,SCENARIOS!$B$2,YIELDS_youvert!T$1,0)</f>
        <v>1</v>
      </c>
      <c r="U31" cm="1">
        <f t="array" ref="U31">_xll.VALEURCOURBE($A$2,_xlfn.CONCAT("THEME14=",$B31),SCENARIOS!$A$2,SCENARIOS!$B$2,YIELDS_youvert!U$1,0)</f>
        <v>1</v>
      </c>
      <c r="V31" cm="1">
        <f t="array" ref="V31">_xll.VALEURCOURBE($A$2,_xlfn.CONCAT("THEME14=",$B31),SCENARIOS!$A$2,SCENARIOS!$B$2,YIELDS_youvert!V$1,0)</f>
        <v>1</v>
      </c>
      <c r="W31" cm="1">
        <f t="array" ref="W31">_xll.VALEURCOURBE($A$2,_xlfn.CONCAT("THEME14=",$B31),SCENARIOS!$A$2,SCENARIOS!$B$2,YIELDS_youvert!W$1,0)</f>
        <v>1</v>
      </c>
      <c r="X31" cm="1">
        <f t="array" ref="X31">_xll.VALEURCOURBE($A$2,_xlfn.CONCAT("THEME14=",$B31),SCENARIOS!$A$2,SCENARIOS!$B$2,YIELDS_youvert!X$1,0)</f>
        <v>1</v>
      </c>
      <c r="Y31" cm="1">
        <f t="array" ref="Y31">_xll.VALEURCOURBE($A$2,_xlfn.CONCAT("THEME14=",$B31),SCENARIOS!$A$2,SCENARIOS!$B$2,YIELDS_youvert!Y$1,0)</f>
        <v>1</v>
      </c>
      <c r="Z31" cm="1">
        <f t="array" ref="Z31">_xll.VALEURCOURBE($A$2,_xlfn.CONCAT("THEME14=",$B31),SCENARIOS!$A$2,SCENARIOS!$B$2,YIELDS_youvert!Z$1,0)</f>
        <v>1</v>
      </c>
      <c r="AA31" cm="1">
        <f t="array" ref="AA31">_xll.VALEURCOURBE($A$2,_xlfn.CONCAT("THEME14=",$B31),SCENARIOS!$A$2,SCENARIOS!$B$2,YIELDS_youvert!AA$1,0)</f>
        <v>1</v>
      </c>
      <c r="AB31" cm="1">
        <f t="array" ref="AB31">_xll.VALEURCOURBE($A$2,_xlfn.CONCAT("THEME14=",$B31),SCENARIOS!$A$2,SCENARIOS!$B$2,YIELDS_youvert!AB$1,0)</f>
        <v>1</v>
      </c>
      <c r="AC31" cm="1">
        <f t="array" ref="AC31">_xll.VALEURCOURBE($A$2,_xlfn.CONCAT("THEME14=",$B31),SCENARIOS!$A$2,SCENARIOS!$B$2,YIELDS_youvert!AC$1,0)</f>
        <v>1</v>
      </c>
      <c r="AD31" cm="1">
        <f t="array" ref="AD31">_xll.VALEURCOURBE($A$2,_xlfn.CONCAT("THEME14=",$B31),SCENARIOS!$A$2,SCENARIOS!$B$2,YIELDS_youvert!AD$1,0)</f>
        <v>1</v>
      </c>
      <c r="AE31" cm="1">
        <f t="array" ref="AE31">_xll.VALEURCOURBE($A$2,_xlfn.CONCAT("THEME14=",$B31),SCENARIOS!$A$2,SCENARIOS!$B$2,YIELDS_youvert!AE$1,0)</f>
        <v>1</v>
      </c>
    </row>
    <row r="32" spans="3:31" x14ac:dyDescent="0.25">
      <c r="C32" cm="1">
        <f t="array" ref="C32">_xll.VALEURCOURBE($A$2,_xlfn.CONCAT("THEME14=",$B32),SCENARIOS!$A$2,SCENARIOS!$B$2,YIELDS_youvert!C$1,0)</f>
        <v>1</v>
      </c>
      <c r="D32" cm="1">
        <f t="array" ref="D32">_xll.VALEURCOURBE($A$2,_xlfn.CONCAT("THEME14=",$B32),SCENARIOS!$A$2,SCENARIOS!$B$2,YIELDS_youvert!D$1,0)</f>
        <v>1</v>
      </c>
      <c r="E32" cm="1">
        <f t="array" ref="E32">_xll.VALEURCOURBE($A$2,_xlfn.CONCAT("THEME14=",$B32),SCENARIOS!$A$2,SCENARIOS!$B$2,YIELDS_youvert!E$1,0)</f>
        <v>1</v>
      </c>
      <c r="F32" cm="1">
        <f t="array" ref="F32">_xll.VALEURCOURBE($A$2,_xlfn.CONCAT("THEME14=",$B32),SCENARIOS!$A$2,SCENARIOS!$B$2,YIELDS_youvert!F$1,0)</f>
        <v>1</v>
      </c>
      <c r="G32" cm="1">
        <f t="array" ref="G32">_xll.VALEURCOURBE($A$2,_xlfn.CONCAT("THEME14=",$B32),SCENARIOS!$A$2,SCENARIOS!$B$2,YIELDS_youvert!G$1,0)</f>
        <v>1</v>
      </c>
      <c r="H32" cm="1">
        <f t="array" ref="H32">_xll.VALEURCOURBE($A$2,_xlfn.CONCAT("THEME14=",$B32),SCENARIOS!$A$2,SCENARIOS!$B$2,YIELDS_youvert!H$1,0)</f>
        <v>1</v>
      </c>
      <c r="I32" cm="1">
        <f t="array" ref="I32">_xll.VALEURCOURBE($A$2,_xlfn.CONCAT("THEME14=",$B32),SCENARIOS!$A$2,SCENARIOS!$B$2,YIELDS_youvert!I$1,0)</f>
        <v>1</v>
      </c>
      <c r="J32" cm="1">
        <f t="array" ref="J32">_xll.VALEURCOURBE($A$2,_xlfn.CONCAT("THEME14=",$B32),SCENARIOS!$A$2,SCENARIOS!$B$2,YIELDS_youvert!J$1,0)</f>
        <v>1</v>
      </c>
      <c r="K32" cm="1">
        <f t="array" ref="K32">_xll.VALEURCOURBE($A$2,_xlfn.CONCAT("THEME14=",$B32),SCENARIOS!$A$2,SCENARIOS!$B$2,YIELDS_youvert!K$1,0)</f>
        <v>1</v>
      </c>
      <c r="L32" cm="1">
        <f t="array" ref="L32">_xll.VALEURCOURBE($A$2,_xlfn.CONCAT("THEME14=",$B32),SCENARIOS!$A$2,SCENARIOS!$B$2,YIELDS_youvert!L$1,0)</f>
        <v>1</v>
      </c>
      <c r="M32" cm="1">
        <f t="array" ref="M32">_xll.VALEURCOURBE($A$2,_xlfn.CONCAT("THEME14=",$B32),SCENARIOS!$A$2,SCENARIOS!$B$2,YIELDS_youvert!M$1,0)</f>
        <v>1</v>
      </c>
      <c r="N32" cm="1">
        <f t="array" ref="N32">_xll.VALEURCOURBE($A$2,_xlfn.CONCAT("THEME14=",$B32),SCENARIOS!$A$2,SCENARIOS!$B$2,YIELDS_youvert!N$1,0)</f>
        <v>1</v>
      </c>
      <c r="O32" cm="1">
        <f t="array" ref="O32">_xll.VALEURCOURBE($A$2,_xlfn.CONCAT("THEME14=",$B32),SCENARIOS!$A$2,SCENARIOS!$B$2,YIELDS_youvert!O$1,0)</f>
        <v>1</v>
      </c>
      <c r="P32" cm="1">
        <f t="array" ref="P32">_xll.VALEURCOURBE($A$2,_xlfn.CONCAT("THEME14=",$B32),SCENARIOS!$A$2,SCENARIOS!$B$2,YIELDS_youvert!P$1,0)</f>
        <v>1</v>
      </c>
      <c r="Q32" cm="1">
        <f t="array" ref="Q32">_xll.VALEURCOURBE($A$2,_xlfn.CONCAT("THEME14=",$B32),SCENARIOS!$A$2,SCENARIOS!$B$2,YIELDS_youvert!Q$1,0)</f>
        <v>1</v>
      </c>
      <c r="R32" cm="1">
        <f t="array" ref="R32">_xll.VALEURCOURBE($A$2,_xlfn.CONCAT("THEME14=",$B32),SCENARIOS!$A$2,SCENARIOS!$B$2,YIELDS_youvert!R$1,0)</f>
        <v>1</v>
      </c>
      <c r="S32" cm="1">
        <f t="array" ref="S32">_xll.VALEURCOURBE($A$2,_xlfn.CONCAT("THEME14=",$B32),SCENARIOS!$A$2,SCENARIOS!$B$2,YIELDS_youvert!S$1,0)</f>
        <v>1</v>
      </c>
      <c r="T32" cm="1">
        <f t="array" ref="T32">_xll.VALEURCOURBE($A$2,_xlfn.CONCAT("THEME14=",$B32),SCENARIOS!$A$2,SCENARIOS!$B$2,YIELDS_youvert!T$1,0)</f>
        <v>1</v>
      </c>
      <c r="U32" cm="1">
        <f t="array" ref="U32">_xll.VALEURCOURBE($A$2,_xlfn.CONCAT("THEME14=",$B32),SCENARIOS!$A$2,SCENARIOS!$B$2,YIELDS_youvert!U$1,0)</f>
        <v>1</v>
      </c>
      <c r="V32" cm="1">
        <f t="array" ref="V32">_xll.VALEURCOURBE($A$2,_xlfn.CONCAT("THEME14=",$B32),SCENARIOS!$A$2,SCENARIOS!$B$2,YIELDS_youvert!V$1,0)</f>
        <v>1</v>
      </c>
      <c r="W32" cm="1">
        <f t="array" ref="W32">_xll.VALEURCOURBE($A$2,_xlfn.CONCAT("THEME14=",$B32),SCENARIOS!$A$2,SCENARIOS!$B$2,YIELDS_youvert!W$1,0)</f>
        <v>1</v>
      </c>
      <c r="X32" cm="1">
        <f t="array" ref="X32">_xll.VALEURCOURBE($A$2,_xlfn.CONCAT("THEME14=",$B32),SCENARIOS!$A$2,SCENARIOS!$B$2,YIELDS_youvert!X$1,0)</f>
        <v>1</v>
      </c>
      <c r="Y32" cm="1">
        <f t="array" ref="Y32">_xll.VALEURCOURBE($A$2,_xlfn.CONCAT("THEME14=",$B32),SCENARIOS!$A$2,SCENARIOS!$B$2,YIELDS_youvert!Y$1,0)</f>
        <v>1</v>
      </c>
      <c r="Z32" cm="1">
        <f t="array" ref="Z32">_xll.VALEURCOURBE($A$2,_xlfn.CONCAT("THEME14=",$B32),SCENARIOS!$A$2,SCENARIOS!$B$2,YIELDS_youvert!Z$1,0)</f>
        <v>1</v>
      </c>
      <c r="AA32" cm="1">
        <f t="array" ref="AA32">_xll.VALEURCOURBE($A$2,_xlfn.CONCAT("THEME14=",$B32),SCENARIOS!$A$2,SCENARIOS!$B$2,YIELDS_youvert!AA$1,0)</f>
        <v>1</v>
      </c>
      <c r="AB32" cm="1">
        <f t="array" ref="AB32">_xll.VALEURCOURBE($A$2,_xlfn.CONCAT("THEME14=",$B32),SCENARIOS!$A$2,SCENARIOS!$B$2,YIELDS_youvert!AB$1,0)</f>
        <v>1</v>
      </c>
      <c r="AC32" cm="1">
        <f t="array" ref="AC32">_xll.VALEURCOURBE($A$2,_xlfn.CONCAT("THEME14=",$B32),SCENARIOS!$A$2,SCENARIOS!$B$2,YIELDS_youvert!AC$1,0)</f>
        <v>1</v>
      </c>
      <c r="AD32" cm="1">
        <f t="array" ref="AD32">_xll.VALEURCOURBE($A$2,_xlfn.CONCAT("THEME14=",$B32),SCENARIOS!$A$2,SCENARIOS!$B$2,YIELDS_youvert!AD$1,0)</f>
        <v>1</v>
      </c>
      <c r="AE32" cm="1">
        <f t="array" ref="AE32">_xll.VALEURCOURBE($A$2,_xlfn.CONCAT("THEME14=",$B32),SCENARIOS!$A$2,SCENARIOS!$B$2,YIELDS_youvert!AE$1,0)</f>
        <v>1</v>
      </c>
    </row>
    <row r="33" spans="3:31" x14ac:dyDescent="0.25">
      <c r="C33" cm="1">
        <f t="array" ref="C33">_xll.VALEURCOURBE($A$2,_xlfn.CONCAT("THEME14=",$B33),SCENARIOS!$A$2,SCENARIOS!$B$2,YIELDS_youvert!C$1,0)</f>
        <v>1</v>
      </c>
      <c r="D33" cm="1">
        <f t="array" ref="D33">_xll.VALEURCOURBE($A$2,_xlfn.CONCAT("THEME14=",$B33),SCENARIOS!$A$2,SCENARIOS!$B$2,YIELDS_youvert!D$1,0)</f>
        <v>1</v>
      </c>
      <c r="E33" cm="1">
        <f t="array" ref="E33">_xll.VALEURCOURBE($A$2,_xlfn.CONCAT("THEME14=",$B33),SCENARIOS!$A$2,SCENARIOS!$B$2,YIELDS_youvert!E$1,0)</f>
        <v>1</v>
      </c>
      <c r="F33" cm="1">
        <f t="array" ref="F33">_xll.VALEURCOURBE($A$2,_xlfn.CONCAT("THEME14=",$B33),SCENARIOS!$A$2,SCENARIOS!$B$2,YIELDS_youvert!F$1,0)</f>
        <v>1</v>
      </c>
      <c r="G33" cm="1">
        <f t="array" ref="G33">_xll.VALEURCOURBE($A$2,_xlfn.CONCAT("THEME14=",$B33),SCENARIOS!$A$2,SCENARIOS!$B$2,YIELDS_youvert!G$1,0)</f>
        <v>1</v>
      </c>
      <c r="H33" cm="1">
        <f t="array" ref="H33">_xll.VALEURCOURBE($A$2,_xlfn.CONCAT("THEME14=",$B33),SCENARIOS!$A$2,SCENARIOS!$B$2,YIELDS_youvert!H$1,0)</f>
        <v>1</v>
      </c>
      <c r="I33" cm="1">
        <f t="array" ref="I33">_xll.VALEURCOURBE($A$2,_xlfn.CONCAT("THEME14=",$B33),SCENARIOS!$A$2,SCENARIOS!$B$2,YIELDS_youvert!I$1,0)</f>
        <v>1</v>
      </c>
      <c r="J33" cm="1">
        <f t="array" ref="J33">_xll.VALEURCOURBE($A$2,_xlfn.CONCAT("THEME14=",$B33),SCENARIOS!$A$2,SCENARIOS!$B$2,YIELDS_youvert!J$1,0)</f>
        <v>1</v>
      </c>
      <c r="K33" cm="1">
        <f t="array" ref="K33">_xll.VALEURCOURBE($A$2,_xlfn.CONCAT("THEME14=",$B33),SCENARIOS!$A$2,SCENARIOS!$B$2,YIELDS_youvert!K$1,0)</f>
        <v>1</v>
      </c>
      <c r="L33" cm="1">
        <f t="array" ref="L33">_xll.VALEURCOURBE($A$2,_xlfn.CONCAT("THEME14=",$B33),SCENARIOS!$A$2,SCENARIOS!$B$2,YIELDS_youvert!L$1,0)</f>
        <v>1</v>
      </c>
      <c r="M33" cm="1">
        <f t="array" ref="M33">_xll.VALEURCOURBE($A$2,_xlfn.CONCAT("THEME14=",$B33),SCENARIOS!$A$2,SCENARIOS!$B$2,YIELDS_youvert!M$1,0)</f>
        <v>1</v>
      </c>
      <c r="N33" cm="1">
        <f t="array" ref="N33">_xll.VALEURCOURBE($A$2,_xlfn.CONCAT("THEME14=",$B33),SCENARIOS!$A$2,SCENARIOS!$B$2,YIELDS_youvert!N$1,0)</f>
        <v>1</v>
      </c>
      <c r="O33" cm="1">
        <f t="array" ref="O33">_xll.VALEURCOURBE($A$2,_xlfn.CONCAT("THEME14=",$B33),SCENARIOS!$A$2,SCENARIOS!$B$2,YIELDS_youvert!O$1,0)</f>
        <v>1</v>
      </c>
      <c r="P33" cm="1">
        <f t="array" ref="P33">_xll.VALEURCOURBE($A$2,_xlfn.CONCAT("THEME14=",$B33),SCENARIOS!$A$2,SCENARIOS!$B$2,YIELDS_youvert!P$1,0)</f>
        <v>1</v>
      </c>
      <c r="Q33" cm="1">
        <f t="array" ref="Q33">_xll.VALEURCOURBE($A$2,_xlfn.CONCAT("THEME14=",$B33),SCENARIOS!$A$2,SCENARIOS!$B$2,YIELDS_youvert!Q$1,0)</f>
        <v>1</v>
      </c>
      <c r="R33" cm="1">
        <f t="array" ref="R33">_xll.VALEURCOURBE($A$2,_xlfn.CONCAT("THEME14=",$B33),SCENARIOS!$A$2,SCENARIOS!$B$2,YIELDS_youvert!R$1,0)</f>
        <v>1</v>
      </c>
      <c r="S33" cm="1">
        <f t="array" ref="S33">_xll.VALEURCOURBE($A$2,_xlfn.CONCAT("THEME14=",$B33),SCENARIOS!$A$2,SCENARIOS!$B$2,YIELDS_youvert!S$1,0)</f>
        <v>1</v>
      </c>
      <c r="T33" cm="1">
        <f t="array" ref="T33">_xll.VALEURCOURBE($A$2,_xlfn.CONCAT("THEME14=",$B33),SCENARIOS!$A$2,SCENARIOS!$B$2,YIELDS_youvert!T$1,0)</f>
        <v>1</v>
      </c>
      <c r="U33" cm="1">
        <f t="array" ref="U33">_xll.VALEURCOURBE($A$2,_xlfn.CONCAT("THEME14=",$B33),SCENARIOS!$A$2,SCENARIOS!$B$2,YIELDS_youvert!U$1,0)</f>
        <v>1</v>
      </c>
      <c r="V33" cm="1">
        <f t="array" ref="V33">_xll.VALEURCOURBE($A$2,_xlfn.CONCAT("THEME14=",$B33),SCENARIOS!$A$2,SCENARIOS!$B$2,YIELDS_youvert!V$1,0)</f>
        <v>1</v>
      </c>
      <c r="W33" cm="1">
        <f t="array" ref="W33">_xll.VALEURCOURBE($A$2,_xlfn.CONCAT("THEME14=",$B33),SCENARIOS!$A$2,SCENARIOS!$B$2,YIELDS_youvert!W$1,0)</f>
        <v>1</v>
      </c>
      <c r="X33" cm="1">
        <f t="array" ref="X33">_xll.VALEURCOURBE($A$2,_xlfn.CONCAT("THEME14=",$B33),SCENARIOS!$A$2,SCENARIOS!$B$2,YIELDS_youvert!X$1,0)</f>
        <v>1</v>
      </c>
      <c r="Y33" cm="1">
        <f t="array" ref="Y33">_xll.VALEURCOURBE($A$2,_xlfn.CONCAT("THEME14=",$B33),SCENARIOS!$A$2,SCENARIOS!$B$2,YIELDS_youvert!Y$1,0)</f>
        <v>1</v>
      </c>
      <c r="Z33" cm="1">
        <f t="array" ref="Z33">_xll.VALEURCOURBE($A$2,_xlfn.CONCAT("THEME14=",$B33),SCENARIOS!$A$2,SCENARIOS!$B$2,YIELDS_youvert!Z$1,0)</f>
        <v>1</v>
      </c>
      <c r="AA33" cm="1">
        <f t="array" ref="AA33">_xll.VALEURCOURBE($A$2,_xlfn.CONCAT("THEME14=",$B33),SCENARIOS!$A$2,SCENARIOS!$B$2,YIELDS_youvert!AA$1,0)</f>
        <v>1</v>
      </c>
      <c r="AB33" cm="1">
        <f t="array" ref="AB33">_xll.VALEURCOURBE($A$2,_xlfn.CONCAT("THEME14=",$B33),SCENARIOS!$A$2,SCENARIOS!$B$2,YIELDS_youvert!AB$1,0)</f>
        <v>1</v>
      </c>
      <c r="AC33" cm="1">
        <f t="array" ref="AC33">_xll.VALEURCOURBE($A$2,_xlfn.CONCAT("THEME14=",$B33),SCENARIOS!$A$2,SCENARIOS!$B$2,YIELDS_youvert!AC$1,0)</f>
        <v>1</v>
      </c>
      <c r="AD33" cm="1">
        <f t="array" ref="AD33">_xll.VALEURCOURBE($A$2,_xlfn.CONCAT("THEME14=",$B33),SCENARIOS!$A$2,SCENARIOS!$B$2,YIELDS_youvert!AD$1,0)</f>
        <v>1</v>
      </c>
      <c r="AE33" cm="1">
        <f t="array" ref="AE33">_xll.VALEURCOURBE($A$2,_xlfn.CONCAT("THEME14=",$B33),SCENARIOS!$A$2,SCENARIOS!$B$2,YIELDS_youvert!AE$1,0)</f>
        <v>1</v>
      </c>
    </row>
    <row r="34" spans="3:31" x14ac:dyDescent="0.25">
      <c r="C34" cm="1">
        <f t="array" ref="C34">_xll.VALEURCOURBE($A$2,_xlfn.CONCAT("THEME14=",$B34),SCENARIOS!$A$2,SCENARIOS!$B$2,YIELDS_youvert!C$1,0)</f>
        <v>1</v>
      </c>
      <c r="D34" cm="1">
        <f t="array" ref="D34">_xll.VALEURCOURBE($A$2,_xlfn.CONCAT("THEME14=",$B34),SCENARIOS!$A$2,SCENARIOS!$B$2,YIELDS_youvert!D$1,0)</f>
        <v>1</v>
      </c>
      <c r="E34" cm="1">
        <f t="array" ref="E34">_xll.VALEURCOURBE($A$2,_xlfn.CONCAT("THEME14=",$B34),SCENARIOS!$A$2,SCENARIOS!$B$2,YIELDS_youvert!E$1,0)</f>
        <v>1</v>
      </c>
      <c r="F34" cm="1">
        <f t="array" ref="F34">_xll.VALEURCOURBE($A$2,_xlfn.CONCAT("THEME14=",$B34),SCENARIOS!$A$2,SCENARIOS!$B$2,YIELDS_youvert!F$1,0)</f>
        <v>1</v>
      </c>
      <c r="G34" cm="1">
        <f t="array" ref="G34">_xll.VALEURCOURBE($A$2,_xlfn.CONCAT("THEME14=",$B34),SCENARIOS!$A$2,SCENARIOS!$B$2,YIELDS_youvert!G$1,0)</f>
        <v>1</v>
      </c>
      <c r="H34" cm="1">
        <f t="array" ref="H34">_xll.VALEURCOURBE($A$2,_xlfn.CONCAT("THEME14=",$B34),SCENARIOS!$A$2,SCENARIOS!$B$2,YIELDS_youvert!H$1,0)</f>
        <v>1</v>
      </c>
      <c r="I34" cm="1">
        <f t="array" ref="I34">_xll.VALEURCOURBE($A$2,_xlfn.CONCAT("THEME14=",$B34),SCENARIOS!$A$2,SCENARIOS!$B$2,YIELDS_youvert!I$1,0)</f>
        <v>1</v>
      </c>
      <c r="J34" cm="1">
        <f t="array" ref="J34">_xll.VALEURCOURBE($A$2,_xlfn.CONCAT("THEME14=",$B34),SCENARIOS!$A$2,SCENARIOS!$B$2,YIELDS_youvert!J$1,0)</f>
        <v>1</v>
      </c>
      <c r="K34" cm="1">
        <f t="array" ref="K34">_xll.VALEURCOURBE($A$2,_xlfn.CONCAT("THEME14=",$B34),SCENARIOS!$A$2,SCENARIOS!$B$2,YIELDS_youvert!K$1,0)</f>
        <v>1</v>
      </c>
      <c r="L34" cm="1">
        <f t="array" ref="L34">_xll.VALEURCOURBE($A$2,_xlfn.CONCAT("THEME14=",$B34),SCENARIOS!$A$2,SCENARIOS!$B$2,YIELDS_youvert!L$1,0)</f>
        <v>1</v>
      </c>
      <c r="M34" cm="1">
        <f t="array" ref="M34">_xll.VALEURCOURBE($A$2,_xlfn.CONCAT("THEME14=",$B34),SCENARIOS!$A$2,SCENARIOS!$B$2,YIELDS_youvert!M$1,0)</f>
        <v>1</v>
      </c>
      <c r="N34" cm="1">
        <f t="array" ref="N34">_xll.VALEURCOURBE($A$2,_xlfn.CONCAT("THEME14=",$B34),SCENARIOS!$A$2,SCENARIOS!$B$2,YIELDS_youvert!N$1,0)</f>
        <v>1</v>
      </c>
      <c r="O34" cm="1">
        <f t="array" ref="O34">_xll.VALEURCOURBE($A$2,_xlfn.CONCAT("THEME14=",$B34),SCENARIOS!$A$2,SCENARIOS!$B$2,YIELDS_youvert!O$1,0)</f>
        <v>1</v>
      </c>
      <c r="P34" cm="1">
        <f t="array" ref="P34">_xll.VALEURCOURBE($A$2,_xlfn.CONCAT("THEME14=",$B34),SCENARIOS!$A$2,SCENARIOS!$B$2,YIELDS_youvert!P$1,0)</f>
        <v>1</v>
      </c>
      <c r="Q34" cm="1">
        <f t="array" ref="Q34">_xll.VALEURCOURBE($A$2,_xlfn.CONCAT("THEME14=",$B34),SCENARIOS!$A$2,SCENARIOS!$B$2,YIELDS_youvert!Q$1,0)</f>
        <v>1</v>
      </c>
      <c r="R34" cm="1">
        <f t="array" ref="R34">_xll.VALEURCOURBE($A$2,_xlfn.CONCAT("THEME14=",$B34),SCENARIOS!$A$2,SCENARIOS!$B$2,YIELDS_youvert!R$1,0)</f>
        <v>1</v>
      </c>
      <c r="S34" cm="1">
        <f t="array" ref="S34">_xll.VALEURCOURBE($A$2,_xlfn.CONCAT("THEME14=",$B34),SCENARIOS!$A$2,SCENARIOS!$B$2,YIELDS_youvert!S$1,0)</f>
        <v>1</v>
      </c>
      <c r="T34" cm="1">
        <f t="array" ref="T34">_xll.VALEURCOURBE($A$2,_xlfn.CONCAT("THEME14=",$B34),SCENARIOS!$A$2,SCENARIOS!$B$2,YIELDS_youvert!T$1,0)</f>
        <v>1</v>
      </c>
      <c r="U34" cm="1">
        <f t="array" ref="U34">_xll.VALEURCOURBE($A$2,_xlfn.CONCAT("THEME14=",$B34),SCENARIOS!$A$2,SCENARIOS!$B$2,YIELDS_youvert!U$1,0)</f>
        <v>1</v>
      </c>
      <c r="V34" cm="1">
        <f t="array" ref="V34">_xll.VALEURCOURBE($A$2,_xlfn.CONCAT("THEME14=",$B34),SCENARIOS!$A$2,SCENARIOS!$B$2,YIELDS_youvert!V$1,0)</f>
        <v>1</v>
      </c>
      <c r="W34" cm="1">
        <f t="array" ref="W34">_xll.VALEURCOURBE($A$2,_xlfn.CONCAT("THEME14=",$B34),SCENARIOS!$A$2,SCENARIOS!$B$2,YIELDS_youvert!W$1,0)</f>
        <v>1</v>
      </c>
      <c r="X34" cm="1">
        <f t="array" ref="X34">_xll.VALEURCOURBE($A$2,_xlfn.CONCAT("THEME14=",$B34),SCENARIOS!$A$2,SCENARIOS!$B$2,YIELDS_youvert!X$1,0)</f>
        <v>1</v>
      </c>
      <c r="Y34" cm="1">
        <f t="array" ref="Y34">_xll.VALEURCOURBE($A$2,_xlfn.CONCAT("THEME14=",$B34),SCENARIOS!$A$2,SCENARIOS!$B$2,YIELDS_youvert!Y$1,0)</f>
        <v>1</v>
      </c>
      <c r="Z34" cm="1">
        <f t="array" ref="Z34">_xll.VALEURCOURBE($A$2,_xlfn.CONCAT("THEME14=",$B34),SCENARIOS!$A$2,SCENARIOS!$B$2,YIELDS_youvert!Z$1,0)</f>
        <v>1</v>
      </c>
      <c r="AA34" cm="1">
        <f t="array" ref="AA34">_xll.VALEURCOURBE($A$2,_xlfn.CONCAT("THEME14=",$B34),SCENARIOS!$A$2,SCENARIOS!$B$2,YIELDS_youvert!AA$1,0)</f>
        <v>1</v>
      </c>
      <c r="AB34" cm="1">
        <f t="array" ref="AB34">_xll.VALEURCOURBE($A$2,_xlfn.CONCAT("THEME14=",$B34),SCENARIOS!$A$2,SCENARIOS!$B$2,YIELDS_youvert!AB$1,0)</f>
        <v>1</v>
      </c>
      <c r="AC34" cm="1">
        <f t="array" ref="AC34">_xll.VALEURCOURBE($A$2,_xlfn.CONCAT("THEME14=",$B34),SCENARIOS!$A$2,SCENARIOS!$B$2,YIELDS_youvert!AC$1,0)</f>
        <v>1</v>
      </c>
      <c r="AD34" cm="1">
        <f t="array" ref="AD34">_xll.VALEURCOURBE($A$2,_xlfn.CONCAT("THEME14=",$B34),SCENARIOS!$A$2,SCENARIOS!$B$2,YIELDS_youvert!AD$1,0)</f>
        <v>1</v>
      </c>
      <c r="AE34" cm="1">
        <f t="array" ref="AE34">_xll.VALEURCOURBE($A$2,_xlfn.CONCAT("THEME14=",$B34),SCENARIOS!$A$2,SCENARIOS!$B$2,YIELDS_youvert!AE$1,0)</f>
        <v>1</v>
      </c>
    </row>
    <row r="35" spans="3:31" x14ac:dyDescent="0.25">
      <c r="C35" cm="1">
        <f t="array" ref="C35">_xll.VALEURCOURBE($A$2,_xlfn.CONCAT("THEME14=",$B35),SCENARIOS!$A$2,SCENARIOS!$B$2,YIELDS_youvert!C$1,0)</f>
        <v>1</v>
      </c>
      <c r="D35" cm="1">
        <f t="array" ref="D35">_xll.VALEURCOURBE($A$2,_xlfn.CONCAT("THEME14=",$B35),SCENARIOS!$A$2,SCENARIOS!$B$2,YIELDS_youvert!D$1,0)</f>
        <v>1</v>
      </c>
      <c r="E35" cm="1">
        <f t="array" ref="E35">_xll.VALEURCOURBE($A$2,_xlfn.CONCAT("THEME14=",$B35),SCENARIOS!$A$2,SCENARIOS!$B$2,YIELDS_youvert!E$1,0)</f>
        <v>1</v>
      </c>
      <c r="F35" cm="1">
        <f t="array" ref="F35">_xll.VALEURCOURBE($A$2,_xlfn.CONCAT("THEME14=",$B35),SCENARIOS!$A$2,SCENARIOS!$B$2,YIELDS_youvert!F$1,0)</f>
        <v>1</v>
      </c>
      <c r="G35" cm="1">
        <f t="array" ref="G35">_xll.VALEURCOURBE($A$2,_xlfn.CONCAT("THEME14=",$B35),SCENARIOS!$A$2,SCENARIOS!$B$2,YIELDS_youvert!G$1,0)</f>
        <v>1</v>
      </c>
      <c r="H35" cm="1">
        <f t="array" ref="H35">_xll.VALEURCOURBE($A$2,_xlfn.CONCAT("THEME14=",$B35),SCENARIOS!$A$2,SCENARIOS!$B$2,YIELDS_youvert!H$1,0)</f>
        <v>1</v>
      </c>
      <c r="I35" cm="1">
        <f t="array" ref="I35">_xll.VALEURCOURBE($A$2,_xlfn.CONCAT("THEME14=",$B35),SCENARIOS!$A$2,SCENARIOS!$B$2,YIELDS_youvert!I$1,0)</f>
        <v>1</v>
      </c>
      <c r="J35" cm="1">
        <f t="array" ref="J35">_xll.VALEURCOURBE($A$2,_xlfn.CONCAT("THEME14=",$B35),SCENARIOS!$A$2,SCENARIOS!$B$2,YIELDS_youvert!J$1,0)</f>
        <v>1</v>
      </c>
      <c r="K35" cm="1">
        <f t="array" ref="K35">_xll.VALEURCOURBE($A$2,_xlfn.CONCAT("THEME14=",$B35),SCENARIOS!$A$2,SCENARIOS!$B$2,YIELDS_youvert!K$1,0)</f>
        <v>1</v>
      </c>
      <c r="L35" cm="1">
        <f t="array" ref="L35">_xll.VALEURCOURBE($A$2,_xlfn.CONCAT("THEME14=",$B35),SCENARIOS!$A$2,SCENARIOS!$B$2,YIELDS_youvert!L$1,0)</f>
        <v>1</v>
      </c>
      <c r="M35" cm="1">
        <f t="array" ref="M35">_xll.VALEURCOURBE($A$2,_xlfn.CONCAT("THEME14=",$B35),SCENARIOS!$A$2,SCENARIOS!$B$2,YIELDS_youvert!M$1,0)</f>
        <v>1</v>
      </c>
      <c r="N35" cm="1">
        <f t="array" ref="N35">_xll.VALEURCOURBE($A$2,_xlfn.CONCAT("THEME14=",$B35),SCENARIOS!$A$2,SCENARIOS!$B$2,YIELDS_youvert!N$1,0)</f>
        <v>1</v>
      </c>
      <c r="O35" cm="1">
        <f t="array" ref="O35">_xll.VALEURCOURBE($A$2,_xlfn.CONCAT("THEME14=",$B35),SCENARIOS!$A$2,SCENARIOS!$B$2,YIELDS_youvert!O$1,0)</f>
        <v>1</v>
      </c>
      <c r="P35" cm="1">
        <f t="array" ref="P35">_xll.VALEURCOURBE($A$2,_xlfn.CONCAT("THEME14=",$B35),SCENARIOS!$A$2,SCENARIOS!$B$2,YIELDS_youvert!P$1,0)</f>
        <v>1</v>
      </c>
      <c r="Q35" cm="1">
        <f t="array" ref="Q35">_xll.VALEURCOURBE($A$2,_xlfn.CONCAT("THEME14=",$B35),SCENARIOS!$A$2,SCENARIOS!$B$2,YIELDS_youvert!Q$1,0)</f>
        <v>1</v>
      </c>
      <c r="R35" cm="1">
        <f t="array" ref="R35">_xll.VALEURCOURBE($A$2,_xlfn.CONCAT("THEME14=",$B35),SCENARIOS!$A$2,SCENARIOS!$B$2,YIELDS_youvert!R$1,0)</f>
        <v>1</v>
      </c>
      <c r="S35" cm="1">
        <f t="array" ref="S35">_xll.VALEURCOURBE($A$2,_xlfn.CONCAT("THEME14=",$B35),SCENARIOS!$A$2,SCENARIOS!$B$2,YIELDS_youvert!S$1,0)</f>
        <v>1</v>
      </c>
      <c r="T35" cm="1">
        <f t="array" ref="T35">_xll.VALEURCOURBE($A$2,_xlfn.CONCAT("THEME14=",$B35),SCENARIOS!$A$2,SCENARIOS!$B$2,YIELDS_youvert!T$1,0)</f>
        <v>1</v>
      </c>
      <c r="U35" cm="1">
        <f t="array" ref="U35">_xll.VALEURCOURBE($A$2,_xlfn.CONCAT("THEME14=",$B35),SCENARIOS!$A$2,SCENARIOS!$B$2,YIELDS_youvert!U$1,0)</f>
        <v>1</v>
      </c>
      <c r="V35" cm="1">
        <f t="array" ref="V35">_xll.VALEURCOURBE($A$2,_xlfn.CONCAT("THEME14=",$B35),SCENARIOS!$A$2,SCENARIOS!$B$2,YIELDS_youvert!V$1,0)</f>
        <v>1</v>
      </c>
      <c r="W35" cm="1">
        <f t="array" ref="W35">_xll.VALEURCOURBE($A$2,_xlfn.CONCAT("THEME14=",$B35),SCENARIOS!$A$2,SCENARIOS!$B$2,YIELDS_youvert!W$1,0)</f>
        <v>1</v>
      </c>
      <c r="X35" cm="1">
        <f t="array" ref="X35">_xll.VALEURCOURBE($A$2,_xlfn.CONCAT("THEME14=",$B35),SCENARIOS!$A$2,SCENARIOS!$B$2,YIELDS_youvert!X$1,0)</f>
        <v>1</v>
      </c>
      <c r="Y35" cm="1">
        <f t="array" ref="Y35">_xll.VALEURCOURBE($A$2,_xlfn.CONCAT("THEME14=",$B35),SCENARIOS!$A$2,SCENARIOS!$B$2,YIELDS_youvert!Y$1,0)</f>
        <v>1</v>
      </c>
      <c r="Z35" cm="1">
        <f t="array" ref="Z35">_xll.VALEURCOURBE($A$2,_xlfn.CONCAT("THEME14=",$B35),SCENARIOS!$A$2,SCENARIOS!$B$2,YIELDS_youvert!Z$1,0)</f>
        <v>1</v>
      </c>
      <c r="AA35" cm="1">
        <f t="array" ref="AA35">_xll.VALEURCOURBE($A$2,_xlfn.CONCAT("THEME14=",$B35),SCENARIOS!$A$2,SCENARIOS!$B$2,YIELDS_youvert!AA$1,0)</f>
        <v>1</v>
      </c>
      <c r="AB35" cm="1">
        <f t="array" ref="AB35">_xll.VALEURCOURBE($A$2,_xlfn.CONCAT("THEME14=",$B35),SCENARIOS!$A$2,SCENARIOS!$B$2,YIELDS_youvert!AB$1,0)</f>
        <v>1</v>
      </c>
      <c r="AC35" cm="1">
        <f t="array" ref="AC35">_xll.VALEURCOURBE($A$2,_xlfn.CONCAT("THEME14=",$B35),SCENARIOS!$A$2,SCENARIOS!$B$2,YIELDS_youvert!AC$1,0)</f>
        <v>1</v>
      </c>
      <c r="AD35" cm="1">
        <f t="array" ref="AD35">_xll.VALEURCOURBE($A$2,_xlfn.CONCAT("THEME14=",$B35),SCENARIOS!$A$2,SCENARIOS!$B$2,YIELDS_youvert!AD$1,0)</f>
        <v>1</v>
      </c>
      <c r="AE35" cm="1">
        <f t="array" ref="AE35">_xll.VALEURCOURBE($A$2,_xlfn.CONCAT("THEME14=",$B35),SCENARIOS!$A$2,SCENARIOS!$B$2,YIELDS_youvert!AE$1,0)</f>
        <v>1</v>
      </c>
    </row>
    <row r="36" spans="3:31" x14ac:dyDescent="0.25">
      <c r="C36" cm="1">
        <f t="array" ref="C36">_xll.VALEURCOURBE($A$2,_xlfn.CONCAT("THEME14=",$B36),SCENARIOS!$A$2,SCENARIOS!$B$2,YIELDS_youvert!C$1,0)</f>
        <v>1</v>
      </c>
      <c r="D36" cm="1">
        <f t="array" ref="D36">_xll.VALEURCOURBE($A$2,_xlfn.CONCAT("THEME14=",$B36),SCENARIOS!$A$2,SCENARIOS!$B$2,YIELDS_youvert!D$1,0)</f>
        <v>1</v>
      </c>
      <c r="E36" cm="1">
        <f t="array" ref="E36">_xll.VALEURCOURBE($A$2,_xlfn.CONCAT("THEME14=",$B36),SCENARIOS!$A$2,SCENARIOS!$B$2,YIELDS_youvert!E$1,0)</f>
        <v>1</v>
      </c>
      <c r="F36" cm="1">
        <f t="array" ref="F36">_xll.VALEURCOURBE($A$2,_xlfn.CONCAT("THEME14=",$B36),SCENARIOS!$A$2,SCENARIOS!$B$2,YIELDS_youvert!F$1,0)</f>
        <v>1</v>
      </c>
      <c r="G36" cm="1">
        <f t="array" ref="G36">_xll.VALEURCOURBE($A$2,_xlfn.CONCAT("THEME14=",$B36),SCENARIOS!$A$2,SCENARIOS!$B$2,YIELDS_youvert!G$1,0)</f>
        <v>1</v>
      </c>
      <c r="H36" cm="1">
        <f t="array" ref="H36">_xll.VALEURCOURBE($A$2,_xlfn.CONCAT("THEME14=",$B36),SCENARIOS!$A$2,SCENARIOS!$B$2,YIELDS_youvert!H$1,0)</f>
        <v>1</v>
      </c>
      <c r="I36" cm="1">
        <f t="array" ref="I36">_xll.VALEURCOURBE($A$2,_xlfn.CONCAT("THEME14=",$B36),SCENARIOS!$A$2,SCENARIOS!$B$2,YIELDS_youvert!I$1,0)</f>
        <v>1</v>
      </c>
      <c r="J36" cm="1">
        <f t="array" ref="J36">_xll.VALEURCOURBE($A$2,_xlfn.CONCAT("THEME14=",$B36),SCENARIOS!$A$2,SCENARIOS!$B$2,YIELDS_youvert!J$1,0)</f>
        <v>1</v>
      </c>
      <c r="K36" cm="1">
        <f t="array" ref="K36">_xll.VALEURCOURBE($A$2,_xlfn.CONCAT("THEME14=",$B36),SCENARIOS!$A$2,SCENARIOS!$B$2,YIELDS_youvert!K$1,0)</f>
        <v>1</v>
      </c>
      <c r="L36" cm="1">
        <f t="array" ref="L36">_xll.VALEURCOURBE($A$2,_xlfn.CONCAT("THEME14=",$B36),SCENARIOS!$A$2,SCENARIOS!$B$2,YIELDS_youvert!L$1,0)</f>
        <v>1</v>
      </c>
      <c r="M36" cm="1">
        <f t="array" ref="M36">_xll.VALEURCOURBE($A$2,_xlfn.CONCAT("THEME14=",$B36),SCENARIOS!$A$2,SCENARIOS!$B$2,YIELDS_youvert!M$1,0)</f>
        <v>1</v>
      </c>
      <c r="N36" cm="1">
        <f t="array" ref="N36">_xll.VALEURCOURBE($A$2,_xlfn.CONCAT("THEME14=",$B36),SCENARIOS!$A$2,SCENARIOS!$B$2,YIELDS_youvert!N$1,0)</f>
        <v>1</v>
      </c>
      <c r="O36" cm="1">
        <f t="array" ref="O36">_xll.VALEURCOURBE($A$2,_xlfn.CONCAT("THEME14=",$B36),SCENARIOS!$A$2,SCENARIOS!$B$2,YIELDS_youvert!O$1,0)</f>
        <v>1</v>
      </c>
      <c r="P36" cm="1">
        <f t="array" ref="P36">_xll.VALEURCOURBE($A$2,_xlfn.CONCAT("THEME14=",$B36),SCENARIOS!$A$2,SCENARIOS!$B$2,YIELDS_youvert!P$1,0)</f>
        <v>1</v>
      </c>
      <c r="Q36" cm="1">
        <f t="array" ref="Q36">_xll.VALEURCOURBE($A$2,_xlfn.CONCAT("THEME14=",$B36),SCENARIOS!$A$2,SCENARIOS!$B$2,YIELDS_youvert!Q$1,0)</f>
        <v>1</v>
      </c>
      <c r="R36" cm="1">
        <f t="array" ref="R36">_xll.VALEURCOURBE($A$2,_xlfn.CONCAT("THEME14=",$B36),SCENARIOS!$A$2,SCENARIOS!$B$2,YIELDS_youvert!R$1,0)</f>
        <v>1</v>
      </c>
      <c r="S36" cm="1">
        <f t="array" ref="S36">_xll.VALEURCOURBE($A$2,_xlfn.CONCAT("THEME14=",$B36),SCENARIOS!$A$2,SCENARIOS!$B$2,YIELDS_youvert!S$1,0)</f>
        <v>1</v>
      </c>
      <c r="T36" cm="1">
        <f t="array" ref="T36">_xll.VALEURCOURBE($A$2,_xlfn.CONCAT("THEME14=",$B36),SCENARIOS!$A$2,SCENARIOS!$B$2,YIELDS_youvert!T$1,0)</f>
        <v>1</v>
      </c>
      <c r="U36" cm="1">
        <f t="array" ref="U36">_xll.VALEURCOURBE($A$2,_xlfn.CONCAT("THEME14=",$B36),SCENARIOS!$A$2,SCENARIOS!$B$2,YIELDS_youvert!U$1,0)</f>
        <v>1</v>
      </c>
      <c r="V36" cm="1">
        <f t="array" ref="V36">_xll.VALEURCOURBE($A$2,_xlfn.CONCAT("THEME14=",$B36),SCENARIOS!$A$2,SCENARIOS!$B$2,YIELDS_youvert!V$1,0)</f>
        <v>1</v>
      </c>
      <c r="W36" cm="1">
        <f t="array" ref="W36">_xll.VALEURCOURBE($A$2,_xlfn.CONCAT("THEME14=",$B36),SCENARIOS!$A$2,SCENARIOS!$B$2,YIELDS_youvert!W$1,0)</f>
        <v>1</v>
      </c>
      <c r="X36" cm="1">
        <f t="array" ref="X36">_xll.VALEURCOURBE($A$2,_xlfn.CONCAT("THEME14=",$B36),SCENARIOS!$A$2,SCENARIOS!$B$2,YIELDS_youvert!X$1,0)</f>
        <v>1</v>
      </c>
      <c r="Y36" cm="1">
        <f t="array" ref="Y36">_xll.VALEURCOURBE($A$2,_xlfn.CONCAT("THEME14=",$B36),SCENARIOS!$A$2,SCENARIOS!$B$2,YIELDS_youvert!Y$1,0)</f>
        <v>1</v>
      </c>
      <c r="Z36" cm="1">
        <f t="array" ref="Z36">_xll.VALEURCOURBE($A$2,_xlfn.CONCAT("THEME14=",$B36),SCENARIOS!$A$2,SCENARIOS!$B$2,YIELDS_youvert!Z$1,0)</f>
        <v>1</v>
      </c>
      <c r="AA36" cm="1">
        <f t="array" ref="AA36">_xll.VALEURCOURBE($A$2,_xlfn.CONCAT("THEME14=",$B36),SCENARIOS!$A$2,SCENARIOS!$B$2,YIELDS_youvert!AA$1,0)</f>
        <v>1</v>
      </c>
      <c r="AB36" cm="1">
        <f t="array" ref="AB36">_xll.VALEURCOURBE($A$2,_xlfn.CONCAT("THEME14=",$B36),SCENARIOS!$A$2,SCENARIOS!$B$2,YIELDS_youvert!AB$1,0)</f>
        <v>1</v>
      </c>
      <c r="AC36" cm="1">
        <f t="array" ref="AC36">_xll.VALEURCOURBE($A$2,_xlfn.CONCAT("THEME14=",$B36),SCENARIOS!$A$2,SCENARIOS!$B$2,YIELDS_youvert!AC$1,0)</f>
        <v>1</v>
      </c>
      <c r="AD36" cm="1">
        <f t="array" ref="AD36">_xll.VALEURCOURBE($A$2,_xlfn.CONCAT("THEME14=",$B36),SCENARIOS!$A$2,SCENARIOS!$B$2,YIELDS_youvert!AD$1,0)</f>
        <v>1</v>
      </c>
      <c r="AE36" cm="1">
        <f t="array" ref="AE36">_xll.VALEURCOURBE($A$2,_xlfn.CONCAT("THEME14=",$B36),SCENARIOS!$A$2,SCENARIOS!$B$2,YIELDS_youvert!AE$1,0)</f>
        <v>1</v>
      </c>
    </row>
    <row r="37" spans="3:31" x14ac:dyDescent="0.25">
      <c r="C37" cm="1">
        <f t="array" ref="C37">_xll.VALEURCOURBE($A$2,_xlfn.CONCAT("THEME14=",$B37),SCENARIOS!$A$2,SCENARIOS!$B$2,YIELDS_youvert!C$1,0)</f>
        <v>1</v>
      </c>
      <c r="D37" cm="1">
        <f t="array" ref="D37">_xll.VALEURCOURBE($A$2,_xlfn.CONCAT("THEME14=",$B37),SCENARIOS!$A$2,SCENARIOS!$B$2,YIELDS_youvert!D$1,0)</f>
        <v>1</v>
      </c>
      <c r="E37" cm="1">
        <f t="array" ref="E37">_xll.VALEURCOURBE($A$2,_xlfn.CONCAT("THEME14=",$B37),SCENARIOS!$A$2,SCENARIOS!$B$2,YIELDS_youvert!E$1,0)</f>
        <v>1</v>
      </c>
      <c r="F37" cm="1">
        <f t="array" ref="F37">_xll.VALEURCOURBE($A$2,_xlfn.CONCAT("THEME14=",$B37),SCENARIOS!$A$2,SCENARIOS!$B$2,YIELDS_youvert!F$1,0)</f>
        <v>1</v>
      </c>
      <c r="G37" cm="1">
        <f t="array" ref="G37">_xll.VALEURCOURBE($A$2,_xlfn.CONCAT("THEME14=",$B37),SCENARIOS!$A$2,SCENARIOS!$B$2,YIELDS_youvert!G$1,0)</f>
        <v>1</v>
      </c>
      <c r="H37" cm="1">
        <f t="array" ref="H37">_xll.VALEURCOURBE($A$2,_xlfn.CONCAT("THEME14=",$B37),SCENARIOS!$A$2,SCENARIOS!$B$2,YIELDS_youvert!H$1,0)</f>
        <v>1</v>
      </c>
      <c r="I37" cm="1">
        <f t="array" ref="I37">_xll.VALEURCOURBE($A$2,_xlfn.CONCAT("THEME14=",$B37),SCENARIOS!$A$2,SCENARIOS!$B$2,YIELDS_youvert!I$1,0)</f>
        <v>1</v>
      </c>
      <c r="J37" cm="1">
        <f t="array" ref="J37">_xll.VALEURCOURBE($A$2,_xlfn.CONCAT("THEME14=",$B37),SCENARIOS!$A$2,SCENARIOS!$B$2,YIELDS_youvert!J$1,0)</f>
        <v>1</v>
      </c>
      <c r="K37" cm="1">
        <f t="array" ref="K37">_xll.VALEURCOURBE($A$2,_xlfn.CONCAT("THEME14=",$B37),SCENARIOS!$A$2,SCENARIOS!$B$2,YIELDS_youvert!K$1,0)</f>
        <v>1</v>
      </c>
      <c r="L37" cm="1">
        <f t="array" ref="L37">_xll.VALEURCOURBE($A$2,_xlfn.CONCAT("THEME14=",$B37),SCENARIOS!$A$2,SCENARIOS!$B$2,YIELDS_youvert!L$1,0)</f>
        <v>1</v>
      </c>
      <c r="M37" cm="1">
        <f t="array" ref="M37">_xll.VALEURCOURBE($A$2,_xlfn.CONCAT("THEME14=",$B37),SCENARIOS!$A$2,SCENARIOS!$B$2,YIELDS_youvert!M$1,0)</f>
        <v>1</v>
      </c>
      <c r="N37" cm="1">
        <f t="array" ref="N37">_xll.VALEURCOURBE($A$2,_xlfn.CONCAT("THEME14=",$B37),SCENARIOS!$A$2,SCENARIOS!$B$2,YIELDS_youvert!N$1,0)</f>
        <v>1</v>
      </c>
      <c r="O37" cm="1">
        <f t="array" ref="O37">_xll.VALEURCOURBE($A$2,_xlfn.CONCAT("THEME14=",$B37),SCENARIOS!$A$2,SCENARIOS!$B$2,YIELDS_youvert!O$1,0)</f>
        <v>1</v>
      </c>
      <c r="P37" cm="1">
        <f t="array" ref="P37">_xll.VALEURCOURBE($A$2,_xlfn.CONCAT("THEME14=",$B37),SCENARIOS!$A$2,SCENARIOS!$B$2,YIELDS_youvert!P$1,0)</f>
        <v>1</v>
      </c>
      <c r="Q37" cm="1">
        <f t="array" ref="Q37">_xll.VALEURCOURBE($A$2,_xlfn.CONCAT("THEME14=",$B37),SCENARIOS!$A$2,SCENARIOS!$B$2,YIELDS_youvert!Q$1,0)</f>
        <v>1</v>
      </c>
      <c r="R37" cm="1">
        <f t="array" ref="R37">_xll.VALEURCOURBE($A$2,_xlfn.CONCAT("THEME14=",$B37),SCENARIOS!$A$2,SCENARIOS!$B$2,YIELDS_youvert!R$1,0)</f>
        <v>1</v>
      </c>
      <c r="S37" cm="1">
        <f t="array" ref="S37">_xll.VALEURCOURBE($A$2,_xlfn.CONCAT("THEME14=",$B37),SCENARIOS!$A$2,SCENARIOS!$B$2,YIELDS_youvert!S$1,0)</f>
        <v>1</v>
      </c>
      <c r="T37" cm="1">
        <f t="array" ref="T37">_xll.VALEURCOURBE($A$2,_xlfn.CONCAT("THEME14=",$B37),SCENARIOS!$A$2,SCENARIOS!$B$2,YIELDS_youvert!T$1,0)</f>
        <v>1</v>
      </c>
      <c r="U37" cm="1">
        <f t="array" ref="U37">_xll.VALEURCOURBE($A$2,_xlfn.CONCAT("THEME14=",$B37),SCENARIOS!$A$2,SCENARIOS!$B$2,YIELDS_youvert!U$1,0)</f>
        <v>1</v>
      </c>
      <c r="V37" cm="1">
        <f t="array" ref="V37">_xll.VALEURCOURBE($A$2,_xlfn.CONCAT("THEME14=",$B37),SCENARIOS!$A$2,SCENARIOS!$B$2,YIELDS_youvert!V$1,0)</f>
        <v>1</v>
      </c>
      <c r="W37" cm="1">
        <f t="array" ref="W37">_xll.VALEURCOURBE($A$2,_xlfn.CONCAT("THEME14=",$B37),SCENARIOS!$A$2,SCENARIOS!$B$2,YIELDS_youvert!W$1,0)</f>
        <v>1</v>
      </c>
      <c r="X37" cm="1">
        <f t="array" ref="X37">_xll.VALEURCOURBE($A$2,_xlfn.CONCAT("THEME14=",$B37),SCENARIOS!$A$2,SCENARIOS!$B$2,YIELDS_youvert!X$1,0)</f>
        <v>1</v>
      </c>
      <c r="Y37" cm="1">
        <f t="array" ref="Y37">_xll.VALEURCOURBE($A$2,_xlfn.CONCAT("THEME14=",$B37),SCENARIOS!$A$2,SCENARIOS!$B$2,YIELDS_youvert!Y$1,0)</f>
        <v>1</v>
      </c>
      <c r="Z37" cm="1">
        <f t="array" ref="Z37">_xll.VALEURCOURBE($A$2,_xlfn.CONCAT("THEME14=",$B37),SCENARIOS!$A$2,SCENARIOS!$B$2,YIELDS_youvert!Z$1,0)</f>
        <v>1</v>
      </c>
      <c r="AA37" cm="1">
        <f t="array" ref="AA37">_xll.VALEURCOURBE($A$2,_xlfn.CONCAT("THEME14=",$B37),SCENARIOS!$A$2,SCENARIOS!$B$2,YIELDS_youvert!AA$1,0)</f>
        <v>1</v>
      </c>
      <c r="AB37" cm="1">
        <f t="array" ref="AB37">_xll.VALEURCOURBE($A$2,_xlfn.CONCAT("THEME14=",$B37),SCENARIOS!$A$2,SCENARIOS!$B$2,YIELDS_youvert!AB$1,0)</f>
        <v>1</v>
      </c>
      <c r="AC37" cm="1">
        <f t="array" ref="AC37">_xll.VALEURCOURBE($A$2,_xlfn.CONCAT("THEME14=",$B37),SCENARIOS!$A$2,SCENARIOS!$B$2,YIELDS_youvert!AC$1,0)</f>
        <v>1</v>
      </c>
      <c r="AD37" cm="1">
        <f t="array" ref="AD37">_xll.VALEURCOURBE($A$2,_xlfn.CONCAT("THEME14=",$B37),SCENARIOS!$A$2,SCENARIOS!$B$2,YIELDS_youvert!AD$1,0)</f>
        <v>1</v>
      </c>
      <c r="AE37" cm="1">
        <f t="array" ref="AE37">_xll.VALEURCOURBE($A$2,_xlfn.CONCAT("THEME14=",$B37),SCENARIOS!$A$2,SCENARIOS!$B$2,YIELDS_youvert!AE$1,0)</f>
        <v>1</v>
      </c>
    </row>
    <row r="38" spans="3:31" x14ac:dyDescent="0.25">
      <c r="C38" cm="1">
        <f t="array" ref="C38">_xll.VALEURCOURBE($A$2,_xlfn.CONCAT("THEME14=",$B38),SCENARIOS!$A$2,SCENARIOS!$B$2,YIELDS_youvert!C$1,0)</f>
        <v>1</v>
      </c>
      <c r="D38" cm="1">
        <f t="array" ref="D38">_xll.VALEURCOURBE($A$2,_xlfn.CONCAT("THEME14=",$B38),SCENARIOS!$A$2,SCENARIOS!$B$2,YIELDS_youvert!D$1,0)</f>
        <v>1</v>
      </c>
      <c r="E38" cm="1">
        <f t="array" ref="E38">_xll.VALEURCOURBE($A$2,_xlfn.CONCAT("THEME14=",$B38),SCENARIOS!$A$2,SCENARIOS!$B$2,YIELDS_youvert!E$1,0)</f>
        <v>1</v>
      </c>
      <c r="F38" cm="1">
        <f t="array" ref="F38">_xll.VALEURCOURBE($A$2,_xlfn.CONCAT("THEME14=",$B38),SCENARIOS!$A$2,SCENARIOS!$B$2,YIELDS_youvert!F$1,0)</f>
        <v>1</v>
      </c>
      <c r="G38" cm="1">
        <f t="array" ref="G38">_xll.VALEURCOURBE($A$2,_xlfn.CONCAT("THEME14=",$B38),SCENARIOS!$A$2,SCENARIOS!$B$2,YIELDS_youvert!G$1,0)</f>
        <v>1</v>
      </c>
      <c r="H38" cm="1">
        <f t="array" ref="H38">_xll.VALEURCOURBE($A$2,_xlfn.CONCAT("THEME14=",$B38),SCENARIOS!$A$2,SCENARIOS!$B$2,YIELDS_youvert!H$1,0)</f>
        <v>1</v>
      </c>
      <c r="I38" cm="1">
        <f t="array" ref="I38">_xll.VALEURCOURBE($A$2,_xlfn.CONCAT("THEME14=",$B38),SCENARIOS!$A$2,SCENARIOS!$B$2,YIELDS_youvert!I$1,0)</f>
        <v>1</v>
      </c>
      <c r="J38" cm="1">
        <f t="array" ref="J38">_xll.VALEURCOURBE($A$2,_xlfn.CONCAT("THEME14=",$B38),SCENARIOS!$A$2,SCENARIOS!$B$2,YIELDS_youvert!J$1,0)</f>
        <v>1</v>
      </c>
      <c r="K38" cm="1">
        <f t="array" ref="K38">_xll.VALEURCOURBE($A$2,_xlfn.CONCAT("THEME14=",$B38),SCENARIOS!$A$2,SCENARIOS!$B$2,YIELDS_youvert!K$1,0)</f>
        <v>1</v>
      </c>
      <c r="L38" cm="1">
        <f t="array" ref="L38">_xll.VALEURCOURBE($A$2,_xlfn.CONCAT("THEME14=",$B38),SCENARIOS!$A$2,SCENARIOS!$B$2,YIELDS_youvert!L$1,0)</f>
        <v>1</v>
      </c>
      <c r="M38" cm="1">
        <f t="array" ref="M38">_xll.VALEURCOURBE($A$2,_xlfn.CONCAT("THEME14=",$B38),SCENARIOS!$A$2,SCENARIOS!$B$2,YIELDS_youvert!M$1,0)</f>
        <v>1</v>
      </c>
      <c r="N38" cm="1">
        <f t="array" ref="N38">_xll.VALEURCOURBE($A$2,_xlfn.CONCAT("THEME14=",$B38),SCENARIOS!$A$2,SCENARIOS!$B$2,YIELDS_youvert!N$1,0)</f>
        <v>1</v>
      </c>
      <c r="O38" cm="1">
        <f t="array" ref="O38">_xll.VALEURCOURBE($A$2,_xlfn.CONCAT("THEME14=",$B38),SCENARIOS!$A$2,SCENARIOS!$B$2,YIELDS_youvert!O$1,0)</f>
        <v>1</v>
      </c>
      <c r="P38" cm="1">
        <f t="array" ref="P38">_xll.VALEURCOURBE($A$2,_xlfn.CONCAT("THEME14=",$B38),SCENARIOS!$A$2,SCENARIOS!$B$2,YIELDS_youvert!P$1,0)</f>
        <v>1</v>
      </c>
      <c r="Q38" cm="1">
        <f t="array" ref="Q38">_xll.VALEURCOURBE($A$2,_xlfn.CONCAT("THEME14=",$B38),SCENARIOS!$A$2,SCENARIOS!$B$2,YIELDS_youvert!Q$1,0)</f>
        <v>1</v>
      </c>
      <c r="R38" cm="1">
        <f t="array" ref="R38">_xll.VALEURCOURBE($A$2,_xlfn.CONCAT("THEME14=",$B38),SCENARIOS!$A$2,SCENARIOS!$B$2,YIELDS_youvert!R$1,0)</f>
        <v>1</v>
      </c>
      <c r="S38" cm="1">
        <f t="array" ref="S38">_xll.VALEURCOURBE($A$2,_xlfn.CONCAT("THEME14=",$B38),SCENARIOS!$A$2,SCENARIOS!$B$2,YIELDS_youvert!S$1,0)</f>
        <v>1</v>
      </c>
      <c r="T38" cm="1">
        <f t="array" ref="T38">_xll.VALEURCOURBE($A$2,_xlfn.CONCAT("THEME14=",$B38),SCENARIOS!$A$2,SCENARIOS!$B$2,YIELDS_youvert!T$1,0)</f>
        <v>1</v>
      </c>
      <c r="U38" cm="1">
        <f t="array" ref="U38">_xll.VALEURCOURBE($A$2,_xlfn.CONCAT("THEME14=",$B38),SCENARIOS!$A$2,SCENARIOS!$B$2,YIELDS_youvert!U$1,0)</f>
        <v>1</v>
      </c>
      <c r="V38" cm="1">
        <f t="array" ref="V38">_xll.VALEURCOURBE($A$2,_xlfn.CONCAT("THEME14=",$B38),SCENARIOS!$A$2,SCENARIOS!$B$2,YIELDS_youvert!V$1,0)</f>
        <v>1</v>
      </c>
      <c r="W38" cm="1">
        <f t="array" ref="W38">_xll.VALEURCOURBE($A$2,_xlfn.CONCAT("THEME14=",$B38),SCENARIOS!$A$2,SCENARIOS!$B$2,YIELDS_youvert!W$1,0)</f>
        <v>1</v>
      </c>
      <c r="X38" cm="1">
        <f t="array" ref="X38">_xll.VALEURCOURBE($A$2,_xlfn.CONCAT("THEME14=",$B38),SCENARIOS!$A$2,SCENARIOS!$B$2,YIELDS_youvert!X$1,0)</f>
        <v>1</v>
      </c>
      <c r="Y38" cm="1">
        <f t="array" ref="Y38">_xll.VALEURCOURBE($A$2,_xlfn.CONCAT("THEME14=",$B38),SCENARIOS!$A$2,SCENARIOS!$B$2,YIELDS_youvert!Y$1,0)</f>
        <v>1</v>
      </c>
      <c r="Z38" cm="1">
        <f t="array" ref="Z38">_xll.VALEURCOURBE($A$2,_xlfn.CONCAT("THEME14=",$B38),SCENARIOS!$A$2,SCENARIOS!$B$2,YIELDS_youvert!Z$1,0)</f>
        <v>1</v>
      </c>
      <c r="AA38" cm="1">
        <f t="array" ref="AA38">_xll.VALEURCOURBE($A$2,_xlfn.CONCAT("THEME14=",$B38),SCENARIOS!$A$2,SCENARIOS!$B$2,YIELDS_youvert!AA$1,0)</f>
        <v>1</v>
      </c>
      <c r="AB38" cm="1">
        <f t="array" ref="AB38">_xll.VALEURCOURBE($A$2,_xlfn.CONCAT("THEME14=",$B38),SCENARIOS!$A$2,SCENARIOS!$B$2,YIELDS_youvert!AB$1,0)</f>
        <v>1</v>
      </c>
      <c r="AC38" cm="1">
        <f t="array" ref="AC38">_xll.VALEURCOURBE($A$2,_xlfn.CONCAT("THEME14=",$B38),SCENARIOS!$A$2,SCENARIOS!$B$2,YIELDS_youvert!AC$1,0)</f>
        <v>1</v>
      </c>
      <c r="AD38" cm="1">
        <f t="array" ref="AD38">_xll.VALEURCOURBE($A$2,_xlfn.CONCAT("THEME14=",$B38),SCENARIOS!$A$2,SCENARIOS!$B$2,YIELDS_youvert!AD$1,0)</f>
        <v>1</v>
      </c>
      <c r="AE38" cm="1">
        <f t="array" ref="AE38">_xll.VALEURCOURBE($A$2,_xlfn.CONCAT("THEME14=",$B38),SCENARIOS!$A$2,SCENARIOS!$B$2,YIELDS_youvert!AE$1,0)</f>
        <v>1</v>
      </c>
    </row>
    <row r="39" spans="3:31" x14ac:dyDescent="0.25">
      <c r="C39" cm="1">
        <f t="array" ref="C39">_xll.VALEURCOURBE($A$2,_xlfn.CONCAT("THEME14=",$B39),SCENARIOS!$A$2,SCENARIOS!$B$2,YIELDS_youvert!C$1,0)</f>
        <v>1</v>
      </c>
      <c r="D39" cm="1">
        <f t="array" ref="D39">_xll.VALEURCOURBE($A$2,_xlfn.CONCAT("THEME14=",$B39),SCENARIOS!$A$2,SCENARIOS!$B$2,YIELDS_youvert!D$1,0)</f>
        <v>1</v>
      </c>
      <c r="E39" cm="1">
        <f t="array" ref="E39">_xll.VALEURCOURBE($A$2,_xlfn.CONCAT("THEME14=",$B39),SCENARIOS!$A$2,SCENARIOS!$B$2,YIELDS_youvert!E$1,0)</f>
        <v>1</v>
      </c>
      <c r="F39" cm="1">
        <f t="array" ref="F39">_xll.VALEURCOURBE($A$2,_xlfn.CONCAT("THEME14=",$B39),SCENARIOS!$A$2,SCENARIOS!$B$2,YIELDS_youvert!F$1,0)</f>
        <v>1</v>
      </c>
      <c r="G39" cm="1">
        <f t="array" ref="G39">_xll.VALEURCOURBE($A$2,_xlfn.CONCAT("THEME14=",$B39),SCENARIOS!$A$2,SCENARIOS!$B$2,YIELDS_youvert!G$1,0)</f>
        <v>1</v>
      </c>
      <c r="H39" cm="1">
        <f t="array" ref="H39">_xll.VALEURCOURBE($A$2,_xlfn.CONCAT("THEME14=",$B39),SCENARIOS!$A$2,SCENARIOS!$B$2,YIELDS_youvert!H$1,0)</f>
        <v>1</v>
      </c>
      <c r="I39" cm="1">
        <f t="array" ref="I39">_xll.VALEURCOURBE($A$2,_xlfn.CONCAT("THEME14=",$B39),SCENARIOS!$A$2,SCENARIOS!$B$2,YIELDS_youvert!I$1,0)</f>
        <v>1</v>
      </c>
      <c r="J39" cm="1">
        <f t="array" ref="J39">_xll.VALEURCOURBE($A$2,_xlfn.CONCAT("THEME14=",$B39),SCENARIOS!$A$2,SCENARIOS!$B$2,YIELDS_youvert!J$1,0)</f>
        <v>1</v>
      </c>
      <c r="K39" cm="1">
        <f t="array" ref="K39">_xll.VALEURCOURBE($A$2,_xlfn.CONCAT("THEME14=",$B39),SCENARIOS!$A$2,SCENARIOS!$B$2,YIELDS_youvert!K$1,0)</f>
        <v>1</v>
      </c>
      <c r="L39" cm="1">
        <f t="array" ref="L39">_xll.VALEURCOURBE($A$2,_xlfn.CONCAT("THEME14=",$B39),SCENARIOS!$A$2,SCENARIOS!$B$2,YIELDS_youvert!L$1,0)</f>
        <v>1</v>
      </c>
      <c r="M39" cm="1">
        <f t="array" ref="M39">_xll.VALEURCOURBE($A$2,_xlfn.CONCAT("THEME14=",$B39),SCENARIOS!$A$2,SCENARIOS!$B$2,YIELDS_youvert!M$1,0)</f>
        <v>1</v>
      </c>
      <c r="N39" cm="1">
        <f t="array" ref="N39">_xll.VALEURCOURBE($A$2,_xlfn.CONCAT("THEME14=",$B39),SCENARIOS!$A$2,SCENARIOS!$B$2,YIELDS_youvert!N$1,0)</f>
        <v>1</v>
      </c>
      <c r="O39" cm="1">
        <f t="array" ref="O39">_xll.VALEURCOURBE($A$2,_xlfn.CONCAT("THEME14=",$B39),SCENARIOS!$A$2,SCENARIOS!$B$2,YIELDS_youvert!O$1,0)</f>
        <v>1</v>
      </c>
      <c r="P39" cm="1">
        <f t="array" ref="P39">_xll.VALEURCOURBE($A$2,_xlfn.CONCAT("THEME14=",$B39),SCENARIOS!$A$2,SCENARIOS!$B$2,YIELDS_youvert!P$1,0)</f>
        <v>1</v>
      </c>
      <c r="Q39" cm="1">
        <f t="array" ref="Q39">_xll.VALEURCOURBE($A$2,_xlfn.CONCAT("THEME14=",$B39),SCENARIOS!$A$2,SCENARIOS!$B$2,YIELDS_youvert!Q$1,0)</f>
        <v>1</v>
      </c>
      <c r="R39" cm="1">
        <f t="array" ref="R39">_xll.VALEURCOURBE($A$2,_xlfn.CONCAT("THEME14=",$B39),SCENARIOS!$A$2,SCENARIOS!$B$2,YIELDS_youvert!R$1,0)</f>
        <v>1</v>
      </c>
      <c r="S39" cm="1">
        <f t="array" ref="S39">_xll.VALEURCOURBE($A$2,_xlfn.CONCAT("THEME14=",$B39),SCENARIOS!$A$2,SCENARIOS!$B$2,YIELDS_youvert!S$1,0)</f>
        <v>1</v>
      </c>
      <c r="T39" cm="1">
        <f t="array" ref="T39">_xll.VALEURCOURBE($A$2,_xlfn.CONCAT("THEME14=",$B39),SCENARIOS!$A$2,SCENARIOS!$B$2,YIELDS_youvert!T$1,0)</f>
        <v>1</v>
      </c>
      <c r="U39" cm="1">
        <f t="array" ref="U39">_xll.VALEURCOURBE($A$2,_xlfn.CONCAT("THEME14=",$B39),SCENARIOS!$A$2,SCENARIOS!$B$2,YIELDS_youvert!U$1,0)</f>
        <v>1</v>
      </c>
      <c r="V39" cm="1">
        <f t="array" ref="V39">_xll.VALEURCOURBE($A$2,_xlfn.CONCAT("THEME14=",$B39),SCENARIOS!$A$2,SCENARIOS!$B$2,YIELDS_youvert!V$1,0)</f>
        <v>1</v>
      </c>
      <c r="W39" cm="1">
        <f t="array" ref="W39">_xll.VALEURCOURBE($A$2,_xlfn.CONCAT("THEME14=",$B39),SCENARIOS!$A$2,SCENARIOS!$B$2,YIELDS_youvert!W$1,0)</f>
        <v>1</v>
      </c>
      <c r="X39" cm="1">
        <f t="array" ref="X39">_xll.VALEURCOURBE($A$2,_xlfn.CONCAT("THEME14=",$B39),SCENARIOS!$A$2,SCENARIOS!$B$2,YIELDS_youvert!X$1,0)</f>
        <v>1</v>
      </c>
      <c r="Y39" cm="1">
        <f t="array" ref="Y39">_xll.VALEURCOURBE($A$2,_xlfn.CONCAT("THEME14=",$B39),SCENARIOS!$A$2,SCENARIOS!$B$2,YIELDS_youvert!Y$1,0)</f>
        <v>1</v>
      </c>
      <c r="Z39" cm="1">
        <f t="array" ref="Z39">_xll.VALEURCOURBE($A$2,_xlfn.CONCAT("THEME14=",$B39),SCENARIOS!$A$2,SCENARIOS!$B$2,YIELDS_youvert!Z$1,0)</f>
        <v>1</v>
      </c>
      <c r="AA39" cm="1">
        <f t="array" ref="AA39">_xll.VALEURCOURBE($A$2,_xlfn.CONCAT("THEME14=",$B39),SCENARIOS!$A$2,SCENARIOS!$B$2,YIELDS_youvert!AA$1,0)</f>
        <v>1</v>
      </c>
      <c r="AB39" cm="1">
        <f t="array" ref="AB39">_xll.VALEURCOURBE($A$2,_xlfn.CONCAT("THEME14=",$B39),SCENARIOS!$A$2,SCENARIOS!$B$2,YIELDS_youvert!AB$1,0)</f>
        <v>1</v>
      </c>
      <c r="AC39" cm="1">
        <f t="array" ref="AC39">_xll.VALEURCOURBE($A$2,_xlfn.CONCAT("THEME14=",$B39),SCENARIOS!$A$2,SCENARIOS!$B$2,YIELDS_youvert!AC$1,0)</f>
        <v>1</v>
      </c>
      <c r="AD39" cm="1">
        <f t="array" ref="AD39">_xll.VALEURCOURBE($A$2,_xlfn.CONCAT("THEME14=",$B39),SCENARIOS!$A$2,SCENARIOS!$B$2,YIELDS_youvert!AD$1,0)</f>
        <v>1</v>
      </c>
      <c r="AE39" cm="1">
        <f t="array" ref="AE39">_xll.VALEURCOURBE($A$2,_xlfn.CONCAT("THEME14=",$B39),SCENARIOS!$A$2,SCENARIOS!$B$2,YIELDS_youvert!AE$1,0)</f>
        <v>1</v>
      </c>
    </row>
    <row r="40" spans="3:31" x14ac:dyDescent="0.25">
      <c r="C40" cm="1">
        <f t="array" ref="C40">_xll.VALEURCOURBE($A$2,_xlfn.CONCAT("THEME14=",$B40),SCENARIOS!$A$2,SCENARIOS!$B$2,YIELDS_youvert!C$1,0)</f>
        <v>1</v>
      </c>
      <c r="D40" cm="1">
        <f t="array" ref="D40">_xll.VALEURCOURBE($A$2,_xlfn.CONCAT("THEME14=",$B40),SCENARIOS!$A$2,SCENARIOS!$B$2,YIELDS_youvert!D$1,0)</f>
        <v>1</v>
      </c>
      <c r="E40" cm="1">
        <f t="array" ref="E40">_xll.VALEURCOURBE($A$2,_xlfn.CONCAT("THEME14=",$B40),SCENARIOS!$A$2,SCENARIOS!$B$2,YIELDS_youvert!E$1,0)</f>
        <v>1</v>
      </c>
      <c r="F40" cm="1">
        <f t="array" ref="F40">_xll.VALEURCOURBE($A$2,_xlfn.CONCAT("THEME14=",$B40),SCENARIOS!$A$2,SCENARIOS!$B$2,YIELDS_youvert!F$1,0)</f>
        <v>1</v>
      </c>
      <c r="G40" cm="1">
        <f t="array" ref="G40">_xll.VALEURCOURBE($A$2,_xlfn.CONCAT("THEME14=",$B40),SCENARIOS!$A$2,SCENARIOS!$B$2,YIELDS_youvert!G$1,0)</f>
        <v>1</v>
      </c>
      <c r="H40" cm="1">
        <f t="array" ref="H40">_xll.VALEURCOURBE($A$2,_xlfn.CONCAT("THEME14=",$B40),SCENARIOS!$A$2,SCENARIOS!$B$2,YIELDS_youvert!H$1,0)</f>
        <v>1</v>
      </c>
      <c r="I40" cm="1">
        <f t="array" ref="I40">_xll.VALEURCOURBE($A$2,_xlfn.CONCAT("THEME14=",$B40),SCENARIOS!$A$2,SCENARIOS!$B$2,YIELDS_youvert!I$1,0)</f>
        <v>1</v>
      </c>
      <c r="J40" cm="1">
        <f t="array" ref="J40">_xll.VALEURCOURBE($A$2,_xlfn.CONCAT("THEME14=",$B40),SCENARIOS!$A$2,SCENARIOS!$B$2,YIELDS_youvert!J$1,0)</f>
        <v>1</v>
      </c>
      <c r="K40" cm="1">
        <f t="array" ref="K40">_xll.VALEURCOURBE($A$2,_xlfn.CONCAT("THEME14=",$B40),SCENARIOS!$A$2,SCENARIOS!$B$2,YIELDS_youvert!K$1,0)</f>
        <v>1</v>
      </c>
      <c r="L40" cm="1">
        <f t="array" ref="L40">_xll.VALEURCOURBE($A$2,_xlfn.CONCAT("THEME14=",$B40),SCENARIOS!$A$2,SCENARIOS!$B$2,YIELDS_youvert!L$1,0)</f>
        <v>1</v>
      </c>
      <c r="M40" cm="1">
        <f t="array" ref="M40">_xll.VALEURCOURBE($A$2,_xlfn.CONCAT("THEME14=",$B40),SCENARIOS!$A$2,SCENARIOS!$B$2,YIELDS_youvert!M$1,0)</f>
        <v>1</v>
      </c>
      <c r="N40" cm="1">
        <f t="array" ref="N40">_xll.VALEURCOURBE($A$2,_xlfn.CONCAT("THEME14=",$B40),SCENARIOS!$A$2,SCENARIOS!$B$2,YIELDS_youvert!N$1,0)</f>
        <v>1</v>
      </c>
      <c r="O40" cm="1">
        <f t="array" ref="O40">_xll.VALEURCOURBE($A$2,_xlfn.CONCAT("THEME14=",$B40),SCENARIOS!$A$2,SCENARIOS!$B$2,YIELDS_youvert!O$1,0)</f>
        <v>1</v>
      </c>
      <c r="P40" cm="1">
        <f t="array" ref="P40">_xll.VALEURCOURBE($A$2,_xlfn.CONCAT("THEME14=",$B40),SCENARIOS!$A$2,SCENARIOS!$B$2,YIELDS_youvert!P$1,0)</f>
        <v>1</v>
      </c>
      <c r="Q40" cm="1">
        <f t="array" ref="Q40">_xll.VALEURCOURBE($A$2,_xlfn.CONCAT("THEME14=",$B40),SCENARIOS!$A$2,SCENARIOS!$B$2,YIELDS_youvert!Q$1,0)</f>
        <v>1</v>
      </c>
      <c r="R40" cm="1">
        <f t="array" ref="R40">_xll.VALEURCOURBE($A$2,_xlfn.CONCAT("THEME14=",$B40),SCENARIOS!$A$2,SCENARIOS!$B$2,YIELDS_youvert!R$1,0)</f>
        <v>1</v>
      </c>
      <c r="S40" cm="1">
        <f t="array" ref="S40">_xll.VALEURCOURBE($A$2,_xlfn.CONCAT("THEME14=",$B40),SCENARIOS!$A$2,SCENARIOS!$B$2,YIELDS_youvert!S$1,0)</f>
        <v>1</v>
      </c>
      <c r="T40" cm="1">
        <f t="array" ref="T40">_xll.VALEURCOURBE($A$2,_xlfn.CONCAT("THEME14=",$B40),SCENARIOS!$A$2,SCENARIOS!$B$2,YIELDS_youvert!T$1,0)</f>
        <v>1</v>
      </c>
      <c r="U40" cm="1">
        <f t="array" ref="U40">_xll.VALEURCOURBE($A$2,_xlfn.CONCAT("THEME14=",$B40),SCENARIOS!$A$2,SCENARIOS!$B$2,YIELDS_youvert!U$1,0)</f>
        <v>1</v>
      </c>
      <c r="V40" cm="1">
        <f t="array" ref="V40">_xll.VALEURCOURBE($A$2,_xlfn.CONCAT("THEME14=",$B40),SCENARIOS!$A$2,SCENARIOS!$B$2,YIELDS_youvert!V$1,0)</f>
        <v>1</v>
      </c>
      <c r="W40" cm="1">
        <f t="array" ref="W40">_xll.VALEURCOURBE($A$2,_xlfn.CONCAT("THEME14=",$B40),SCENARIOS!$A$2,SCENARIOS!$B$2,YIELDS_youvert!W$1,0)</f>
        <v>1</v>
      </c>
      <c r="X40" cm="1">
        <f t="array" ref="X40">_xll.VALEURCOURBE($A$2,_xlfn.CONCAT("THEME14=",$B40),SCENARIOS!$A$2,SCENARIOS!$B$2,YIELDS_youvert!X$1,0)</f>
        <v>1</v>
      </c>
      <c r="Y40" cm="1">
        <f t="array" ref="Y40">_xll.VALEURCOURBE($A$2,_xlfn.CONCAT("THEME14=",$B40),SCENARIOS!$A$2,SCENARIOS!$B$2,YIELDS_youvert!Y$1,0)</f>
        <v>1</v>
      </c>
      <c r="Z40" cm="1">
        <f t="array" ref="Z40">_xll.VALEURCOURBE($A$2,_xlfn.CONCAT("THEME14=",$B40),SCENARIOS!$A$2,SCENARIOS!$B$2,YIELDS_youvert!Z$1,0)</f>
        <v>1</v>
      </c>
      <c r="AA40" cm="1">
        <f t="array" ref="AA40">_xll.VALEURCOURBE($A$2,_xlfn.CONCAT("THEME14=",$B40),SCENARIOS!$A$2,SCENARIOS!$B$2,YIELDS_youvert!AA$1,0)</f>
        <v>1</v>
      </c>
      <c r="AB40" cm="1">
        <f t="array" ref="AB40">_xll.VALEURCOURBE($A$2,_xlfn.CONCAT("THEME14=",$B40),SCENARIOS!$A$2,SCENARIOS!$B$2,YIELDS_youvert!AB$1,0)</f>
        <v>1</v>
      </c>
      <c r="AC40" cm="1">
        <f t="array" ref="AC40">_xll.VALEURCOURBE($A$2,_xlfn.CONCAT("THEME14=",$B40),SCENARIOS!$A$2,SCENARIOS!$B$2,YIELDS_youvert!AC$1,0)</f>
        <v>1</v>
      </c>
      <c r="AD40" cm="1">
        <f t="array" ref="AD40">_xll.VALEURCOURBE($A$2,_xlfn.CONCAT("THEME14=",$B40),SCENARIOS!$A$2,SCENARIOS!$B$2,YIELDS_youvert!AD$1,0)</f>
        <v>1</v>
      </c>
      <c r="AE40" cm="1">
        <f t="array" ref="AE40">_xll.VALEURCOURBE($A$2,_xlfn.CONCAT("THEME14=",$B40),SCENARIOS!$A$2,SCENARIOS!$B$2,YIELDS_youvert!AE$1,0)</f>
        <v>1</v>
      </c>
    </row>
    <row r="41" spans="3:31" x14ac:dyDescent="0.25">
      <c r="C41" cm="1">
        <f t="array" ref="C41">_xll.VALEURCOURBE($A$2,_xlfn.CONCAT("THEME14=",$B41),SCENARIOS!$A$2,SCENARIOS!$B$2,YIELDS_youvert!C$1,0)</f>
        <v>1</v>
      </c>
      <c r="D41" cm="1">
        <f t="array" ref="D41">_xll.VALEURCOURBE($A$2,_xlfn.CONCAT("THEME14=",$B41),SCENARIOS!$A$2,SCENARIOS!$B$2,YIELDS_youvert!D$1,0)</f>
        <v>1</v>
      </c>
      <c r="E41" cm="1">
        <f t="array" ref="E41">_xll.VALEURCOURBE($A$2,_xlfn.CONCAT("THEME14=",$B41),SCENARIOS!$A$2,SCENARIOS!$B$2,YIELDS_youvert!E$1,0)</f>
        <v>1</v>
      </c>
      <c r="F41" cm="1">
        <f t="array" ref="F41">_xll.VALEURCOURBE($A$2,_xlfn.CONCAT("THEME14=",$B41),SCENARIOS!$A$2,SCENARIOS!$B$2,YIELDS_youvert!F$1,0)</f>
        <v>1</v>
      </c>
      <c r="G41" cm="1">
        <f t="array" ref="G41">_xll.VALEURCOURBE($A$2,_xlfn.CONCAT("THEME14=",$B41),SCENARIOS!$A$2,SCENARIOS!$B$2,YIELDS_youvert!G$1,0)</f>
        <v>1</v>
      </c>
      <c r="H41" cm="1">
        <f t="array" ref="H41">_xll.VALEURCOURBE($A$2,_xlfn.CONCAT("THEME14=",$B41),SCENARIOS!$A$2,SCENARIOS!$B$2,YIELDS_youvert!H$1,0)</f>
        <v>1</v>
      </c>
      <c r="I41" cm="1">
        <f t="array" ref="I41">_xll.VALEURCOURBE($A$2,_xlfn.CONCAT("THEME14=",$B41),SCENARIOS!$A$2,SCENARIOS!$B$2,YIELDS_youvert!I$1,0)</f>
        <v>1</v>
      </c>
      <c r="J41" cm="1">
        <f t="array" ref="J41">_xll.VALEURCOURBE($A$2,_xlfn.CONCAT("THEME14=",$B41),SCENARIOS!$A$2,SCENARIOS!$B$2,YIELDS_youvert!J$1,0)</f>
        <v>1</v>
      </c>
      <c r="K41" cm="1">
        <f t="array" ref="K41">_xll.VALEURCOURBE($A$2,_xlfn.CONCAT("THEME14=",$B41),SCENARIOS!$A$2,SCENARIOS!$B$2,YIELDS_youvert!K$1,0)</f>
        <v>1</v>
      </c>
      <c r="L41" cm="1">
        <f t="array" ref="L41">_xll.VALEURCOURBE($A$2,_xlfn.CONCAT("THEME14=",$B41),SCENARIOS!$A$2,SCENARIOS!$B$2,YIELDS_youvert!L$1,0)</f>
        <v>1</v>
      </c>
      <c r="M41" cm="1">
        <f t="array" ref="M41">_xll.VALEURCOURBE($A$2,_xlfn.CONCAT("THEME14=",$B41),SCENARIOS!$A$2,SCENARIOS!$B$2,YIELDS_youvert!M$1,0)</f>
        <v>1</v>
      </c>
      <c r="N41" cm="1">
        <f t="array" ref="N41">_xll.VALEURCOURBE($A$2,_xlfn.CONCAT("THEME14=",$B41),SCENARIOS!$A$2,SCENARIOS!$B$2,YIELDS_youvert!N$1,0)</f>
        <v>1</v>
      </c>
      <c r="O41" cm="1">
        <f t="array" ref="O41">_xll.VALEURCOURBE($A$2,_xlfn.CONCAT("THEME14=",$B41),SCENARIOS!$A$2,SCENARIOS!$B$2,YIELDS_youvert!O$1,0)</f>
        <v>1</v>
      </c>
      <c r="P41" cm="1">
        <f t="array" ref="P41">_xll.VALEURCOURBE($A$2,_xlfn.CONCAT("THEME14=",$B41),SCENARIOS!$A$2,SCENARIOS!$B$2,YIELDS_youvert!P$1,0)</f>
        <v>1</v>
      </c>
      <c r="Q41" cm="1">
        <f t="array" ref="Q41">_xll.VALEURCOURBE($A$2,_xlfn.CONCAT("THEME14=",$B41),SCENARIOS!$A$2,SCENARIOS!$B$2,YIELDS_youvert!Q$1,0)</f>
        <v>1</v>
      </c>
      <c r="R41" cm="1">
        <f t="array" ref="R41">_xll.VALEURCOURBE($A$2,_xlfn.CONCAT("THEME14=",$B41),SCENARIOS!$A$2,SCENARIOS!$B$2,YIELDS_youvert!R$1,0)</f>
        <v>1</v>
      </c>
      <c r="S41" cm="1">
        <f t="array" ref="S41">_xll.VALEURCOURBE($A$2,_xlfn.CONCAT("THEME14=",$B41),SCENARIOS!$A$2,SCENARIOS!$B$2,YIELDS_youvert!S$1,0)</f>
        <v>1</v>
      </c>
      <c r="T41" cm="1">
        <f t="array" ref="T41">_xll.VALEURCOURBE($A$2,_xlfn.CONCAT("THEME14=",$B41),SCENARIOS!$A$2,SCENARIOS!$B$2,YIELDS_youvert!T$1,0)</f>
        <v>1</v>
      </c>
      <c r="U41" cm="1">
        <f t="array" ref="U41">_xll.VALEURCOURBE($A$2,_xlfn.CONCAT("THEME14=",$B41),SCENARIOS!$A$2,SCENARIOS!$B$2,YIELDS_youvert!U$1,0)</f>
        <v>1</v>
      </c>
      <c r="V41" cm="1">
        <f t="array" ref="V41">_xll.VALEURCOURBE($A$2,_xlfn.CONCAT("THEME14=",$B41),SCENARIOS!$A$2,SCENARIOS!$B$2,YIELDS_youvert!V$1,0)</f>
        <v>1</v>
      </c>
      <c r="W41" cm="1">
        <f t="array" ref="W41">_xll.VALEURCOURBE($A$2,_xlfn.CONCAT("THEME14=",$B41),SCENARIOS!$A$2,SCENARIOS!$B$2,YIELDS_youvert!W$1,0)</f>
        <v>1</v>
      </c>
      <c r="X41" cm="1">
        <f t="array" ref="X41">_xll.VALEURCOURBE($A$2,_xlfn.CONCAT("THEME14=",$B41),SCENARIOS!$A$2,SCENARIOS!$B$2,YIELDS_youvert!X$1,0)</f>
        <v>1</v>
      </c>
      <c r="Y41" cm="1">
        <f t="array" ref="Y41">_xll.VALEURCOURBE($A$2,_xlfn.CONCAT("THEME14=",$B41),SCENARIOS!$A$2,SCENARIOS!$B$2,YIELDS_youvert!Y$1,0)</f>
        <v>1</v>
      </c>
      <c r="Z41" cm="1">
        <f t="array" ref="Z41">_xll.VALEURCOURBE($A$2,_xlfn.CONCAT("THEME14=",$B41),SCENARIOS!$A$2,SCENARIOS!$B$2,YIELDS_youvert!Z$1,0)</f>
        <v>1</v>
      </c>
      <c r="AA41" cm="1">
        <f t="array" ref="AA41">_xll.VALEURCOURBE($A$2,_xlfn.CONCAT("THEME14=",$B41),SCENARIOS!$A$2,SCENARIOS!$B$2,YIELDS_youvert!AA$1,0)</f>
        <v>1</v>
      </c>
      <c r="AB41" cm="1">
        <f t="array" ref="AB41">_xll.VALEURCOURBE($A$2,_xlfn.CONCAT("THEME14=",$B41),SCENARIOS!$A$2,SCENARIOS!$B$2,YIELDS_youvert!AB$1,0)</f>
        <v>1</v>
      </c>
      <c r="AC41" cm="1">
        <f t="array" ref="AC41">_xll.VALEURCOURBE($A$2,_xlfn.CONCAT("THEME14=",$B41),SCENARIOS!$A$2,SCENARIOS!$B$2,YIELDS_youvert!AC$1,0)</f>
        <v>1</v>
      </c>
      <c r="AD41" cm="1">
        <f t="array" ref="AD41">_xll.VALEURCOURBE($A$2,_xlfn.CONCAT("THEME14=",$B41),SCENARIOS!$A$2,SCENARIOS!$B$2,YIELDS_youvert!AD$1,0)</f>
        <v>1</v>
      </c>
      <c r="AE41" cm="1">
        <f t="array" ref="AE41">_xll.VALEURCOURBE($A$2,_xlfn.CONCAT("THEME14=",$B41),SCENARIOS!$A$2,SCENARIOS!$B$2,YIELDS_youvert!AE$1,0)</f>
        <v>1</v>
      </c>
    </row>
    <row r="42" spans="3:31" x14ac:dyDescent="0.25">
      <c r="C42" cm="1">
        <f t="array" ref="C42">_xll.VALEURCOURBE($A$2,_xlfn.CONCAT("THEME14=",$B42),SCENARIOS!$A$2,SCENARIOS!$B$2,YIELDS_youvert!C$1,0)</f>
        <v>1</v>
      </c>
      <c r="D42" cm="1">
        <f t="array" ref="D42">_xll.VALEURCOURBE($A$2,_xlfn.CONCAT("THEME14=",$B42),SCENARIOS!$A$2,SCENARIOS!$B$2,YIELDS_youvert!D$1,0)</f>
        <v>1</v>
      </c>
      <c r="E42" cm="1">
        <f t="array" ref="E42">_xll.VALEURCOURBE($A$2,_xlfn.CONCAT("THEME14=",$B42),SCENARIOS!$A$2,SCENARIOS!$B$2,YIELDS_youvert!E$1,0)</f>
        <v>1</v>
      </c>
      <c r="F42" cm="1">
        <f t="array" ref="F42">_xll.VALEURCOURBE($A$2,_xlfn.CONCAT("THEME14=",$B42),SCENARIOS!$A$2,SCENARIOS!$B$2,YIELDS_youvert!F$1,0)</f>
        <v>1</v>
      </c>
      <c r="G42" cm="1">
        <f t="array" ref="G42">_xll.VALEURCOURBE($A$2,_xlfn.CONCAT("THEME14=",$B42),SCENARIOS!$A$2,SCENARIOS!$B$2,YIELDS_youvert!G$1,0)</f>
        <v>1</v>
      </c>
      <c r="H42" cm="1">
        <f t="array" ref="H42">_xll.VALEURCOURBE($A$2,_xlfn.CONCAT("THEME14=",$B42),SCENARIOS!$A$2,SCENARIOS!$B$2,YIELDS_youvert!H$1,0)</f>
        <v>1</v>
      </c>
      <c r="I42" cm="1">
        <f t="array" ref="I42">_xll.VALEURCOURBE($A$2,_xlfn.CONCAT("THEME14=",$B42),SCENARIOS!$A$2,SCENARIOS!$B$2,YIELDS_youvert!I$1,0)</f>
        <v>1</v>
      </c>
      <c r="J42" cm="1">
        <f t="array" ref="J42">_xll.VALEURCOURBE($A$2,_xlfn.CONCAT("THEME14=",$B42),SCENARIOS!$A$2,SCENARIOS!$B$2,YIELDS_youvert!J$1,0)</f>
        <v>1</v>
      </c>
      <c r="K42" cm="1">
        <f t="array" ref="K42">_xll.VALEURCOURBE($A$2,_xlfn.CONCAT("THEME14=",$B42),SCENARIOS!$A$2,SCENARIOS!$B$2,YIELDS_youvert!K$1,0)</f>
        <v>1</v>
      </c>
      <c r="L42" cm="1">
        <f t="array" ref="L42">_xll.VALEURCOURBE($A$2,_xlfn.CONCAT("THEME14=",$B42),SCENARIOS!$A$2,SCENARIOS!$B$2,YIELDS_youvert!L$1,0)</f>
        <v>1</v>
      </c>
      <c r="M42" cm="1">
        <f t="array" ref="M42">_xll.VALEURCOURBE($A$2,_xlfn.CONCAT("THEME14=",$B42),SCENARIOS!$A$2,SCENARIOS!$B$2,YIELDS_youvert!M$1,0)</f>
        <v>1</v>
      </c>
      <c r="N42" cm="1">
        <f t="array" ref="N42">_xll.VALEURCOURBE($A$2,_xlfn.CONCAT("THEME14=",$B42),SCENARIOS!$A$2,SCENARIOS!$B$2,YIELDS_youvert!N$1,0)</f>
        <v>1</v>
      </c>
      <c r="O42" cm="1">
        <f t="array" ref="O42">_xll.VALEURCOURBE($A$2,_xlfn.CONCAT("THEME14=",$B42),SCENARIOS!$A$2,SCENARIOS!$B$2,YIELDS_youvert!O$1,0)</f>
        <v>1</v>
      </c>
      <c r="P42" cm="1">
        <f t="array" ref="P42">_xll.VALEURCOURBE($A$2,_xlfn.CONCAT("THEME14=",$B42),SCENARIOS!$A$2,SCENARIOS!$B$2,YIELDS_youvert!P$1,0)</f>
        <v>1</v>
      </c>
      <c r="Q42" cm="1">
        <f t="array" ref="Q42">_xll.VALEURCOURBE($A$2,_xlfn.CONCAT("THEME14=",$B42),SCENARIOS!$A$2,SCENARIOS!$B$2,YIELDS_youvert!Q$1,0)</f>
        <v>1</v>
      </c>
      <c r="R42" cm="1">
        <f t="array" ref="R42">_xll.VALEURCOURBE($A$2,_xlfn.CONCAT("THEME14=",$B42),SCENARIOS!$A$2,SCENARIOS!$B$2,YIELDS_youvert!R$1,0)</f>
        <v>1</v>
      </c>
      <c r="S42" cm="1">
        <f t="array" ref="S42">_xll.VALEURCOURBE($A$2,_xlfn.CONCAT("THEME14=",$B42),SCENARIOS!$A$2,SCENARIOS!$B$2,YIELDS_youvert!S$1,0)</f>
        <v>1</v>
      </c>
      <c r="T42" cm="1">
        <f t="array" ref="T42">_xll.VALEURCOURBE($A$2,_xlfn.CONCAT("THEME14=",$B42),SCENARIOS!$A$2,SCENARIOS!$B$2,YIELDS_youvert!T$1,0)</f>
        <v>1</v>
      </c>
      <c r="U42" cm="1">
        <f t="array" ref="U42">_xll.VALEURCOURBE($A$2,_xlfn.CONCAT("THEME14=",$B42),SCENARIOS!$A$2,SCENARIOS!$B$2,YIELDS_youvert!U$1,0)</f>
        <v>1</v>
      </c>
      <c r="V42" cm="1">
        <f t="array" ref="V42">_xll.VALEURCOURBE($A$2,_xlfn.CONCAT("THEME14=",$B42),SCENARIOS!$A$2,SCENARIOS!$B$2,YIELDS_youvert!V$1,0)</f>
        <v>1</v>
      </c>
      <c r="W42" cm="1">
        <f t="array" ref="W42">_xll.VALEURCOURBE($A$2,_xlfn.CONCAT("THEME14=",$B42),SCENARIOS!$A$2,SCENARIOS!$B$2,YIELDS_youvert!W$1,0)</f>
        <v>1</v>
      </c>
      <c r="X42" cm="1">
        <f t="array" ref="X42">_xll.VALEURCOURBE($A$2,_xlfn.CONCAT("THEME14=",$B42),SCENARIOS!$A$2,SCENARIOS!$B$2,YIELDS_youvert!X$1,0)</f>
        <v>1</v>
      </c>
      <c r="Y42" cm="1">
        <f t="array" ref="Y42">_xll.VALEURCOURBE($A$2,_xlfn.CONCAT("THEME14=",$B42),SCENARIOS!$A$2,SCENARIOS!$B$2,YIELDS_youvert!Y$1,0)</f>
        <v>1</v>
      </c>
      <c r="Z42" cm="1">
        <f t="array" ref="Z42">_xll.VALEURCOURBE($A$2,_xlfn.CONCAT("THEME14=",$B42),SCENARIOS!$A$2,SCENARIOS!$B$2,YIELDS_youvert!Z$1,0)</f>
        <v>1</v>
      </c>
      <c r="AA42" cm="1">
        <f t="array" ref="AA42">_xll.VALEURCOURBE($A$2,_xlfn.CONCAT("THEME14=",$B42),SCENARIOS!$A$2,SCENARIOS!$B$2,YIELDS_youvert!AA$1,0)</f>
        <v>1</v>
      </c>
      <c r="AB42" cm="1">
        <f t="array" ref="AB42">_xll.VALEURCOURBE($A$2,_xlfn.CONCAT("THEME14=",$B42),SCENARIOS!$A$2,SCENARIOS!$B$2,YIELDS_youvert!AB$1,0)</f>
        <v>1</v>
      </c>
      <c r="AC42" cm="1">
        <f t="array" ref="AC42">_xll.VALEURCOURBE($A$2,_xlfn.CONCAT("THEME14=",$B42),SCENARIOS!$A$2,SCENARIOS!$B$2,YIELDS_youvert!AC$1,0)</f>
        <v>1</v>
      </c>
      <c r="AD42" cm="1">
        <f t="array" ref="AD42">_xll.VALEURCOURBE($A$2,_xlfn.CONCAT("THEME14=",$B42),SCENARIOS!$A$2,SCENARIOS!$B$2,YIELDS_youvert!AD$1,0)</f>
        <v>1</v>
      </c>
      <c r="AE42" cm="1">
        <f t="array" ref="AE42">_xll.VALEURCOURBE($A$2,_xlfn.CONCAT("THEME14=",$B42),SCENARIOS!$A$2,SCENARIOS!$B$2,YIELDS_youvert!AE$1,0)</f>
        <v>1</v>
      </c>
    </row>
    <row r="43" spans="3:31" x14ac:dyDescent="0.25">
      <c r="C43" cm="1">
        <f t="array" ref="C43">_xll.VALEURCOURBE($A$2,_xlfn.CONCAT("THEME14=",$B43),SCENARIOS!$A$2,SCENARIOS!$B$2,YIELDS_youvert!C$1,0)</f>
        <v>1</v>
      </c>
      <c r="D43" cm="1">
        <f t="array" ref="D43">_xll.VALEURCOURBE($A$2,_xlfn.CONCAT("THEME14=",$B43),SCENARIOS!$A$2,SCENARIOS!$B$2,YIELDS_youvert!D$1,0)</f>
        <v>1</v>
      </c>
      <c r="E43" cm="1">
        <f t="array" ref="E43">_xll.VALEURCOURBE($A$2,_xlfn.CONCAT("THEME14=",$B43),SCENARIOS!$A$2,SCENARIOS!$B$2,YIELDS_youvert!E$1,0)</f>
        <v>1</v>
      </c>
      <c r="F43" cm="1">
        <f t="array" ref="F43">_xll.VALEURCOURBE($A$2,_xlfn.CONCAT("THEME14=",$B43),SCENARIOS!$A$2,SCENARIOS!$B$2,YIELDS_youvert!F$1,0)</f>
        <v>1</v>
      </c>
      <c r="G43" cm="1">
        <f t="array" ref="G43">_xll.VALEURCOURBE($A$2,_xlfn.CONCAT("THEME14=",$B43),SCENARIOS!$A$2,SCENARIOS!$B$2,YIELDS_youvert!G$1,0)</f>
        <v>1</v>
      </c>
      <c r="H43" cm="1">
        <f t="array" ref="H43">_xll.VALEURCOURBE($A$2,_xlfn.CONCAT("THEME14=",$B43),SCENARIOS!$A$2,SCENARIOS!$B$2,YIELDS_youvert!H$1,0)</f>
        <v>1</v>
      </c>
      <c r="I43" cm="1">
        <f t="array" ref="I43">_xll.VALEURCOURBE($A$2,_xlfn.CONCAT("THEME14=",$B43),SCENARIOS!$A$2,SCENARIOS!$B$2,YIELDS_youvert!I$1,0)</f>
        <v>1</v>
      </c>
      <c r="J43" cm="1">
        <f t="array" ref="J43">_xll.VALEURCOURBE($A$2,_xlfn.CONCAT("THEME14=",$B43),SCENARIOS!$A$2,SCENARIOS!$B$2,YIELDS_youvert!J$1,0)</f>
        <v>1</v>
      </c>
      <c r="K43" cm="1">
        <f t="array" ref="K43">_xll.VALEURCOURBE($A$2,_xlfn.CONCAT("THEME14=",$B43),SCENARIOS!$A$2,SCENARIOS!$B$2,YIELDS_youvert!K$1,0)</f>
        <v>1</v>
      </c>
      <c r="L43" cm="1">
        <f t="array" ref="L43">_xll.VALEURCOURBE($A$2,_xlfn.CONCAT("THEME14=",$B43),SCENARIOS!$A$2,SCENARIOS!$B$2,YIELDS_youvert!L$1,0)</f>
        <v>1</v>
      </c>
      <c r="M43" cm="1">
        <f t="array" ref="M43">_xll.VALEURCOURBE($A$2,_xlfn.CONCAT("THEME14=",$B43),SCENARIOS!$A$2,SCENARIOS!$B$2,YIELDS_youvert!M$1,0)</f>
        <v>1</v>
      </c>
      <c r="N43" cm="1">
        <f t="array" ref="N43">_xll.VALEURCOURBE($A$2,_xlfn.CONCAT("THEME14=",$B43),SCENARIOS!$A$2,SCENARIOS!$B$2,YIELDS_youvert!N$1,0)</f>
        <v>1</v>
      </c>
      <c r="O43" cm="1">
        <f t="array" ref="O43">_xll.VALEURCOURBE($A$2,_xlfn.CONCAT("THEME14=",$B43),SCENARIOS!$A$2,SCENARIOS!$B$2,YIELDS_youvert!O$1,0)</f>
        <v>1</v>
      </c>
      <c r="P43" cm="1">
        <f t="array" ref="P43">_xll.VALEURCOURBE($A$2,_xlfn.CONCAT("THEME14=",$B43),SCENARIOS!$A$2,SCENARIOS!$B$2,YIELDS_youvert!P$1,0)</f>
        <v>1</v>
      </c>
      <c r="Q43" cm="1">
        <f t="array" ref="Q43">_xll.VALEURCOURBE($A$2,_xlfn.CONCAT("THEME14=",$B43),SCENARIOS!$A$2,SCENARIOS!$B$2,YIELDS_youvert!Q$1,0)</f>
        <v>1</v>
      </c>
      <c r="R43" cm="1">
        <f t="array" ref="R43">_xll.VALEURCOURBE($A$2,_xlfn.CONCAT("THEME14=",$B43),SCENARIOS!$A$2,SCENARIOS!$B$2,YIELDS_youvert!R$1,0)</f>
        <v>1</v>
      </c>
      <c r="S43" cm="1">
        <f t="array" ref="S43">_xll.VALEURCOURBE($A$2,_xlfn.CONCAT("THEME14=",$B43),SCENARIOS!$A$2,SCENARIOS!$B$2,YIELDS_youvert!S$1,0)</f>
        <v>1</v>
      </c>
      <c r="T43" cm="1">
        <f t="array" ref="T43">_xll.VALEURCOURBE($A$2,_xlfn.CONCAT("THEME14=",$B43),SCENARIOS!$A$2,SCENARIOS!$B$2,YIELDS_youvert!T$1,0)</f>
        <v>1</v>
      </c>
      <c r="U43" cm="1">
        <f t="array" ref="U43">_xll.VALEURCOURBE($A$2,_xlfn.CONCAT("THEME14=",$B43),SCENARIOS!$A$2,SCENARIOS!$B$2,YIELDS_youvert!U$1,0)</f>
        <v>1</v>
      </c>
      <c r="V43" cm="1">
        <f t="array" ref="V43">_xll.VALEURCOURBE($A$2,_xlfn.CONCAT("THEME14=",$B43),SCENARIOS!$A$2,SCENARIOS!$B$2,YIELDS_youvert!V$1,0)</f>
        <v>1</v>
      </c>
      <c r="W43" cm="1">
        <f t="array" ref="W43">_xll.VALEURCOURBE($A$2,_xlfn.CONCAT("THEME14=",$B43),SCENARIOS!$A$2,SCENARIOS!$B$2,YIELDS_youvert!W$1,0)</f>
        <v>1</v>
      </c>
      <c r="X43" cm="1">
        <f t="array" ref="X43">_xll.VALEURCOURBE($A$2,_xlfn.CONCAT("THEME14=",$B43),SCENARIOS!$A$2,SCENARIOS!$B$2,YIELDS_youvert!X$1,0)</f>
        <v>1</v>
      </c>
      <c r="Y43" cm="1">
        <f t="array" ref="Y43">_xll.VALEURCOURBE($A$2,_xlfn.CONCAT("THEME14=",$B43),SCENARIOS!$A$2,SCENARIOS!$B$2,YIELDS_youvert!Y$1,0)</f>
        <v>1</v>
      </c>
      <c r="Z43" cm="1">
        <f t="array" ref="Z43">_xll.VALEURCOURBE($A$2,_xlfn.CONCAT("THEME14=",$B43),SCENARIOS!$A$2,SCENARIOS!$B$2,YIELDS_youvert!Z$1,0)</f>
        <v>1</v>
      </c>
      <c r="AA43" cm="1">
        <f t="array" ref="AA43">_xll.VALEURCOURBE($A$2,_xlfn.CONCAT("THEME14=",$B43),SCENARIOS!$A$2,SCENARIOS!$B$2,YIELDS_youvert!AA$1,0)</f>
        <v>1</v>
      </c>
      <c r="AB43" cm="1">
        <f t="array" ref="AB43">_xll.VALEURCOURBE($A$2,_xlfn.CONCAT("THEME14=",$B43),SCENARIOS!$A$2,SCENARIOS!$B$2,YIELDS_youvert!AB$1,0)</f>
        <v>1</v>
      </c>
      <c r="AC43" cm="1">
        <f t="array" ref="AC43">_xll.VALEURCOURBE($A$2,_xlfn.CONCAT("THEME14=",$B43),SCENARIOS!$A$2,SCENARIOS!$B$2,YIELDS_youvert!AC$1,0)</f>
        <v>1</v>
      </c>
      <c r="AD43" cm="1">
        <f t="array" ref="AD43">_xll.VALEURCOURBE($A$2,_xlfn.CONCAT("THEME14=",$B43),SCENARIOS!$A$2,SCENARIOS!$B$2,YIELDS_youvert!AD$1,0)</f>
        <v>1</v>
      </c>
      <c r="AE43" cm="1">
        <f t="array" ref="AE43">_xll.VALEURCOURBE($A$2,_xlfn.CONCAT("THEME14=",$B43),SCENARIOS!$A$2,SCENARIOS!$B$2,YIELDS_youvert!AE$1,0)</f>
        <v>1</v>
      </c>
    </row>
    <row r="44" spans="3:31" x14ac:dyDescent="0.25">
      <c r="C44" cm="1">
        <f t="array" ref="C44">_xll.VALEURCOURBE($A$2,_xlfn.CONCAT("THEME14=",$B44),SCENARIOS!$A$2,SCENARIOS!$B$2,YIELDS_youvert!C$1,0)</f>
        <v>1</v>
      </c>
      <c r="D44" cm="1">
        <f t="array" ref="D44">_xll.VALEURCOURBE($A$2,_xlfn.CONCAT("THEME14=",$B44),SCENARIOS!$A$2,SCENARIOS!$B$2,YIELDS_youvert!D$1,0)</f>
        <v>1</v>
      </c>
      <c r="E44" cm="1">
        <f t="array" ref="E44">_xll.VALEURCOURBE($A$2,_xlfn.CONCAT("THEME14=",$B44),SCENARIOS!$A$2,SCENARIOS!$B$2,YIELDS_youvert!E$1,0)</f>
        <v>1</v>
      </c>
      <c r="F44" cm="1">
        <f t="array" ref="F44">_xll.VALEURCOURBE($A$2,_xlfn.CONCAT("THEME14=",$B44),SCENARIOS!$A$2,SCENARIOS!$B$2,YIELDS_youvert!F$1,0)</f>
        <v>1</v>
      </c>
      <c r="G44" cm="1">
        <f t="array" ref="G44">_xll.VALEURCOURBE($A$2,_xlfn.CONCAT("THEME14=",$B44),SCENARIOS!$A$2,SCENARIOS!$B$2,YIELDS_youvert!G$1,0)</f>
        <v>1</v>
      </c>
      <c r="H44" cm="1">
        <f t="array" ref="H44">_xll.VALEURCOURBE($A$2,_xlfn.CONCAT("THEME14=",$B44),SCENARIOS!$A$2,SCENARIOS!$B$2,YIELDS_youvert!H$1,0)</f>
        <v>1</v>
      </c>
      <c r="I44" cm="1">
        <f t="array" ref="I44">_xll.VALEURCOURBE($A$2,_xlfn.CONCAT("THEME14=",$B44),SCENARIOS!$A$2,SCENARIOS!$B$2,YIELDS_youvert!I$1,0)</f>
        <v>1</v>
      </c>
      <c r="J44" cm="1">
        <f t="array" ref="J44">_xll.VALEURCOURBE($A$2,_xlfn.CONCAT("THEME14=",$B44),SCENARIOS!$A$2,SCENARIOS!$B$2,YIELDS_youvert!J$1,0)</f>
        <v>1</v>
      </c>
      <c r="K44" cm="1">
        <f t="array" ref="K44">_xll.VALEURCOURBE($A$2,_xlfn.CONCAT("THEME14=",$B44),SCENARIOS!$A$2,SCENARIOS!$B$2,YIELDS_youvert!K$1,0)</f>
        <v>1</v>
      </c>
      <c r="L44" cm="1">
        <f t="array" ref="L44">_xll.VALEURCOURBE($A$2,_xlfn.CONCAT("THEME14=",$B44),SCENARIOS!$A$2,SCENARIOS!$B$2,YIELDS_youvert!L$1,0)</f>
        <v>1</v>
      </c>
      <c r="M44" cm="1">
        <f t="array" ref="M44">_xll.VALEURCOURBE($A$2,_xlfn.CONCAT("THEME14=",$B44),SCENARIOS!$A$2,SCENARIOS!$B$2,YIELDS_youvert!M$1,0)</f>
        <v>1</v>
      </c>
      <c r="N44" cm="1">
        <f t="array" ref="N44">_xll.VALEURCOURBE($A$2,_xlfn.CONCAT("THEME14=",$B44),SCENARIOS!$A$2,SCENARIOS!$B$2,YIELDS_youvert!N$1,0)</f>
        <v>1</v>
      </c>
      <c r="O44" cm="1">
        <f t="array" ref="O44">_xll.VALEURCOURBE($A$2,_xlfn.CONCAT("THEME14=",$B44),SCENARIOS!$A$2,SCENARIOS!$B$2,YIELDS_youvert!O$1,0)</f>
        <v>1</v>
      </c>
      <c r="P44" cm="1">
        <f t="array" ref="P44">_xll.VALEURCOURBE($A$2,_xlfn.CONCAT("THEME14=",$B44),SCENARIOS!$A$2,SCENARIOS!$B$2,YIELDS_youvert!P$1,0)</f>
        <v>1</v>
      </c>
      <c r="Q44" cm="1">
        <f t="array" ref="Q44">_xll.VALEURCOURBE($A$2,_xlfn.CONCAT("THEME14=",$B44),SCENARIOS!$A$2,SCENARIOS!$B$2,YIELDS_youvert!Q$1,0)</f>
        <v>1</v>
      </c>
      <c r="R44" cm="1">
        <f t="array" ref="R44">_xll.VALEURCOURBE($A$2,_xlfn.CONCAT("THEME14=",$B44),SCENARIOS!$A$2,SCENARIOS!$B$2,YIELDS_youvert!R$1,0)</f>
        <v>1</v>
      </c>
      <c r="S44" cm="1">
        <f t="array" ref="S44">_xll.VALEURCOURBE($A$2,_xlfn.CONCAT("THEME14=",$B44),SCENARIOS!$A$2,SCENARIOS!$B$2,YIELDS_youvert!S$1,0)</f>
        <v>1</v>
      </c>
      <c r="T44" cm="1">
        <f t="array" ref="T44">_xll.VALEURCOURBE($A$2,_xlfn.CONCAT("THEME14=",$B44),SCENARIOS!$A$2,SCENARIOS!$B$2,YIELDS_youvert!T$1,0)</f>
        <v>1</v>
      </c>
      <c r="U44" cm="1">
        <f t="array" ref="U44">_xll.VALEURCOURBE($A$2,_xlfn.CONCAT("THEME14=",$B44),SCENARIOS!$A$2,SCENARIOS!$B$2,YIELDS_youvert!U$1,0)</f>
        <v>1</v>
      </c>
      <c r="V44" cm="1">
        <f t="array" ref="V44">_xll.VALEURCOURBE($A$2,_xlfn.CONCAT("THEME14=",$B44),SCENARIOS!$A$2,SCENARIOS!$B$2,YIELDS_youvert!V$1,0)</f>
        <v>1</v>
      </c>
      <c r="W44" cm="1">
        <f t="array" ref="W44">_xll.VALEURCOURBE($A$2,_xlfn.CONCAT("THEME14=",$B44),SCENARIOS!$A$2,SCENARIOS!$B$2,YIELDS_youvert!W$1,0)</f>
        <v>1</v>
      </c>
      <c r="X44" cm="1">
        <f t="array" ref="X44">_xll.VALEURCOURBE($A$2,_xlfn.CONCAT("THEME14=",$B44),SCENARIOS!$A$2,SCENARIOS!$B$2,YIELDS_youvert!X$1,0)</f>
        <v>1</v>
      </c>
      <c r="Y44" cm="1">
        <f t="array" ref="Y44">_xll.VALEURCOURBE($A$2,_xlfn.CONCAT("THEME14=",$B44),SCENARIOS!$A$2,SCENARIOS!$B$2,YIELDS_youvert!Y$1,0)</f>
        <v>1</v>
      </c>
      <c r="Z44" cm="1">
        <f t="array" ref="Z44">_xll.VALEURCOURBE($A$2,_xlfn.CONCAT("THEME14=",$B44),SCENARIOS!$A$2,SCENARIOS!$B$2,YIELDS_youvert!Z$1,0)</f>
        <v>1</v>
      </c>
      <c r="AA44" cm="1">
        <f t="array" ref="AA44">_xll.VALEURCOURBE($A$2,_xlfn.CONCAT("THEME14=",$B44),SCENARIOS!$A$2,SCENARIOS!$B$2,YIELDS_youvert!AA$1,0)</f>
        <v>1</v>
      </c>
      <c r="AB44" cm="1">
        <f t="array" ref="AB44">_xll.VALEURCOURBE($A$2,_xlfn.CONCAT("THEME14=",$B44),SCENARIOS!$A$2,SCENARIOS!$B$2,YIELDS_youvert!AB$1,0)</f>
        <v>1</v>
      </c>
      <c r="AC44" cm="1">
        <f t="array" ref="AC44">_xll.VALEURCOURBE($A$2,_xlfn.CONCAT("THEME14=",$B44),SCENARIOS!$A$2,SCENARIOS!$B$2,YIELDS_youvert!AC$1,0)</f>
        <v>1</v>
      </c>
      <c r="AD44" cm="1">
        <f t="array" ref="AD44">_xll.VALEURCOURBE($A$2,_xlfn.CONCAT("THEME14=",$B44),SCENARIOS!$A$2,SCENARIOS!$B$2,YIELDS_youvert!AD$1,0)</f>
        <v>1</v>
      </c>
      <c r="AE44" cm="1">
        <f t="array" ref="AE44">_xll.VALEURCOURBE($A$2,_xlfn.CONCAT("THEME14=",$B44),SCENARIOS!$A$2,SCENARIOS!$B$2,YIELDS_youvert!AE$1,0)</f>
        <v>1</v>
      </c>
    </row>
    <row r="45" spans="3:31" x14ac:dyDescent="0.25">
      <c r="C45" cm="1">
        <f t="array" ref="C45">_xll.VALEURCOURBE($A$2,_xlfn.CONCAT("THEME14=",$B45),SCENARIOS!$A$2,SCENARIOS!$B$2,YIELDS_youvert!C$1,0)</f>
        <v>1</v>
      </c>
      <c r="D45" cm="1">
        <f t="array" ref="D45">_xll.VALEURCOURBE($A$2,_xlfn.CONCAT("THEME14=",$B45),SCENARIOS!$A$2,SCENARIOS!$B$2,YIELDS_youvert!D$1,0)</f>
        <v>1</v>
      </c>
      <c r="E45" cm="1">
        <f t="array" ref="E45">_xll.VALEURCOURBE($A$2,_xlfn.CONCAT("THEME14=",$B45),SCENARIOS!$A$2,SCENARIOS!$B$2,YIELDS_youvert!E$1,0)</f>
        <v>1</v>
      </c>
      <c r="F45" cm="1">
        <f t="array" ref="F45">_xll.VALEURCOURBE($A$2,_xlfn.CONCAT("THEME14=",$B45),SCENARIOS!$A$2,SCENARIOS!$B$2,YIELDS_youvert!F$1,0)</f>
        <v>1</v>
      </c>
      <c r="G45" cm="1">
        <f t="array" ref="G45">_xll.VALEURCOURBE($A$2,_xlfn.CONCAT("THEME14=",$B45),SCENARIOS!$A$2,SCENARIOS!$B$2,YIELDS_youvert!G$1,0)</f>
        <v>1</v>
      </c>
      <c r="H45" cm="1">
        <f t="array" ref="H45">_xll.VALEURCOURBE($A$2,_xlfn.CONCAT("THEME14=",$B45),SCENARIOS!$A$2,SCENARIOS!$B$2,YIELDS_youvert!H$1,0)</f>
        <v>1</v>
      </c>
      <c r="I45" cm="1">
        <f t="array" ref="I45">_xll.VALEURCOURBE($A$2,_xlfn.CONCAT("THEME14=",$B45),SCENARIOS!$A$2,SCENARIOS!$B$2,YIELDS_youvert!I$1,0)</f>
        <v>1</v>
      </c>
      <c r="J45" cm="1">
        <f t="array" ref="J45">_xll.VALEURCOURBE($A$2,_xlfn.CONCAT("THEME14=",$B45),SCENARIOS!$A$2,SCENARIOS!$B$2,YIELDS_youvert!J$1,0)</f>
        <v>1</v>
      </c>
      <c r="K45" cm="1">
        <f t="array" ref="K45">_xll.VALEURCOURBE($A$2,_xlfn.CONCAT("THEME14=",$B45),SCENARIOS!$A$2,SCENARIOS!$B$2,YIELDS_youvert!K$1,0)</f>
        <v>1</v>
      </c>
      <c r="L45" cm="1">
        <f t="array" ref="L45">_xll.VALEURCOURBE($A$2,_xlfn.CONCAT("THEME14=",$B45),SCENARIOS!$A$2,SCENARIOS!$B$2,YIELDS_youvert!L$1,0)</f>
        <v>1</v>
      </c>
      <c r="M45" cm="1">
        <f t="array" ref="M45">_xll.VALEURCOURBE($A$2,_xlfn.CONCAT("THEME14=",$B45),SCENARIOS!$A$2,SCENARIOS!$B$2,YIELDS_youvert!M$1,0)</f>
        <v>1</v>
      </c>
      <c r="N45" cm="1">
        <f t="array" ref="N45">_xll.VALEURCOURBE($A$2,_xlfn.CONCAT("THEME14=",$B45),SCENARIOS!$A$2,SCENARIOS!$B$2,YIELDS_youvert!N$1,0)</f>
        <v>1</v>
      </c>
      <c r="O45" cm="1">
        <f t="array" ref="O45">_xll.VALEURCOURBE($A$2,_xlfn.CONCAT("THEME14=",$B45),SCENARIOS!$A$2,SCENARIOS!$B$2,YIELDS_youvert!O$1,0)</f>
        <v>1</v>
      </c>
      <c r="P45" cm="1">
        <f t="array" ref="P45">_xll.VALEURCOURBE($A$2,_xlfn.CONCAT("THEME14=",$B45),SCENARIOS!$A$2,SCENARIOS!$B$2,YIELDS_youvert!P$1,0)</f>
        <v>1</v>
      </c>
      <c r="Q45" cm="1">
        <f t="array" ref="Q45">_xll.VALEURCOURBE($A$2,_xlfn.CONCAT("THEME14=",$B45),SCENARIOS!$A$2,SCENARIOS!$B$2,YIELDS_youvert!Q$1,0)</f>
        <v>1</v>
      </c>
      <c r="R45" cm="1">
        <f t="array" ref="R45">_xll.VALEURCOURBE($A$2,_xlfn.CONCAT("THEME14=",$B45),SCENARIOS!$A$2,SCENARIOS!$B$2,YIELDS_youvert!R$1,0)</f>
        <v>1</v>
      </c>
      <c r="S45" cm="1">
        <f t="array" ref="S45">_xll.VALEURCOURBE($A$2,_xlfn.CONCAT("THEME14=",$B45),SCENARIOS!$A$2,SCENARIOS!$B$2,YIELDS_youvert!S$1,0)</f>
        <v>1</v>
      </c>
      <c r="T45" cm="1">
        <f t="array" ref="T45">_xll.VALEURCOURBE($A$2,_xlfn.CONCAT("THEME14=",$B45),SCENARIOS!$A$2,SCENARIOS!$B$2,YIELDS_youvert!T$1,0)</f>
        <v>1</v>
      </c>
      <c r="U45" cm="1">
        <f t="array" ref="U45">_xll.VALEURCOURBE($A$2,_xlfn.CONCAT("THEME14=",$B45),SCENARIOS!$A$2,SCENARIOS!$B$2,YIELDS_youvert!U$1,0)</f>
        <v>1</v>
      </c>
      <c r="V45" cm="1">
        <f t="array" ref="V45">_xll.VALEURCOURBE($A$2,_xlfn.CONCAT("THEME14=",$B45),SCENARIOS!$A$2,SCENARIOS!$B$2,YIELDS_youvert!V$1,0)</f>
        <v>1</v>
      </c>
      <c r="W45" cm="1">
        <f t="array" ref="W45">_xll.VALEURCOURBE($A$2,_xlfn.CONCAT("THEME14=",$B45),SCENARIOS!$A$2,SCENARIOS!$B$2,YIELDS_youvert!W$1,0)</f>
        <v>1</v>
      </c>
      <c r="X45" cm="1">
        <f t="array" ref="X45">_xll.VALEURCOURBE($A$2,_xlfn.CONCAT("THEME14=",$B45),SCENARIOS!$A$2,SCENARIOS!$B$2,YIELDS_youvert!X$1,0)</f>
        <v>1</v>
      </c>
      <c r="Y45" cm="1">
        <f t="array" ref="Y45">_xll.VALEURCOURBE($A$2,_xlfn.CONCAT("THEME14=",$B45),SCENARIOS!$A$2,SCENARIOS!$B$2,YIELDS_youvert!Y$1,0)</f>
        <v>1</v>
      </c>
      <c r="Z45" cm="1">
        <f t="array" ref="Z45">_xll.VALEURCOURBE($A$2,_xlfn.CONCAT("THEME14=",$B45),SCENARIOS!$A$2,SCENARIOS!$B$2,YIELDS_youvert!Z$1,0)</f>
        <v>1</v>
      </c>
      <c r="AA45" cm="1">
        <f t="array" ref="AA45">_xll.VALEURCOURBE($A$2,_xlfn.CONCAT("THEME14=",$B45),SCENARIOS!$A$2,SCENARIOS!$B$2,YIELDS_youvert!AA$1,0)</f>
        <v>1</v>
      </c>
      <c r="AB45" cm="1">
        <f t="array" ref="AB45">_xll.VALEURCOURBE($A$2,_xlfn.CONCAT("THEME14=",$B45),SCENARIOS!$A$2,SCENARIOS!$B$2,YIELDS_youvert!AB$1,0)</f>
        <v>1</v>
      </c>
      <c r="AC45" cm="1">
        <f t="array" ref="AC45">_xll.VALEURCOURBE($A$2,_xlfn.CONCAT("THEME14=",$B45),SCENARIOS!$A$2,SCENARIOS!$B$2,YIELDS_youvert!AC$1,0)</f>
        <v>1</v>
      </c>
      <c r="AD45" cm="1">
        <f t="array" ref="AD45">_xll.VALEURCOURBE($A$2,_xlfn.CONCAT("THEME14=",$B45),SCENARIOS!$A$2,SCENARIOS!$B$2,YIELDS_youvert!AD$1,0)</f>
        <v>1</v>
      </c>
      <c r="AE45" cm="1">
        <f t="array" ref="AE45">_xll.VALEURCOURBE($A$2,_xlfn.CONCAT("THEME14=",$B45),SCENARIOS!$A$2,SCENARIOS!$B$2,YIELDS_youvert!AE$1,0)</f>
        <v>1</v>
      </c>
    </row>
    <row r="46" spans="3:31" x14ac:dyDescent="0.25">
      <c r="C46" cm="1">
        <f t="array" ref="C46">_xll.VALEURCOURBE($A$2,_xlfn.CONCAT("THEME14=",$B46),SCENARIOS!$A$2,SCENARIOS!$B$2,YIELDS_youvert!C$1,0)</f>
        <v>1</v>
      </c>
      <c r="D46" cm="1">
        <f t="array" ref="D46">_xll.VALEURCOURBE($A$2,_xlfn.CONCAT("THEME14=",$B46),SCENARIOS!$A$2,SCENARIOS!$B$2,YIELDS_youvert!D$1,0)</f>
        <v>1</v>
      </c>
      <c r="E46" cm="1">
        <f t="array" ref="E46">_xll.VALEURCOURBE($A$2,_xlfn.CONCAT("THEME14=",$B46),SCENARIOS!$A$2,SCENARIOS!$B$2,YIELDS_youvert!E$1,0)</f>
        <v>1</v>
      </c>
      <c r="F46" cm="1">
        <f t="array" ref="F46">_xll.VALEURCOURBE($A$2,_xlfn.CONCAT("THEME14=",$B46),SCENARIOS!$A$2,SCENARIOS!$B$2,YIELDS_youvert!F$1,0)</f>
        <v>1</v>
      </c>
      <c r="G46" cm="1">
        <f t="array" ref="G46">_xll.VALEURCOURBE($A$2,_xlfn.CONCAT("THEME14=",$B46),SCENARIOS!$A$2,SCENARIOS!$B$2,YIELDS_youvert!G$1,0)</f>
        <v>1</v>
      </c>
      <c r="H46" cm="1">
        <f t="array" ref="H46">_xll.VALEURCOURBE($A$2,_xlfn.CONCAT("THEME14=",$B46),SCENARIOS!$A$2,SCENARIOS!$B$2,YIELDS_youvert!H$1,0)</f>
        <v>1</v>
      </c>
      <c r="I46" cm="1">
        <f t="array" ref="I46">_xll.VALEURCOURBE($A$2,_xlfn.CONCAT("THEME14=",$B46),SCENARIOS!$A$2,SCENARIOS!$B$2,YIELDS_youvert!I$1,0)</f>
        <v>1</v>
      </c>
      <c r="J46" cm="1">
        <f t="array" ref="J46">_xll.VALEURCOURBE($A$2,_xlfn.CONCAT("THEME14=",$B46),SCENARIOS!$A$2,SCENARIOS!$B$2,YIELDS_youvert!J$1,0)</f>
        <v>1</v>
      </c>
      <c r="K46" cm="1">
        <f t="array" ref="K46">_xll.VALEURCOURBE($A$2,_xlfn.CONCAT("THEME14=",$B46),SCENARIOS!$A$2,SCENARIOS!$B$2,YIELDS_youvert!K$1,0)</f>
        <v>1</v>
      </c>
      <c r="L46" cm="1">
        <f t="array" ref="L46">_xll.VALEURCOURBE($A$2,_xlfn.CONCAT("THEME14=",$B46),SCENARIOS!$A$2,SCENARIOS!$B$2,YIELDS_youvert!L$1,0)</f>
        <v>1</v>
      </c>
      <c r="M46" cm="1">
        <f t="array" ref="M46">_xll.VALEURCOURBE($A$2,_xlfn.CONCAT("THEME14=",$B46),SCENARIOS!$A$2,SCENARIOS!$B$2,YIELDS_youvert!M$1,0)</f>
        <v>1</v>
      </c>
      <c r="N46" cm="1">
        <f t="array" ref="N46">_xll.VALEURCOURBE($A$2,_xlfn.CONCAT("THEME14=",$B46),SCENARIOS!$A$2,SCENARIOS!$B$2,YIELDS_youvert!N$1,0)</f>
        <v>1</v>
      </c>
      <c r="O46" cm="1">
        <f t="array" ref="O46">_xll.VALEURCOURBE($A$2,_xlfn.CONCAT("THEME14=",$B46),SCENARIOS!$A$2,SCENARIOS!$B$2,YIELDS_youvert!O$1,0)</f>
        <v>1</v>
      </c>
      <c r="P46" cm="1">
        <f t="array" ref="P46">_xll.VALEURCOURBE($A$2,_xlfn.CONCAT("THEME14=",$B46),SCENARIOS!$A$2,SCENARIOS!$B$2,YIELDS_youvert!P$1,0)</f>
        <v>1</v>
      </c>
      <c r="Q46" cm="1">
        <f t="array" ref="Q46">_xll.VALEURCOURBE($A$2,_xlfn.CONCAT("THEME14=",$B46),SCENARIOS!$A$2,SCENARIOS!$B$2,YIELDS_youvert!Q$1,0)</f>
        <v>1</v>
      </c>
      <c r="R46" cm="1">
        <f t="array" ref="R46">_xll.VALEURCOURBE($A$2,_xlfn.CONCAT("THEME14=",$B46),SCENARIOS!$A$2,SCENARIOS!$B$2,YIELDS_youvert!R$1,0)</f>
        <v>1</v>
      </c>
      <c r="S46" cm="1">
        <f t="array" ref="S46">_xll.VALEURCOURBE($A$2,_xlfn.CONCAT("THEME14=",$B46),SCENARIOS!$A$2,SCENARIOS!$B$2,YIELDS_youvert!S$1,0)</f>
        <v>1</v>
      </c>
      <c r="T46" cm="1">
        <f t="array" ref="T46">_xll.VALEURCOURBE($A$2,_xlfn.CONCAT("THEME14=",$B46),SCENARIOS!$A$2,SCENARIOS!$B$2,YIELDS_youvert!T$1,0)</f>
        <v>1</v>
      </c>
      <c r="U46" cm="1">
        <f t="array" ref="U46">_xll.VALEURCOURBE($A$2,_xlfn.CONCAT("THEME14=",$B46),SCENARIOS!$A$2,SCENARIOS!$B$2,YIELDS_youvert!U$1,0)</f>
        <v>1</v>
      </c>
      <c r="V46" cm="1">
        <f t="array" ref="V46">_xll.VALEURCOURBE($A$2,_xlfn.CONCAT("THEME14=",$B46),SCENARIOS!$A$2,SCENARIOS!$B$2,YIELDS_youvert!V$1,0)</f>
        <v>1</v>
      </c>
      <c r="W46" cm="1">
        <f t="array" ref="W46">_xll.VALEURCOURBE($A$2,_xlfn.CONCAT("THEME14=",$B46),SCENARIOS!$A$2,SCENARIOS!$B$2,YIELDS_youvert!W$1,0)</f>
        <v>1</v>
      </c>
      <c r="X46" cm="1">
        <f t="array" ref="X46">_xll.VALEURCOURBE($A$2,_xlfn.CONCAT("THEME14=",$B46),SCENARIOS!$A$2,SCENARIOS!$B$2,YIELDS_youvert!X$1,0)</f>
        <v>1</v>
      </c>
      <c r="Y46" cm="1">
        <f t="array" ref="Y46">_xll.VALEURCOURBE($A$2,_xlfn.CONCAT("THEME14=",$B46),SCENARIOS!$A$2,SCENARIOS!$B$2,YIELDS_youvert!Y$1,0)</f>
        <v>1</v>
      </c>
      <c r="Z46" cm="1">
        <f t="array" ref="Z46">_xll.VALEURCOURBE($A$2,_xlfn.CONCAT("THEME14=",$B46),SCENARIOS!$A$2,SCENARIOS!$B$2,YIELDS_youvert!Z$1,0)</f>
        <v>1</v>
      </c>
      <c r="AA46" cm="1">
        <f t="array" ref="AA46">_xll.VALEURCOURBE($A$2,_xlfn.CONCAT("THEME14=",$B46),SCENARIOS!$A$2,SCENARIOS!$B$2,YIELDS_youvert!AA$1,0)</f>
        <v>1</v>
      </c>
      <c r="AB46" cm="1">
        <f t="array" ref="AB46">_xll.VALEURCOURBE($A$2,_xlfn.CONCAT("THEME14=",$B46),SCENARIOS!$A$2,SCENARIOS!$B$2,YIELDS_youvert!AB$1,0)</f>
        <v>1</v>
      </c>
      <c r="AC46" cm="1">
        <f t="array" ref="AC46">_xll.VALEURCOURBE($A$2,_xlfn.CONCAT("THEME14=",$B46),SCENARIOS!$A$2,SCENARIOS!$B$2,YIELDS_youvert!AC$1,0)</f>
        <v>1</v>
      </c>
      <c r="AD46" cm="1">
        <f t="array" ref="AD46">_xll.VALEURCOURBE($A$2,_xlfn.CONCAT("THEME14=",$B46),SCENARIOS!$A$2,SCENARIOS!$B$2,YIELDS_youvert!AD$1,0)</f>
        <v>1</v>
      </c>
      <c r="AE46" cm="1">
        <f t="array" ref="AE46">_xll.VALEURCOURBE($A$2,_xlfn.CONCAT("THEME14=",$B46),SCENARIOS!$A$2,SCENARIOS!$B$2,YIELDS_youvert!AE$1,0)</f>
        <v>1</v>
      </c>
    </row>
    <row r="47" spans="3:31" x14ac:dyDescent="0.25">
      <c r="C47" cm="1">
        <f t="array" ref="C47">_xll.VALEURCOURBE($A$2,_xlfn.CONCAT("THEME14=",$B47),SCENARIOS!$A$2,SCENARIOS!$B$2,YIELDS_youvert!C$1,0)</f>
        <v>1</v>
      </c>
      <c r="D47" cm="1">
        <f t="array" ref="D47">_xll.VALEURCOURBE($A$2,_xlfn.CONCAT("THEME14=",$B47),SCENARIOS!$A$2,SCENARIOS!$B$2,YIELDS_youvert!D$1,0)</f>
        <v>1</v>
      </c>
      <c r="E47" cm="1">
        <f t="array" ref="E47">_xll.VALEURCOURBE($A$2,_xlfn.CONCAT("THEME14=",$B47),SCENARIOS!$A$2,SCENARIOS!$B$2,YIELDS_youvert!E$1,0)</f>
        <v>1</v>
      </c>
      <c r="F47" cm="1">
        <f t="array" ref="F47">_xll.VALEURCOURBE($A$2,_xlfn.CONCAT("THEME14=",$B47),SCENARIOS!$A$2,SCENARIOS!$B$2,YIELDS_youvert!F$1,0)</f>
        <v>1</v>
      </c>
      <c r="G47" cm="1">
        <f t="array" ref="G47">_xll.VALEURCOURBE($A$2,_xlfn.CONCAT("THEME14=",$B47),SCENARIOS!$A$2,SCENARIOS!$B$2,YIELDS_youvert!G$1,0)</f>
        <v>1</v>
      </c>
      <c r="H47" cm="1">
        <f t="array" ref="H47">_xll.VALEURCOURBE($A$2,_xlfn.CONCAT("THEME14=",$B47),SCENARIOS!$A$2,SCENARIOS!$B$2,YIELDS_youvert!H$1,0)</f>
        <v>1</v>
      </c>
      <c r="I47" cm="1">
        <f t="array" ref="I47">_xll.VALEURCOURBE($A$2,_xlfn.CONCAT("THEME14=",$B47),SCENARIOS!$A$2,SCENARIOS!$B$2,YIELDS_youvert!I$1,0)</f>
        <v>1</v>
      </c>
      <c r="J47" cm="1">
        <f t="array" ref="J47">_xll.VALEURCOURBE($A$2,_xlfn.CONCAT("THEME14=",$B47),SCENARIOS!$A$2,SCENARIOS!$B$2,YIELDS_youvert!J$1,0)</f>
        <v>1</v>
      </c>
      <c r="K47" cm="1">
        <f t="array" ref="K47">_xll.VALEURCOURBE($A$2,_xlfn.CONCAT("THEME14=",$B47),SCENARIOS!$A$2,SCENARIOS!$B$2,YIELDS_youvert!K$1,0)</f>
        <v>1</v>
      </c>
      <c r="L47" cm="1">
        <f t="array" ref="L47">_xll.VALEURCOURBE($A$2,_xlfn.CONCAT("THEME14=",$B47),SCENARIOS!$A$2,SCENARIOS!$B$2,YIELDS_youvert!L$1,0)</f>
        <v>1</v>
      </c>
      <c r="M47" cm="1">
        <f t="array" ref="M47">_xll.VALEURCOURBE($A$2,_xlfn.CONCAT("THEME14=",$B47),SCENARIOS!$A$2,SCENARIOS!$B$2,YIELDS_youvert!M$1,0)</f>
        <v>1</v>
      </c>
      <c r="N47" cm="1">
        <f t="array" ref="N47">_xll.VALEURCOURBE($A$2,_xlfn.CONCAT("THEME14=",$B47),SCENARIOS!$A$2,SCENARIOS!$B$2,YIELDS_youvert!N$1,0)</f>
        <v>1</v>
      </c>
      <c r="O47" cm="1">
        <f t="array" ref="O47">_xll.VALEURCOURBE($A$2,_xlfn.CONCAT("THEME14=",$B47),SCENARIOS!$A$2,SCENARIOS!$B$2,YIELDS_youvert!O$1,0)</f>
        <v>1</v>
      </c>
      <c r="P47" cm="1">
        <f t="array" ref="P47">_xll.VALEURCOURBE($A$2,_xlfn.CONCAT("THEME14=",$B47),SCENARIOS!$A$2,SCENARIOS!$B$2,YIELDS_youvert!P$1,0)</f>
        <v>1</v>
      </c>
      <c r="Q47" cm="1">
        <f t="array" ref="Q47">_xll.VALEURCOURBE($A$2,_xlfn.CONCAT("THEME14=",$B47),SCENARIOS!$A$2,SCENARIOS!$B$2,YIELDS_youvert!Q$1,0)</f>
        <v>1</v>
      </c>
      <c r="R47" cm="1">
        <f t="array" ref="R47">_xll.VALEURCOURBE($A$2,_xlfn.CONCAT("THEME14=",$B47),SCENARIOS!$A$2,SCENARIOS!$B$2,YIELDS_youvert!R$1,0)</f>
        <v>1</v>
      </c>
      <c r="S47" cm="1">
        <f t="array" ref="S47">_xll.VALEURCOURBE($A$2,_xlfn.CONCAT("THEME14=",$B47),SCENARIOS!$A$2,SCENARIOS!$B$2,YIELDS_youvert!S$1,0)</f>
        <v>1</v>
      </c>
      <c r="T47" cm="1">
        <f t="array" ref="T47">_xll.VALEURCOURBE($A$2,_xlfn.CONCAT("THEME14=",$B47),SCENARIOS!$A$2,SCENARIOS!$B$2,YIELDS_youvert!T$1,0)</f>
        <v>1</v>
      </c>
      <c r="U47" cm="1">
        <f t="array" ref="U47">_xll.VALEURCOURBE($A$2,_xlfn.CONCAT("THEME14=",$B47),SCENARIOS!$A$2,SCENARIOS!$B$2,YIELDS_youvert!U$1,0)</f>
        <v>1</v>
      </c>
      <c r="V47" cm="1">
        <f t="array" ref="V47">_xll.VALEURCOURBE($A$2,_xlfn.CONCAT("THEME14=",$B47),SCENARIOS!$A$2,SCENARIOS!$B$2,YIELDS_youvert!V$1,0)</f>
        <v>1</v>
      </c>
      <c r="W47" cm="1">
        <f t="array" ref="W47">_xll.VALEURCOURBE($A$2,_xlfn.CONCAT("THEME14=",$B47),SCENARIOS!$A$2,SCENARIOS!$B$2,YIELDS_youvert!W$1,0)</f>
        <v>1</v>
      </c>
      <c r="X47" cm="1">
        <f t="array" ref="X47">_xll.VALEURCOURBE($A$2,_xlfn.CONCAT("THEME14=",$B47),SCENARIOS!$A$2,SCENARIOS!$B$2,YIELDS_youvert!X$1,0)</f>
        <v>1</v>
      </c>
      <c r="Y47" cm="1">
        <f t="array" ref="Y47">_xll.VALEURCOURBE($A$2,_xlfn.CONCAT("THEME14=",$B47),SCENARIOS!$A$2,SCENARIOS!$B$2,YIELDS_youvert!Y$1,0)</f>
        <v>1</v>
      </c>
      <c r="Z47" cm="1">
        <f t="array" ref="Z47">_xll.VALEURCOURBE($A$2,_xlfn.CONCAT("THEME14=",$B47),SCENARIOS!$A$2,SCENARIOS!$B$2,YIELDS_youvert!Z$1,0)</f>
        <v>1</v>
      </c>
      <c r="AA47" cm="1">
        <f t="array" ref="AA47">_xll.VALEURCOURBE($A$2,_xlfn.CONCAT("THEME14=",$B47),SCENARIOS!$A$2,SCENARIOS!$B$2,YIELDS_youvert!AA$1,0)</f>
        <v>1</v>
      </c>
      <c r="AB47" cm="1">
        <f t="array" ref="AB47">_xll.VALEURCOURBE($A$2,_xlfn.CONCAT("THEME14=",$B47),SCENARIOS!$A$2,SCENARIOS!$B$2,YIELDS_youvert!AB$1,0)</f>
        <v>1</v>
      </c>
      <c r="AC47" cm="1">
        <f t="array" ref="AC47">_xll.VALEURCOURBE($A$2,_xlfn.CONCAT("THEME14=",$B47),SCENARIOS!$A$2,SCENARIOS!$B$2,YIELDS_youvert!AC$1,0)</f>
        <v>1</v>
      </c>
      <c r="AD47" cm="1">
        <f t="array" ref="AD47">_xll.VALEURCOURBE($A$2,_xlfn.CONCAT("THEME14=",$B47),SCENARIOS!$A$2,SCENARIOS!$B$2,YIELDS_youvert!AD$1,0)</f>
        <v>1</v>
      </c>
      <c r="AE47" cm="1">
        <f t="array" ref="AE47">_xll.VALEURCOURBE($A$2,_xlfn.CONCAT("THEME14=",$B47),SCENARIOS!$A$2,SCENARIOS!$B$2,YIELDS_youvert!AE$1,0)</f>
        <v>1</v>
      </c>
    </row>
    <row r="48" spans="3:31" x14ac:dyDescent="0.25">
      <c r="C48" cm="1">
        <f t="array" ref="C48">_xll.VALEURCOURBE($A$2,_xlfn.CONCAT("THEME14=",$B48),SCENARIOS!$A$2,SCENARIOS!$B$2,YIELDS_youvert!C$1,0)</f>
        <v>1</v>
      </c>
      <c r="D48" cm="1">
        <f t="array" ref="D48">_xll.VALEURCOURBE($A$2,_xlfn.CONCAT("THEME14=",$B48),SCENARIOS!$A$2,SCENARIOS!$B$2,YIELDS_youvert!D$1,0)</f>
        <v>1</v>
      </c>
      <c r="E48" cm="1">
        <f t="array" ref="E48">_xll.VALEURCOURBE($A$2,_xlfn.CONCAT("THEME14=",$B48),SCENARIOS!$A$2,SCENARIOS!$B$2,YIELDS_youvert!E$1,0)</f>
        <v>1</v>
      </c>
      <c r="F48" cm="1">
        <f t="array" ref="F48">_xll.VALEURCOURBE($A$2,_xlfn.CONCAT("THEME14=",$B48),SCENARIOS!$A$2,SCENARIOS!$B$2,YIELDS_youvert!F$1,0)</f>
        <v>1</v>
      </c>
      <c r="G48" cm="1">
        <f t="array" ref="G48">_xll.VALEURCOURBE($A$2,_xlfn.CONCAT("THEME14=",$B48),SCENARIOS!$A$2,SCENARIOS!$B$2,YIELDS_youvert!G$1,0)</f>
        <v>1</v>
      </c>
      <c r="H48" cm="1">
        <f t="array" ref="H48">_xll.VALEURCOURBE($A$2,_xlfn.CONCAT("THEME14=",$B48),SCENARIOS!$A$2,SCENARIOS!$B$2,YIELDS_youvert!H$1,0)</f>
        <v>1</v>
      </c>
      <c r="I48" cm="1">
        <f t="array" ref="I48">_xll.VALEURCOURBE($A$2,_xlfn.CONCAT("THEME14=",$B48),SCENARIOS!$A$2,SCENARIOS!$B$2,YIELDS_youvert!I$1,0)</f>
        <v>1</v>
      </c>
      <c r="J48" cm="1">
        <f t="array" ref="J48">_xll.VALEURCOURBE($A$2,_xlfn.CONCAT("THEME14=",$B48),SCENARIOS!$A$2,SCENARIOS!$B$2,YIELDS_youvert!J$1,0)</f>
        <v>1</v>
      </c>
      <c r="K48" cm="1">
        <f t="array" ref="K48">_xll.VALEURCOURBE($A$2,_xlfn.CONCAT("THEME14=",$B48),SCENARIOS!$A$2,SCENARIOS!$B$2,YIELDS_youvert!K$1,0)</f>
        <v>1</v>
      </c>
      <c r="L48" cm="1">
        <f t="array" ref="L48">_xll.VALEURCOURBE($A$2,_xlfn.CONCAT("THEME14=",$B48),SCENARIOS!$A$2,SCENARIOS!$B$2,YIELDS_youvert!L$1,0)</f>
        <v>1</v>
      </c>
      <c r="M48" cm="1">
        <f t="array" ref="M48">_xll.VALEURCOURBE($A$2,_xlfn.CONCAT("THEME14=",$B48),SCENARIOS!$A$2,SCENARIOS!$B$2,YIELDS_youvert!M$1,0)</f>
        <v>1</v>
      </c>
      <c r="N48" cm="1">
        <f t="array" ref="N48">_xll.VALEURCOURBE($A$2,_xlfn.CONCAT("THEME14=",$B48),SCENARIOS!$A$2,SCENARIOS!$B$2,YIELDS_youvert!N$1,0)</f>
        <v>1</v>
      </c>
      <c r="O48" cm="1">
        <f t="array" ref="O48">_xll.VALEURCOURBE($A$2,_xlfn.CONCAT("THEME14=",$B48),SCENARIOS!$A$2,SCENARIOS!$B$2,YIELDS_youvert!O$1,0)</f>
        <v>1</v>
      </c>
      <c r="P48" cm="1">
        <f t="array" ref="P48">_xll.VALEURCOURBE($A$2,_xlfn.CONCAT("THEME14=",$B48),SCENARIOS!$A$2,SCENARIOS!$B$2,YIELDS_youvert!P$1,0)</f>
        <v>1</v>
      </c>
      <c r="Q48" cm="1">
        <f t="array" ref="Q48">_xll.VALEURCOURBE($A$2,_xlfn.CONCAT("THEME14=",$B48),SCENARIOS!$A$2,SCENARIOS!$B$2,YIELDS_youvert!Q$1,0)</f>
        <v>1</v>
      </c>
      <c r="R48" cm="1">
        <f t="array" ref="R48">_xll.VALEURCOURBE($A$2,_xlfn.CONCAT("THEME14=",$B48),SCENARIOS!$A$2,SCENARIOS!$B$2,YIELDS_youvert!R$1,0)</f>
        <v>1</v>
      </c>
      <c r="S48" cm="1">
        <f t="array" ref="S48">_xll.VALEURCOURBE($A$2,_xlfn.CONCAT("THEME14=",$B48),SCENARIOS!$A$2,SCENARIOS!$B$2,YIELDS_youvert!S$1,0)</f>
        <v>1</v>
      </c>
      <c r="T48" cm="1">
        <f t="array" ref="T48">_xll.VALEURCOURBE($A$2,_xlfn.CONCAT("THEME14=",$B48),SCENARIOS!$A$2,SCENARIOS!$B$2,YIELDS_youvert!T$1,0)</f>
        <v>1</v>
      </c>
      <c r="U48" cm="1">
        <f t="array" ref="U48">_xll.VALEURCOURBE($A$2,_xlfn.CONCAT("THEME14=",$B48),SCENARIOS!$A$2,SCENARIOS!$B$2,YIELDS_youvert!U$1,0)</f>
        <v>1</v>
      </c>
      <c r="V48" cm="1">
        <f t="array" ref="V48">_xll.VALEURCOURBE($A$2,_xlfn.CONCAT("THEME14=",$B48),SCENARIOS!$A$2,SCENARIOS!$B$2,YIELDS_youvert!V$1,0)</f>
        <v>1</v>
      </c>
      <c r="W48" cm="1">
        <f t="array" ref="W48">_xll.VALEURCOURBE($A$2,_xlfn.CONCAT("THEME14=",$B48),SCENARIOS!$A$2,SCENARIOS!$B$2,YIELDS_youvert!W$1,0)</f>
        <v>1</v>
      </c>
      <c r="X48" cm="1">
        <f t="array" ref="X48">_xll.VALEURCOURBE($A$2,_xlfn.CONCAT("THEME14=",$B48),SCENARIOS!$A$2,SCENARIOS!$B$2,YIELDS_youvert!X$1,0)</f>
        <v>1</v>
      </c>
      <c r="Y48" cm="1">
        <f t="array" ref="Y48">_xll.VALEURCOURBE($A$2,_xlfn.CONCAT("THEME14=",$B48),SCENARIOS!$A$2,SCENARIOS!$B$2,YIELDS_youvert!Y$1,0)</f>
        <v>1</v>
      </c>
      <c r="Z48" cm="1">
        <f t="array" ref="Z48">_xll.VALEURCOURBE($A$2,_xlfn.CONCAT("THEME14=",$B48),SCENARIOS!$A$2,SCENARIOS!$B$2,YIELDS_youvert!Z$1,0)</f>
        <v>1</v>
      </c>
      <c r="AA48" cm="1">
        <f t="array" ref="AA48">_xll.VALEURCOURBE($A$2,_xlfn.CONCAT("THEME14=",$B48),SCENARIOS!$A$2,SCENARIOS!$B$2,YIELDS_youvert!AA$1,0)</f>
        <v>1</v>
      </c>
      <c r="AB48" cm="1">
        <f t="array" ref="AB48">_xll.VALEURCOURBE($A$2,_xlfn.CONCAT("THEME14=",$B48),SCENARIOS!$A$2,SCENARIOS!$B$2,YIELDS_youvert!AB$1,0)</f>
        <v>1</v>
      </c>
      <c r="AC48" cm="1">
        <f t="array" ref="AC48">_xll.VALEURCOURBE($A$2,_xlfn.CONCAT("THEME14=",$B48),SCENARIOS!$A$2,SCENARIOS!$B$2,YIELDS_youvert!AC$1,0)</f>
        <v>1</v>
      </c>
      <c r="AD48" cm="1">
        <f t="array" ref="AD48">_xll.VALEURCOURBE($A$2,_xlfn.CONCAT("THEME14=",$B48),SCENARIOS!$A$2,SCENARIOS!$B$2,YIELDS_youvert!AD$1,0)</f>
        <v>1</v>
      </c>
      <c r="AE48" cm="1">
        <f t="array" ref="AE48">_xll.VALEURCOURBE($A$2,_xlfn.CONCAT("THEME14=",$B48),SCENARIOS!$A$2,SCENARIOS!$B$2,YIELDS_youvert!AE$1,0)</f>
        <v>1</v>
      </c>
    </row>
    <row r="49" spans="3:31" x14ac:dyDescent="0.25">
      <c r="C49" cm="1">
        <f t="array" ref="C49">_xll.VALEURCOURBE($A$2,_xlfn.CONCAT("THEME14=",$B49),SCENARIOS!$A$2,SCENARIOS!$B$2,YIELDS_youvert!C$1,0)</f>
        <v>1</v>
      </c>
      <c r="D49" cm="1">
        <f t="array" ref="D49">_xll.VALEURCOURBE($A$2,_xlfn.CONCAT("THEME14=",$B49),SCENARIOS!$A$2,SCENARIOS!$B$2,YIELDS_youvert!D$1,0)</f>
        <v>1</v>
      </c>
      <c r="E49" cm="1">
        <f t="array" ref="E49">_xll.VALEURCOURBE($A$2,_xlfn.CONCAT("THEME14=",$B49),SCENARIOS!$A$2,SCENARIOS!$B$2,YIELDS_youvert!E$1,0)</f>
        <v>1</v>
      </c>
      <c r="F49" cm="1">
        <f t="array" ref="F49">_xll.VALEURCOURBE($A$2,_xlfn.CONCAT("THEME14=",$B49),SCENARIOS!$A$2,SCENARIOS!$B$2,YIELDS_youvert!F$1,0)</f>
        <v>1</v>
      </c>
      <c r="G49" cm="1">
        <f t="array" ref="G49">_xll.VALEURCOURBE($A$2,_xlfn.CONCAT("THEME14=",$B49),SCENARIOS!$A$2,SCENARIOS!$B$2,YIELDS_youvert!G$1,0)</f>
        <v>1</v>
      </c>
      <c r="H49" cm="1">
        <f t="array" ref="H49">_xll.VALEURCOURBE($A$2,_xlfn.CONCAT("THEME14=",$B49),SCENARIOS!$A$2,SCENARIOS!$B$2,YIELDS_youvert!H$1,0)</f>
        <v>1</v>
      </c>
      <c r="I49" cm="1">
        <f t="array" ref="I49">_xll.VALEURCOURBE($A$2,_xlfn.CONCAT("THEME14=",$B49),SCENARIOS!$A$2,SCENARIOS!$B$2,YIELDS_youvert!I$1,0)</f>
        <v>1</v>
      </c>
      <c r="J49" cm="1">
        <f t="array" ref="J49">_xll.VALEURCOURBE($A$2,_xlfn.CONCAT("THEME14=",$B49),SCENARIOS!$A$2,SCENARIOS!$B$2,YIELDS_youvert!J$1,0)</f>
        <v>1</v>
      </c>
      <c r="K49" cm="1">
        <f t="array" ref="K49">_xll.VALEURCOURBE($A$2,_xlfn.CONCAT("THEME14=",$B49),SCENARIOS!$A$2,SCENARIOS!$B$2,YIELDS_youvert!K$1,0)</f>
        <v>1</v>
      </c>
      <c r="L49" cm="1">
        <f t="array" ref="L49">_xll.VALEURCOURBE($A$2,_xlfn.CONCAT("THEME14=",$B49),SCENARIOS!$A$2,SCENARIOS!$B$2,YIELDS_youvert!L$1,0)</f>
        <v>1</v>
      </c>
      <c r="M49" cm="1">
        <f t="array" ref="M49">_xll.VALEURCOURBE($A$2,_xlfn.CONCAT("THEME14=",$B49),SCENARIOS!$A$2,SCENARIOS!$B$2,YIELDS_youvert!M$1,0)</f>
        <v>1</v>
      </c>
      <c r="N49" cm="1">
        <f t="array" ref="N49">_xll.VALEURCOURBE($A$2,_xlfn.CONCAT("THEME14=",$B49),SCENARIOS!$A$2,SCENARIOS!$B$2,YIELDS_youvert!N$1,0)</f>
        <v>1</v>
      </c>
      <c r="O49" cm="1">
        <f t="array" ref="O49">_xll.VALEURCOURBE($A$2,_xlfn.CONCAT("THEME14=",$B49),SCENARIOS!$A$2,SCENARIOS!$B$2,YIELDS_youvert!O$1,0)</f>
        <v>1</v>
      </c>
      <c r="P49" cm="1">
        <f t="array" ref="P49">_xll.VALEURCOURBE($A$2,_xlfn.CONCAT("THEME14=",$B49),SCENARIOS!$A$2,SCENARIOS!$B$2,YIELDS_youvert!P$1,0)</f>
        <v>1</v>
      </c>
      <c r="Q49" cm="1">
        <f t="array" ref="Q49">_xll.VALEURCOURBE($A$2,_xlfn.CONCAT("THEME14=",$B49),SCENARIOS!$A$2,SCENARIOS!$B$2,YIELDS_youvert!Q$1,0)</f>
        <v>1</v>
      </c>
      <c r="R49" cm="1">
        <f t="array" ref="R49">_xll.VALEURCOURBE($A$2,_xlfn.CONCAT("THEME14=",$B49),SCENARIOS!$A$2,SCENARIOS!$B$2,YIELDS_youvert!R$1,0)</f>
        <v>1</v>
      </c>
      <c r="S49" cm="1">
        <f t="array" ref="S49">_xll.VALEURCOURBE($A$2,_xlfn.CONCAT("THEME14=",$B49),SCENARIOS!$A$2,SCENARIOS!$B$2,YIELDS_youvert!S$1,0)</f>
        <v>1</v>
      </c>
      <c r="T49" cm="1">
        <f t="array" ref="T49">_xll.VALEURCOURBE($A$2,_xlfn.CONCAT("THEME14=",$B49),SCENARIOS!$A$2,SCENARIOS!$B$2,YIELDS_youvert!T$1,0)</f>
        <v>1</v>
      </c>
      <c r="U49" cm="1">
        <f t="array" ref="U49">_xll.VALEURCOURBE($A$2,_xlfn.CONCAT("THEME14=",$B49),SCENARIOS!$A$2,SCENARIOS!$B$2,YIELDS_youvert!U$1,0)</f>
        <v>1</v>
      </c>
      <c r="V49" cm="1">
        <f t="array" ref="V49">_xll.VALEURCOURBE($A$2,_xlfn.CONCAT("THEME14=",$B49),SCENARIOS!$A$2,SCENARIOS!$B$2,YIELDS_youvert!V$1,0)</f>
        <v>1</v>
      </c>
      <c r="W49" cm="1">
        <f t="array" ref="W49">_xll.VALEURCOURBE($A$2,_xlfn.CONCAT("THEME14=",$B49),SCENARIOS!$A$2,SCENARIOS!$B$2,YIELDS_youvert!W$1,0)</f>
        <v>1</v>
      </c>
      <c r="X49" cm="1">
        <f t="array" ref="X49">_xll.VALEURCOURBE($A$2,_xlfn.CONCAT("THEME14=",$B49),SCENARIOS!$A$2,SCENARIOS!$B$2,YIELDS_youvert!X$1,0)</f>
        <v>1</v>
      </c>
      <c r="Y49" cm="1">
        <f t="array" ref="Y49">_xll.VALEURCOURBE($A$2,_xlfn.CONCAT("THEME14=",$B49),SCENARIOS!$A$2,SCENARIOS!$B$2,YIELDS_youvert!Y$1,0)</f>
        <v>1</v>
      </c>
      <c r="Z49" cm="1">
        <f t="array" ref="Z49">_xll.VALEURCOURBE($A$2,_xlfn.CONCAT("THEME14=",$B49),SCENARIOS!$A$2,SCENARIOS!$B$2,YIELDS_youvert!Z$1,0)</f>
        <v>1</v>
      </c>
      <c r="AA49" cm="1">
        <f t="array" ref="AA49">_xll.VALEURCOURBE($A$2,_xlfn.CONCAT("THEME14=",$B49),SCENARIOS!$A$2,SCENARIOS!$B$2,YIELDS_youvert!AA$1,0)</f>
        <v>1</v>
      </c>
      <c r="AB49" cm="1">
        <f t="array" ref="AB49">_xll.VALEURCOURBE($A$2,_xlfn.CONCAT("THEME14=",$B49),SCENARIOS!$A$2,SCENARIOS!$B$2,YIELDS_youvert!AB$1,0)</f>
        <v>1</v>
      </c>
      <c r="AC49" cm="1">
        <f t="array" ref="AC49">_xll.VALEURCOURBE($A$2,_xlfn.CONCAT("THEME14=",$B49),SCENARIOS!$A$2,SCENARIOS!$B$2,YIELDS_youvert!AC$1,0)</f>
        <v>1</v>
      </c>
      <c r="AD49" cm="1">
        <f t="array" ref="AD49">_xll.VALEURCOURBE($A$2,_xlfn.CONCAT("THEME14=",$B49),SCENARIOS!$A$2,SCENARIOS!$B$2,YIELDS_youvert!AD$1,0)</f>
        <v>1</v>
      </c>
      <c r="AE49" cm="1">
        <f t="array" ref="AE49">_xll.VALEURCOURBE($A$2,_xlfn.CONCAT("THEME14=",$B49),SCENARIOS!$A$2,SCENARIOS!$B$2,YIELDS_youvert!AE$1,0)</f>
        <v>1</v>
      </c>
    </row>
    <row r="50" spans="3:31" x14ac:dyDescent="0.25">
      <c r="C50" cm="1">
        <f t="array" ref="C50">_xll.VALEURCOURBE($A$2,_xlfn.CONCAT("THEME14=",$B50),SCENARIOS!$A$2,SCENARIOS!$B$2,YIELDS_youvert!C$1,0)</f>
        <v>1</v>
      </c>
      <c r="D50" cm="1">
        <f t="array" ref="D50">_xll.VALEURCOURBE($A$2,_xlfn.CONCAT("THEME14=",$B50),SCENARIOS!$A$2,SCENARIOS!$B$2,YIELDS_youvert!D$1,0)</f>
        <v>1</v>
      </c>
      <c r="E50" cm="1">
        <f t="array" ref="E50">_xll.VALEURCOURBE($A$2,_xlfn.CONCAT("THEME14=",$B50),SCENARIOS!$A$2,SCENARIOS!$B$2,YIELDS_youvert!E$1,0)</f>
        <v>1</v>
      </c>
      <c r="F50" cm="1">
        <f t="array" ref="F50">_xll.VALEURCOURBE($A$2,_xlfn.CONCAT("THEME14=",$B50),SCENARIOS!$A$2,SCENARIOS!$B$2,YIELDS_youvert!F$1,0)</f>
        <v>1</v>
      </c>
      <c r="G50" cm="1">
        <f t="array" ref="G50">_xll.VALEURCOURBE($A$2,_xlfn.CONCAT("THEME14=",$B50),SCENARIOS!$A$2,SCENARIOS!$B$2,YIELDS_youvert!G$1,0)</f>
        <v>1</v>
      </c>
      <c r="H50" cm="1">
        <f t="array" ref="H50">_xll.VALEURCOURBE($A$2,_xlfn.CONCAT("THEME14=",$B50),SCENARIOS!$A$2,SCENARIOS!$B$2,YIELDS_youvert!H$1,0)</f>
        <v>1</v>
      </c>
      <c r="I50" cm="1">
        <f t="array" ref="I50">_xll.VALEURCOURBE($A$2,_xlfn.CONCAT("THEME14=",$B50),SCENARIOS!$A$2,SCENARIOS!$B$2,YIELDS_youvert!I$1,0)</f>
        <v>1</v>
      </c>
      <c r="J50" cm="1">
        <f t="array" ref="J50">_xll.VALEURCOURBE($A$2,_xlfn.CONCAT("THEME14=",$B50),SCENARIOS!$A$2,SCENARIOS!$B$2,YIELDS_youvert!J$1,0)</f>
        <v>1</v>
      </c>
      <c r="K50" cm="1">
        <f t="array" ref="K50">_xll.VALEURCOURBE($A$2,_xlfn.CONCAT("THEME14=",$B50),SCENARIOS!$A$2,SCENARIOS!$B$2,YIELDS_youvert!K$1,0)</f>
        <v>1</v>
      </c>
      <c r="L50" cm="1">
        <f t="array" ref="L50">_xll.VALEURCOURBE($A$2,_xlfn.CONCAT("THEME14=",$B50),SCENARIOS!$A$2,SCENARIOS!$B$2,YIELDS_youvert!L$1,0)</f>
        <v>1</v>
      </c>
      <c r="M50" cm="1">
        <f t="array" ref="M50">_xll.VALEURCOURBE($A$2,_xlfn.CONCAT("THEME14=",$B50),SCENARIOS!$A$2,SCENARIOS!$B$2,YIELDS_youvert!M$1,0)</f>
        <v>1</v>
      </c>
      <c r="N50" cm="1">
        <f t="array" ref="N50">_xll.VALEURCOURBE($A$2,_xlfn.CONCAT("THEME14=",$B50),SCENARIOS!$A$2,SCENARIOS!$B$2,YIELDS_youvert!N$1,0)</f>
        <v>1</v>
      </c>
      <c r="O50" cm="1">
        <f t="array" ref="O50">_xll.VALEURCOURBE($A$2,_xlfn.CONCAT("THEME14=",$B50),SCENARIOS!$A$2,SCENARIOS!$B$2,YIELDS_youvert!O$1,0)</f>
        <v>1</v>
      </c>
      <c r="P50" cm="1">
        <f t="array" ref="P50">_xll.VALEURCOURBE($A$2,_xlfn.CONCAT("THEME14=",$B50),SCENARIOS!$A$2,SCENARIOS!$B$2,YIELDS_youvert!P$1,0)</f>
        <v>1</v>
      </c>
      <c r="Q50" cm="1">
        <f t="array" ref="Q50">_xll.VALEURCOURBE($A$2,_xlfn.CONCAT("THEME14=",$B50),SCENARIOS!$A$2,SCENARIOS!$B$2,YIELDS_youvert!Q$1,0)</f>
        <v>1</v>
      </c>
      <c r="R50" cm="1">
        <f t="array" ref="R50">_xll.VALEURCOURBE($A$2,_xlfn.CONCAT("THEME14=",$B50),SCENARIOS!$A$2,SCENARIOS!$B$2,YIELDS_youvert!R$1,0)</f>
        <v>1</v>
      </c>
      <c r="S50" cm="1">
        <f t="array" ref="S50">_xll.VALEURCOURBE($A$2,_xlfn.CONCAT("THEME14=",$B50),SCENARIOS!$A$2,SCENARIOS!$B$2,YIELDS_youvert!S$1,0)</f>
        <v>1</v>
      </c>
      <c r="T50" cm="1">
        <f t="array" ref="T50">_xll.VALEURCOURBE($A$2,_xlfn.CONCAT("THEME14=",$B50),SCENARIOS!$A$2,SCENARIOS!$B$2,YIELDS_youvert!T$1,0)</f>
        <v>1</v>
      </c>
      <c r="U50" cm="1">
        <f t="array" ref="U50">_xll.VALEURCOURBE($A$2,_xlfn.CONCAT("THEME14=",$B50),SCENARIOS!$A$2,SCENARIOS!$B$2,YIELDS_youvert!U$1,0)</f>
        <v>1</v>
      </c>
      <c r="V50" cm="1">
        <f t="array" ref="V50">_xll.VALEURCOURBE($A$2,_xlfn.CONCAT("THEME14=",$B50),SCENARIOS!$A$2,SCENARIOS!$B$2,YIELDS_youvert!V$1,0)</f>
        <v>1</v>
      </c>
      <c r="W50" cm="1">
        <f t="array" ref="W50">_xll.VALEURCOURBE($A$2,_xlfn.CONCAT("THEME14=",$B50),SCENARIOS!$A$2,SCENARIOS!$B$2,YIELDS_youvert!W$1,0)</f>
        <v>1</v>
      </c>
      <c r="X50" cm="1">
        <f t="array" ref="X50">_xll.VALEURCOURBE($A$2,_xlfn.CONCAT("THEME14=",$B50),SCENARIOS!$A$2,SCENARIOS!$B$2,YIELDS_youvert!X$1,0)</f>
        <v>1</v>
      </c>
      <c r="Y50" cm="1">
        <f t="array" ref="Y50">_xll.VALEURCOURBE($A$2,_xlfn.CONCAT("THEME14=",$B50),SCENARIOS!$A$2,SCENARIOS!$B$2,YIELDS_youvert!Y$1,0)</f>
        <v>1</v>
      </c>
      <c r="Z50" cm="1">
        <f t="array" ref="Z50">_xll.VALEURCOURBE($A$2,_xlfn.CONCAT("THEME14=",$B50),SCENARIOS!$A$2,SCENARIOS!$B$2,YIELDS_youvert!Z$1,0)</f>
        <v>1</v>
      </c>
      <c r="AA50" cm="1">
        <f t="array" ref="AA50">_xll.VALEURCOURBE($A$2,_xlfn.CONCAT("THEME14=",$B50),SCENARIOS!$A$2,SCENARIOS!$B$2,YIELDS_youvert!AA$1,0)</f>
        <v>1</v>
      </c>
      <c r="AB50" cm="1">
        <f t="array" ref="AB50">_xll.VALEURCOURBE($A$2,_xlfn.CONCAT("THEME14=",$B50),SCENARIOS!$A$2,SCENARIOS!$B$2,YIELDS_youvert!AB$1,0)</f>
        <v>1</v>
      </c>
      <c r="AC50" cm="1">
        <f t="array" ref="AC50">_xll.VALEURCOURBE($A$2,_xlfn.CONCAT("THEME14=",$B50),SCENARIOS!$A$2,SCENARIOS!$B$2,YIELDS_youvert!AC$1,0)</f>
        <v>1</v>
      </c>
      <c r="AD50" cm="1">
        <f t="array" ref="AD50">_xll.VALEURCOURBE($A$2,_xlfn.CONCAT("THEME14=",$B50),SCENARIOS!$A$2,SCENARIOS!$B$2,YIELDS_youvert!AD$1,0)</f>
        <v>1</v>
      </c>
      <c r="AE50" cm="1">
        <f t="array" ref="AE50">_xll.VALEURCOURBE($A$2,_xlfn.CONCAT("THEME14=",$B50),SCENARIOS!$A$2,SCENARIOS!$B$2,YIELDS_youvert!AE$1,0)</f>
        <v>1</v>
      </c>
    </row>
    <row r="51" spans="3:31" x14ac:dyDescent="0.25">
      <c r="C51" cm="1">
        <f t="array" ref="C51">_xll.VALEURCOURBE($A$2,_xlfn.CONCAT("THEME14=",$B51),SCENARIOS!$A$2,SCENARIOS!$B$2,YIELDS_youvert!C$1,0)</f>
        <v>1</v>
      </c>
      <c r="D51" cm="1">
        <f t="array" ref="D51">_xll.VALEURCOURBE($A$2,_xlfn.CONCAT("THEME14=",$B51),SCENARIOS!$A$2,SCENARIOS!$B$2,YIELDS_youvert!D$1,0)</f>
        <v>1</v>
      </c>
      <c r="E51" cm="1">
        <f t="array" ref="E51">_xll.VALEURCOURBE($A$2,_xlfn.CONCAT("THEME14=",$B51),SCENARIOS!$A$2,SCENARIOS!$B$2,YIELDS_youvert!E$1,0)</f>
        <v>1</v>
      </c>
      <c r="F51" cm="1">
        <f t="array" ref="F51">_xll.VALEURCOURBE($A$2,_xlfn.CONCAT("THEME14=",$B51),SCENARIOS!$A$2,SCENARIOS!$B$2,YIELDS_youvert!F$1,0)</f>
        <v>1</v>
      </c>
      <c r="G51" cm="1">
        <f t="array" ref="G51">_xll.VALEURCOURBE($A$2,_xlfn.CONCAT("THEME14=",$B51),SCENARIOS!$A$2,SCENARIOS!$B$2,YIELDS_youvert!G$1,0)</f>
        <v>1</v>
      </c>
      <c r="H51" cm="1">
        <f t="array" ref="H51">_xll.VALEURCOURBE($A$2,_xlfn.CONCAT("THEME14=",$B51),SCENARIOS!$A$2,SCENARIOS!$B$2,YIELDS_youvert!H$1,0)</f>
        <v>1</v>
      </c>
      <c r="I51" cm="1">
        <f t="array" ref="I51">_xll.VALEURCOURBE($A$2,_xlfn.CONCAT("THEME14=",$B51),SCENARIOS!$A$2,SCENARIOS!$B$2,YIELDS_youvert!I$1,0)</f>
        <v>1</v>
      </c>
      <c r="J51" cm="1">
        <f t="array" ref="J51">_xll.VALEURCOURBE($A$2,_xlfn.CONCAT("THEME14=",$B51),SCENARIOS!$A$2,SCENARIOS!$B$2,YIELDS_youvert!J$1,0)</f>
        <v>1</v>
      </c>
      <c r="K51" cm="1">
        <f t="array" ref="K51">_xll.VALEURCOURBE($A$2,_xlfn.CONCAT("THEME14=",$B51),SCENARIOS!$A$2,SCENARIOS!$B$2,YIELDS_youvert!K$1,0)</f>
        <v>1</v>
      </c>
      <c r="L51" cm="1">
        <f t="array" ref="L51">_xll.VALEURCOURBE($A$2,_xlfn.CONCAT("THEME14=",$B51),SCENARIOS!$A$2,SCENARIOS!$B$2,YIELDS_youvert!L$1,0)</f>
        <v>1</v>
      </c>
      <c r="M51" cm="1">
        <f t="array" ref="M51">_xll.VALEURCOURBE($A$2,_xlfn.CONCAT("THEME14=",$B51),SCENARIOS!$A$2,SCENARIOS!$B$2,YIELDS_youvert!M$1,0)</f>
        <v>1</v>
      </c>
      <c r="N51" cm="1">
        <f t="array" ref="N51">_xll.VALEURCOURBE($A$2,_xlfn.CONCAT("THEME14=",$B51),SCENARIOS!$A$2,SCENARIOS!$B$2,YIELDS_youvert!N$1,0)</f>
        <v>1</v>
      </c>
      <c r="O51" cm="1">
        <f t="array" ref="O51">_xll.VALEURCOURBE($A$2,_xlfn.CONCAT("THEME14=",$B51),SCENARIOS!$A$2,SCENARIOS!$B$2,YIELDS_youvert!O$1,0)</f>
        <v>1</v>
      </c>
      <c r="P51" cm="1">
        <f t="array" ref="P51">_xll.VALEURCOURBE($A$2,_xlfn.CONCAT("THEME14=",$B51),SCENARIOS!$A$2,SCENARIOS!$B$2,YIELDS_youvert!P$1,0)</f>
        <v>1</v>
      </c>
      <c r="Q51" cm="1">
        <f t="array" ref="Q51">_xll.VALEURCOURBE($A$2,_xlfn.CONCAT("THEME14=",$B51),SCENARIOS!$A$2,SCENARIOS!$B$2,YIELDS_youvert!Q$1,0)</f>
        <v>1</v>
      </c>
      <c r="R51" cm="1">
        <f t="array" ref="R51">_xll.VALEURCOURBE($A$2,_xlfn.CONCAT("THEME14=",$B51),SCENARIOS!$A$2,SCENARIOS!$B$2,YIELDS_youvert!R$1,0)</f>
        <v>1</v>
      </c>
      <c r="S51" cm="1">
        <f t="array" ref="S51">_xll.VALEURCOURBE($A$2,_xlfn.CONCAT("THEME14=",$B51),SCENARIOS!$A$2,SCENARIOS!$B$2,YIELDS_youvert!S$1,0)</f>
        <v>1</v>
      </c>
      <c r="T51" cm="1">
        <f t="array" ref="T51">_xll.VALEURCOURBE($A$2,_xlfn.CONCAT("THEME14=",$B51),SCENARIOS!$A$2,SCENARIOS!$B$2,YIELDS_youvert!T$1,0)</f>
        <v>1</v>
      </c>
      <c r="U51" cm="1">
        <f t="array" ref="U51">_xll.VALEURCOURBE($A$2,_xlfn.CONCAT("THEME14=",$B51),SCENARIOS!$A$2,SCENARIOS!$B$2,YIELDS_youvert!U$1,0)</f>
        <v>1</v>
      </c>
      <c r="V51" cm="1">
        <f t="array" ref="V51">_xll.VALEURCOURBE($A$2,_xlfn.CONCAT("THEME14=",$B51),SCENARIOS!$A$2,SCENARIOS!$B$2,YIELDS_youvert!V$1,0)</f>
        <v>1</v>
      </c>
      <c r="W51" cm="1">
        <f t="array" ref="W51">_xll.VALEURCOURBE($A$2,_xlfn.CONCAT("THEME14=",$B51),SCENARIOS!$A$2,SCENARIOS!$B$2,YIELDS_youvert!W$1,0)</f>
        <v>1</v>
      </c>
      <c r="X51" cm="1">
        <f t="array" ref="X51">_xll.VALEURCOURBE($A$2,_xlfn.CONCAT("THEME14=",$B51),SCENARIOS!$A$2,SCENARIOS!$B$2,YIELDS_youvert!X$1,0)</f>
        <v>1</v>
      </c>
      <c r="Y51" cm="1">
        <f t="array" ref="Y51">_xll.VALEURCOURBE($A$2,_xlfn.CONCAT("THEME14=",$B51),SCENARIOS!$A$2,SCENARIOS!$B$2,YIELDS_youvert!Y$1,0)</f>
        <v>1</v>
      </c>
      <c r="Z51" cm="1">
        <f t="array" ref="Z51">_xll.VALEURCOURBE($A$2,_xlfn.CONCAT("THEME14=",$B51),SCENARIOS!$A$2,SCENARIOS!$B$2,YIELDS_youvert!Z$1,0)</f>
        <v>1</v>
      </c>
      <c r="AA51" cm="1">
        <f t="array" ref="AA51">_xll.VALEURCOURBE($A$2,_xlfn.CONCAT("THEME14=",$B51),SCENARIOS!$A$2,SCENARIOS!$B$2,YIELDS_youvert!AA$1,0)</f>
        <v>1</v>
      </c>
      <c r="AB51" cm="1">
        <f t="array" ref="AB51">_xll.VALEURCOURBE($A$2,_xlfn.CONCAT("THEME14=",$B51),SCENARIOS!$A$2,SCENARIOS!$B$2,YIELDS_youvert!AB$1,0)</f>
        <v>1</v>
      </c>
      <c r="AC51" cm="1">
        <f t="array" ref="AC51">_xll.VALEURCOURBE($A$2,_xlfn.CONCAT("THEME14=",$B51),SCENARIOS!$A$2,SCENARIOS!$B$2,YIELDS_youvert!AC$1,0)</f>
        <v>1</v>
      </c>
      <c r="AD51" cm="1">
        <f t="array" ref="AD51">_xll.VALEURCOURBE($A$2,_xlfn.CONCAT("THEME14=",$B51),SCENARIOS!$A$2,SCENARIOS!$B$2,YIELDS_youvert!AD$1,0)</f>
        <v>1</v>
      </c>
      <c r="AE51" cm="1">
        <f t="array" ref="AE51">_xll.VALEURCOURBE($A$2,_xlfn.CONCAT("THEME14=",$B51),SCENARIOS!$A$2,SCENARIOS!$B$2,YIELDS_youvert!AE$1,0)</f>
        <v>1</v>
      </c>
    </row>
    <row r="52" spans="3:31" x14ac:dyDescent="0.25">
      <c r="C52" cm="1">
        <f t="array" ref="C52">_xll.VALEURCOURBE($A$2,_xlfn.CONCAT("THEME14=",$B52),SCENARIOS!$A$2,SCENARIOS!$B$2,YIELDS_youvert!C$1,0)</f>
        <v>1</v>
      </c>
      <c r="D52" cm="1">
        <f t="array" ref="D52">_xll.VALEURCOURBE($A$2,_xlfn.CONCAT("THEME14=",$B52),SCENARIOS!$A$2,SCENARIOS!$B$2,YIELDS_youvert!D$1,0)</f>
        <v>1</v>
      </c>
      <c r="E52" cm="1">
        <f t="array" ref="E52">_xll.VALEURCOURBE($A$2,_xlfn.CONCAT("THEME14=",$B52),SCENARIOS!$A$2,SCENARIOS!$B$2,YIELDS_youvert!E$1,0)</f>
        <v>1</v>
      </c>
      <c r="F52" cm="1">
        <f t="array" ref="F52">_xll.VALEURCOURBE($A$2,_xlfn.CONCAT("THEME14=",$B52),SCENARIOS!$A$2,SCENARIOS!$B$2,YIELDS_youvert!F$1,0)</f>
        <v>1</v>
      </c>
      <c r="G52" cm="1">
        <f t="array" ref="G52">_xll.VALEURCOURBE($A$2,_xlfn.CONCAT("THEME14=",$B52),SCENARIOS!$A$2,SCENARIOS!$B$2,YIELDS_youvert!G$1,0)</f>
        <v>1</v>
      </c>
      <c r="H52" cm="1">
        <f t="array" ref="H52">_xll.VALEURCOURBE($A$2,_xlfn.CONCAT("THEME14=",$B52),SCENARIOS!$A$2,SCENARIOS!$B$2,YIELDS_youvert!H$1,0)</f>
        <v>1</v>
      </c>
      <c r="I52" cm="1">
        <f t="array" ref="I52">_xll.VALEURCOURBE($A$2,_xlfn.CONCAT("THEME14=",$B52),SCENARIOS!$A$2,SCENARIOS!$B$2,YIELDS_youvert!I$1,0)</f>
        <v>1</v>
      </c>
      <c r="J52" cm="1">
        <f t="array" ref="J52">_xll.VALEURCOURBE($A$2,_xlfn.CONCAT("THEME14=",$B52),SCENARIOS!$A$2,SCENARIOS!$B$2,YIELDS_youvert!J$1,0)</f>
        <v>1</v>
      </c>
      <c r="K52" cm="1">
        <f t="array" ref="K52">_xll.VALEURCOURBE($A$2,_xlfn.CONCAT("THEME14=",$B52),SCENARIOS!$A$2,SCENARIOS!$B$2,YIELDS_youvert!K$1,0)</f>
        <v>1</v>
      </c>
      <c r="L52" cm="1">
        <f t="array" ref="L52">_xll.VALEURCOURBE($A$2,_xlfn.CONCAT("THEME14=",$B52),SCENARIOS!$A$2,SCENARIOS!$B$2,YIELDS_youvert!L$1,0)</f>
        <v>1</v>
      </c>
      <c r="M52" cm="1">
        <f t="array" ref="M52">_xll.VALEURCOURBE($A$2,_xlfn.CONCAT("THEME14=",$B52),SCENARIOS!$A$2,SCENARIOS!$B$2,YIELDS_youvert!M$1,0)</f>
        <v>1</v>
      </c>
      <c r="N52" cm="1">
        <f t="array" ref="N52">_xll.VALEURCOURBE($A$2,_xlfn.CONCAT("THEME14=",$B52),SCENARIOS!$A$2,SCENARIOS!$B$2,YIELDS_youvert!N$1,0)</f>
        <v>1</v>
      </c>
      <c r="O52" cm="1">
        <f t="array" ref="O52">_xll.VALEURCOURBE($A$2,_xlfn.CONCAT("THEME14=",$B52),SCENARIOS!$A$2,SCENARIOS!$B$2,YIELDS_youvert!O$1,0)</f>
        <v>1</v>
      </c>
      <c r="P52" cm="1">
        <f t="array" ref="P52">_xll.VALEURCOURBE($A$2,_xlfn.CONCAT("THEME14=",$B52),SCENARIOS!$A$2,SCENARIOS!$B$2,YIELDS_youvert!P$1,0)</f>
        <v>1</v>
      </c>
      <c r="Q52" cm="1">
        <f t="array" ref="Q52">_xll.VALEURCOURBE($A$2,_xlfn.CONCAT("THEME14=",$B52),SCENARIOS!$A$2,SCENARIOS!$B$2,YIELDS_youvert!Q$1,0)</f>
        <v>1</v>
      </c>
      <c r="R52" cm="1">
        <f t="array" ref="R52">_xll.VALEURCOURBE($A$2,_xlfn.CONCAT("THEME14=",$B52),SCENARIOS!$A$2,SCENARIOS!$B$2,YIELDS_youvert!R$1,0)</f>
        <v>1</v>
      </c>
      <c r="S52" cm="1">
        <f t="array" ref="S52">_xll.VALEURCOURBE($A$2,_xlfn.CONCAT("THEME14=",$B52),SCENARIOS!$A$2,SCENARIOS!$B$2,YIELDS_youvert!S$1,0)</f>
        <v>1</v>
      </c>
      <c r="T52" cm="1">
        <f t="array" ref="T52">_xll.VALEURCOURBE($A$2,_xlfn.CONCAT("THEME14=",$B52),SCENARIOS!$A$2,SCENARIOS!$B$2,YIELDS_youvert!T$1,0)</f>
        <v>1</v>
      </c>
      <c r="U52" cm="1">
        <f t="array" ref="U52">_xll.VALEURCOURBE($A$2,_xlfn.CONCAT("THEME14=",$B52),SCENARIOS!$A$2,SCENARIOS!$B$2,YIELDS_youvert!U$1,0)</f>
        <v>1</v>
      </c>
      <c r="V52" cm="1">
        <f t="array" ref="V52">_xll.VALEURCOURBE($A$2,_xlfn.CONCAT("THEME14=",$B52),SCENARIOS!$A$2,SCENARIOS!$B$2,YIELDS_youvert!V$1,0)</f>
        <v>1</v>
      </c>
      <c r="W52" cm="1">
        <f t="array" ref="W52">_xll.VALEURCOURBE($A$2,_xlfn.CONCAT("THEME14=",$B52),SCENARIOS!$A$2,SCENARIOS!$B$2,YIELDS_youvert!W$1,0)</f>
        <v>1</v>
      </c>
      <c r="X52" cm="1">
        <f t="array" ref="X52">_xll.VALEURCOURBE($A$2,_xlfn.CONCAT("THEME14=",$B52),SCENARIOS!$A$2,SCENARIOS!$B$2,YIELDS_youvert!X$1,0)</f>
        <v>1</v>
      </c>
      <c r="Y52" cm="1">
        <f t="array" ref="Y52">_xll.VALEURCOURBE($A$2,_xlfn.CONCAT("THEME14=",$B52),SCENARIOS!$A$2,SCENARIOS!$B$2,YIELDS_youvert!Y$1,0)</f>
        <v>1</v>
      </c>
      <c r="Z52" cm="1">
        <f t="array" ref="Z52">_xll.VALEURCOURBE($A$2,_xlfn.CONCAT("THEME14=",$B52),SCENARIOS!$A$2,SCENARIOS!$B$2,YIELDS_youvert!Z$1,0)</f>
        <v>1</v>
      </c>
      <c r="AA52" cm="1">
        <f t="array" ref="AA52">_xll.VALEURCOURBE($A$2,_xlfn.CONCAT("THEME14=",$B52),SCENARIOS!$A$2,SCENARIOS!$B$2,YIELDS_youvert!AA$1,0)</f>
        <v>1</v>
      </c>
      <c r="AB52" cm="1">
        <f t="array" ref="AB52">_xll.VALEURCOURBE($A$2,_xlfn.CONCAT("THEME14=",$B52),SCENARIOS!$A$2,SCENARIOS!$B$2,YIELDS_youvert!AB$1,0)</f>
        <v>1</v>
      </c>
      <c r="AC52" cm="1">
        <f t="array" ref="AC52">_xll.VALEURCOURBE($A$2,_xlfn.CONCAT("THEME14=",$B52),SCENARIOS!$A$2,SCENARIOS!$B$2,YIELDS_youvert!AC$1,0)</f>
        <v>1</v>
      </c>
      <c r="AD52" cm="1">
        <f t="array" ref="AD52">_xll.VALEURCOURBE($A$2,_xlfn.CONCAT("THEME14=",$B52),SCENARIOS!$A$2,SCENARIOS!$B$2,YIELDS_youvert!AD$1,0)</f>
        <v>1</v>
      </c>
      <c r="AE52" cm="1">
        <f t="array" ref="AE52">_xll.VALEURCOURBE($A$2,_xlfn.CONCAT("THEME14=",$B52),SCENARIOS!$A$2,SCENARIOS!$B$2,YIELDS_youvert!AE$1,0)</f>
        <v>1</v>
      </c>
    </row>
    <row r="53" spans="3:31" x14ac:dyDescent="0.25">
      <c r="C53" cm="1">
        <f t="array" ref="C53">_xll.VALEURCOURBE($A$2,_xlfn.CONCAT("THEME14=",$B53),SCENARIOS!$A$2,SCENARIOS!$B$2,YIELDS_youvert!C$1,0)</f>
        <v>1</v>
      </c>
      <c r="D53" cm="1">
        <f t="array" ref="D53">_xll.VALEURCOURBE($A$2,_xlfn.CONCAT("THEME14=",$B53),SCENARIOS!$A$2,SCENARIOS!$B$2,YIELDS_youvert!D$1,0)</f>
        <v>1</v>
      </c>
      <c r="E53" cm="1">
        <f t="array" ref="E53">_xll.VALEURCOURBE($A$2,_xlfn.CONCAT("THEME14=",$B53),SCENARIOS!$A$2,SCENARIOS!$B$2,YIELDS_youvert!E$1,0)</f>
        <v>1</v>
      </c>
      <c r="F53" cm="1">
        <f t="array" ref="F53">_xll.VALEURCOURBE($A$2,_xlfn.CONCAT("THEME14=",$B53),SCENARIOS!$A$2,SCENARIOS!$B$2,YIELDS_youvert!F$1,0)</f>
        <v>1</v>
      </c>
      <c r="G53" cm="1">
        <f t="array" ref="G53">_xll.VALEURCOURBE($A$2,_xlfn.CONCAT("THEME14=",$B53),SCENARIOS!$A$2,SCENARIOS!$B$2,YIELDS_youvert!G$1,0)</f>
        <v>1</v>
      </c>
      <c r="H53" cm="1">
        <f t="array" ref="H53">_xll.VALEURCOURBE($A$2,_xlfn.CONCAT("THEME14=",$B53),SCENARIOS!$A$2,SCENARIOS!$B$2,YIELDS_youvert!H$1,0)</f>
        <v>1</v>
      </c>
      <c r="I53" cm="1">
        <f t="array" ref="I53">_xll.VALEURCOURBE($A$2,_xlfn.CONCAT("THEME14=",$B53),SCENARIOS!$A$2,SCENARIOS!$B$2,YIELDS_youvert!I$1,0)</f>
        <v>1</v>
      </c>
      <c r="J53" cm="1">
        <f t="array" ref="J53">_xll.VALEURCOURBE($A$2,_xlfn.CONCAT("THEME14=",$B53),SCENARIOS!$A$2,SCENARIOS!$B$2,YIELDS_youvert!J$1,0)</f>
        <v>1</v>
      </c>
      <c r="K53" cm="1">
        <f t="array" ref="K53">_xll.VALEURCOURBE($A$2,_xlfn.CONCAT("THEME14=",$B53),SCENARIOS!$A$2,SCENARIOS!$B$2,YIELDS_youvert!K$1,0)</f>
        <v>1</v>
      </c>
      <c r="L53" cm="1">
        <f t="array" ref="L53">_xll.VALEURCOURBE($A$2,_xlfn.CONCAT("THEME14=",$B53),SCENARIOS!$A$2,SCENARIOS!$B$2,YIELDS_youvert!L$1,0)</f>
        <v>1</v>
      </c>
      <c r="M53" cm="1">
        <f t="array" ref="M53">_xll.VALEURCOURBE($A$2,_xlfn.CONCAT("THEME14=",$B53),SCENARIOS!$A$2,SCENARIOS!$B$2,YIELDS_youvert!M$1,0)</f>
        <v>1</v>
      </c>
      <c r="N53" cm="1">
        <f t="array" ref="N53">_xll.VALEURCOURBE($A$2,_xlfn.CONCAT("THEME14=",$B53),SCENARIOS!$A$2,SCENARIOS!$B$2,YIELDS_youvert!N$1,0)</f>
        <v>1</v>
      </c>
      <c r="O53" cm="1">
        <f t="array" ref="O53">_xll.VALEURCOURBE($A$2,_xlfn.CONCAT("THEME14=",$B53),SCENARIOS!$A$2,SCENARIOS!$B$2,YIELDS_youvert!O$1,0)</f>
        <v>1</v>
      </c>
      <c r="P53" cm="1">
        <f t="array" ref="P53">_xll.VALEURCOURBE($A$2,_xlfn.CONCAT("THEME14=",$B53),SCENARIOS!$A$2,SCENARIOS!$B$2,YIELDS_youvert!P$1,0)</f>
        <v>1</v>
      </c>
      <c r="Q53" cm="1">
        <f t="array" ref="Q53">_xll.VALEURCOURBE($A$2,_xlfn.CONCAT("THEME14=",$B53),SCENARIOS!$A$2,SCENARIOS!$B$2,YIELDS_youvert!Q$1,0)</f>
        <v>1</v>
      </c>
      <c r="R53" cm="1">
        <f t="array" ref="R53">_xll.VALEURCOURBE($A$2,_xlfn.CONCAT("THEME14=",$B53),SCENARIOS!$A$2,SCENARIOS!$B$2,YIELDS_youvert!R$1,0)</f>
        <v>1</v>
      </c>
      <c r="S53" cm="1">
        <f t="array" ref="S53">_xll.VALEURCOURBE($A$2,_xlfn.CONCAT("THEME14=",$B53),SCENARIOS!$A$2,SCENARIOS!$B$2,YIELDS_youvert!S$1,0)</f>
        <v>1</v>
      </c>
      <c r="T53" cm="1">
        <f t="array" ref="T53">_xll.VALEURCOURBE($A$2,_xlfn.CONCAT("THEME14=",$B53),SCENARIOS!$A$2,SCENARIOS!$B$2,YIELDS_youvert!T$1,0)</f>
        <v>1</v>
      </c>
      <c r="U53" cm="1">
        <f t="array" ref="U53">_xll.VALEURCOURBE($A$2,_xlfn.CONCAT("THEME14=",$B53),SCENARIOS!$A$2,SCENARIOS!$B$2,YIELDS_youvert!U$1,0)</f>
        <v>1</v>
      </c>
      <c r="V53" cm="1">
        <f t="array" ref="V53">_xll.VALEURCOURBE($A$2,_xlfn.CONCAT("THEME14=",$B53),SCENARIOS!$A$2,SCENARIOS!$B$2,YIELDS_youvert!V$1,0)</f>
        <v>1</v>
      </c>
      <c r="W53" cm="1">
        <f t="array" ref="W53">_xll.VALEURCOURBE($A$2,_xlfn.CONCAT("THEME14=",$B53),SCENARIOS!$A$2,SCENARIOS!$B$2,YIELDS_youvert!W$1,0)</f>
        <v>1</v>
      </c>
      <c r="X53" cm="1">
        <f t="array" ref="X53">_xll.VALEURCOURBE($A$2,_xlfn.CONCAT("THEME14=",$B53),SCENARIOS!$A$2,SCENARIOS!$B$2,YIELDS_youvert!X$1,0)</f>
        <v>1</v>
      </c>
      <c r="Y53" cm="1">
        <f t="array" ref="Y53">_xll.VALEURCOURBE($A$2,_xlfn.CONCAT("THEME14=",$B53),SCENARIOS!$A$2,SCENARIOS!$B$2,YIELDS_youvert!Y$1,0)</f>
        <v>1</v>
      </c>
      <c r="Z53" cm="1">
        <f t="array" ref="Z53">_xll.VALEURCOURBE($A$2,_xlfn.CONCAT("THEME14=",$B53),SCENARIOS!$A$2,SCENARIOS!$B$2,YIELDS_youvert!Z$1,0)</f>
        <v>1</v>
      </c>
      <c r="AA53" cm="1">
        <f t="array" ref="AA53">_xll.VALEURCOURBE($A$2,_xlfn.CONCAT("THEME14=",$B53),SCENARIOS!$A$2,SCENARIOS!$B$2,YIELDS_youvert!AA$1,0)</f>
        <v>1</v>
      </c>
      <c r="AB53" cm="1">
        <f t="array" ref="AB53">_xll.VALEURCOURBE($A$2,_xlfn.CONCAT("THEME14=",$B53),SCENARIOS!$A$2,SCENARIOS!$B$2,YIELDS_youvert!AB$1,0)</f>
        <v>1</v>
      </c>
      <c r="AC53" cm="1">
        <f t="array" ref="AC53">_xll.VALEURCOURBE($A$2,_xlfn.CONCAT("THEME14=",$B53),SCENARIOS!$A$2,SCENARIOS!$B$2,YIELDS_youvert!AC$1,0)</f>
        <v>1</v>
      </c>
      <c r="AD53" cm="1">
        <f t="array" ref="AD53">_xll.VALEURCOURBE($A$2,_xlfn.CONCAT("THEME14=",$B53),SCENARIOS!$A$2,SCENARIOS!$B$2,YIELDS_youvert!AD$1,0)</f>
        <v>1</v>
      </c>
      <c r="AE53" cm="1">
        <f t="array" ref="AE53">_xll.VALEURCOURBE($A$2,_xlfn.CONCAT("THEME14=",$B53),SCENARIOS!$A$2,SCENARIOS!$B$2,YIELDS_youvert!AE$1,0)</f>
        <v>1</v>
      </c>
    </row>
    <row r="54" spans="3:31" x14ac:dyDescent="0.25">
      <c r="C54" cm="1">
        <f t="array" ref="C54">_xll.VALEURCOURBE($A$2,_xlfn.CONCAT("THEME14=",$B54),SCENARIOS!$A$2,SCENARIOS!$B$2,YIELDS_youvert!C$1,0)</f>
        <v>1</v>
      </c>
      <c r="D54" cm="1">
        <f t="array" ref="D54">_xll.VALEURCOURBE($A$2,_xlfn.CONCAT("THEME14=",$B54),SCENARIOS!$A$2,SCENARIOS!$B$2,YIELDS_youvert!D$1,0)</f>
        <v>1</v>
      </c>
      <c r="E54" cm="1">
        <f t="array" ref="E54">_xll.VALEURCOURBE($A$2,_xlfn.CONCAT("THEME14=",$B54),SCENARIOS!$A$2,SCENARIOS!$B$2,YIELDS_youvert!E$1,0)</f>
        <v>1</v>
      </c>
      <c r="F54" cm="1">
        <f t="array" ref="F54">_xll.VALEURCOURBE($A$2,_xlfn.CONCAT("THEME14=",$B54),SCENARIOS!$A$2,SCENARIOS!$B$2,YIELDS_youvert!F$1,0)</f>
        <v>1</v>
      </c>
      <c r="G54" cm="1">
        <f t="array" ref="G54">_xll.VALEURCOURBE($A$2,_xlfn.CONCAT("THEME14=",$B54),SCENARIOS!$A$2,SCENARIOS!$B$2,YIELDS_youvert!G$1,0)</f>
        <v>1</v>
      </c>
      <c r="H54" cm="1">
        <f t="array" ref="H54">_xll.VALEURCOURBE($A$2,_xlfn.CONCAT("THEME14=",$B54),SCENARIOS!$A$2,SCENARIOS!$B$2,YIELDS_youvert!H$1,0)</f>
        <v>1</v>
      </c>
      <c r="I54" cm="1">
        <f t="array" ref="I54">_xll.VALEURCOURBE($A$2,_xlfn.CONCAT("THEME14=",$B54),SCENARIOS!$A$2,SCENARIOS!$B$2,YIELDS_youvert!I$1,0)</f>
        <v>1</v>
      </c>
      <c r="J54" cm="1">
        <f t="array" ref="J54">_xll.VALEURCOURBE($A$2,_xlfn.CONCAT("THEME14=",$B54),SCENARIOS!$A$2,SCENARIOS!$B$2,YIELDS_youvert!J$1,0)</f>
        <v>1</v>
      </c>
      <c r="K54" cm="1">
        <f t="array" ref="K54">_xll.VALEURCOURBE($A$2,_xlfn.CONCAT("THEME14=",$B54),SCENARIOS!$A$2,SCENARIOS!$B$2,YIELDS_youvert!K$1,0)</f>
        <v>1</v>
      </c>
      <c r="L54" cm="1">
        <f t="array" ref="L54">_xll.VALEURCOURBE($A$2,_xlfn.CONCAT("THEME14=",$B54),SCENARIOS!$A$2,SCENARIOS!$B$2,YIELDS_youvert!L$1,0)</f>
        <v>1</v>
      </c>
      <c r="M54" cm="1">
        <f t="array" ref="M54">_xll.VALEURCOURBE($A$2,_xlfn.CONCAT("THEME14=",$B54),SCENARIOS!$A$2,SCENARIOS!$B$2,YIELDS_youvert!M$1,0)</f>
        <v>1</v>
      </c>
      <c r="N54" cm="1">
        <f t="array" ref="N54">_xll.VALEURCOURBE($A$2,_xlfn.CONCAT("THEME14=",$B54),SCENARIOS!$A$2,SCENARIOS!$B$2,YIELDS_youvert!N$1,0)</f>
        <v>1</v>
      </c>
      <c r="O54" cm="1">
        <f t="array" ref="O54">_xll.VALEURCOURBE($A$2,_xlfn.CONCAT("THEME14=",$B54),SCENARIOS!$A$2,SCENARIOS!$B$2,YIELDS_youvert!O$1,0)</f>
        <v>1</v>
      </c>
      <c r="P54" cm="1">
        <f t="array" ref="P54">_xll.VALEURCOURBE($A$2,_xlfn.CONCAT("THEME14=",$B54),SCENARIOS!$A$2,SCENARIOS!$B$2,YIELDS_youvert!P$1,0)</f>
        <v>1</v>
      </c>
      <c r="Q54" cm="1">
        <f t="array" ref="Q54">_xll.VALEURCOURBE($A$2,_xlfn.CONCAT("THEME14=",$B54),SCENARIOS!$A$2,SCENARIOS!$B$2,YIELDS_youvert!Q$1,0)</f>
        <v>1</v>
      </c>
      <c r="R54" cm="1">
        <f t="array" ref="R54">_xll.VALEURCOURBE($A$2,_xlfn.CONCAT("THEME14=",$B54),SCENARIOS!$A$2,SCENARIOS!$B$2,YIELDS_youvert!R$1,0)</f>
        <v>1</v>
      </c>
      <c r="S54" cm="1">
        <f t="array" ref="S54">_xll.VALEURCOURBE($A$2,_xlfn.CONCAT("THEME14=",$B54),SCENARIOS!$A$2,SCENARIOS!$B$2,YIELDS_youvert!S$1,0)</f>
        <v>1</v>
      </c>
      <c r="T54" cm="1">
        <f t="array" ref="T54">_xll.VALEURCOURBE($A$2,_xlfn.CONCAT("THEME14=",$B54),SCENARIOS!$A$2,SCENARIOS!$B$2,YIELDS_youvert!T$1,0)</f>
        <v>1</v>
      </c>
      <c r="U54" cm="1">
        <f t="array" ref="U54">_xll.VALEURCOURBE($A$2,_xlfn.CONCAT("THEME14=",$B54),SCENARIOS!$A$2,SCENARIOS!$B$2,YIELDS_youvert!U$1,0)</f>
        <v>1</v>
      </c>
      <c r="V54" cm="1">
        <f t="array" ref="V54">_xll.VALEURCOURBE($A$2,_xlfn.CONCAT("THEME14=",$B54),SCENARIOS!$A$2,SCENARIOS!$B$2,YIELDS_youvert!V$1,0)</f>
        <v>1</v>
      </c>
      <c r="W54" cm="1">
        <f t="array" ref="W54">_xll.VALEURCOURBE($A$2,_xlfn.CONCAT("THEME14=",$B54),SCENARIOS!$A$2,SCENARIOS!$B$2,YIELDS_youvert!W$1,0)</f>
        <v>1</v>
      </c>
      <c r="X54" cm="1">
        <f t="array" ref="X54">_xll.VALEURCOURBE($A$2,_xlfn.CONCAT("THEME14=",$B54),SCENARIOS!$A$2,SCENARIOS!$B$2,YIELDS_youvert!X$1,0)</f>
        <v>1</v>
      </c>
      <c r="Y54" cm="1">
        <f t="array" ref="Y54">_xll.VALEURCOURBE($A$2,_xlfn.CONCAT("THEME14=",$B54),SCENARIOS!$A$2,SCENARIOS!$B$2,YIELDS_youvert!Y$1,0)</f>
        <v>1</v>
      </c>
      <c r="Z54" cm="1">
        <f t="array" ref="Z54">_xll.VALEURCOURBE($A$2,_xlfn.CONCAT("THEME14=",$B54),SCENARIOS!$A$2,SCENARIOS!$B$2,YIELDS_youvert!Z$1,0)</f>
        <v>1</v>
      </c>
      <c r="AA54" cm="1">
        <f t="array" ref="AA54">_xll.VALEURCOURBE($A$2,_xlfn.CONCAT("THEME14=",$B54),SCENARIOS!$A$2,SCENARIOS!$B$2,YIELDS_youvert!AA$1,0)</f>
        <v>1</v>
      </c>
      <c r="AB54" cm="1">
        <f t="array" ref="AB54">_xll.VALEURCOURBE($A$2,_xlfn.CONCAT("THEME14=",$B54),SCENARIOS!$A$2,SCENARIOS!$B$2,YIELDS_youvert!AB$1,0)</f>
        <v>1</v>
      </c>
      <c r="AC54" cm="1">
        <f t="array" ref="AC54">_xll.VALEURCOURBE($A$2,_xlfn.CONCAT("THEME14=",$B54),SCENARIOS!$A$2,SCENARIOS!$B$2,YIELDS_youvert!AC$1,0)</f>
        <v>1</v>
      </c>
      <c r="AD54" cm="1">
        <f t="array" ref="AD54">_xll.VALEURCOURBE($A$2,_xlfn.CONCAT("THEME14=",$B54),SCENARIOS!$A$2,SCENARIOS!$B$2,YIELDS_youvert!AD$1,0)</f>
        <v>1</v>
      </c>
      <c r="AE54" cm="1">
        <f t="array" ref="AE54">_xll.VALEURCOURBE($A$2,_xlfn.CONCAT("THEME14=",$B54),SCENARIOS!$A$2,SCENARIOS!$B$2,YIELDS_youvert!AE$1,0)</f>
        <v>1</v>
      </c>
    </row>
    <row r="55" spans="3:31" x14ac:dyDescent="0.25">
      <c r="C55" cm="1">
        <f t="array" ref="C55">_xll.VALEURCOURBE($A$2,_xlfn.CONCAT("THEME14=",$B55),SCENARIOS!$A$2,SCENARIOS!$B$2,YIELDS_youvert!C$1,0)</f>
        <v>1</v>
      </c>
      <c r="D55" cm="1">
        <f t="array" ref="D55">_xll.VALEURCOURBE($A$2,_xlfn.CONCAT("THEME14=",$B55),SCENARIOS!$A$2,SCENARIOS!$B$2,YIELDS_youvert!D$1,0)</f>
        <v>1</v>
      </c>
      <c r="E55" cm="1">
        <f t="array" ref="E55">_xll.VALEURCOURBE($A$2,_xlfn.CONCAT("THEME14=",$B55),SCENARIOS!$A$2,SCENARIOS!$B$2,YIELDS_youvert!E$1,0)</f>
        <v>1</v>
      </c>
      <c r="F55" cm="1">
        <f t="array" ref="F55">_xll.VALEURCOURBE($A$2,_xlfn.CONCAT("THEME14=",$B55),SCENARIOS!$A$2,SCENARIOS!$B$2,YIELDS_youvert!F$1,0)</f>
        <v>1</v>
      </c>
      <c r="G55" cm="1">
        <f t="array" ref="G55">_xll.VALEURCOURBE($A$2,_xlfn.CONCAT("THEME14=",$B55),SCENARIOS!$A$2,SCENARIOS!$B$2,YIELDS_youvert!G$1,0)</f>
        <v>1</v>
      </c>
      <c r="H55" cm="1">
        <f t="array" ref="H55">_xll.VALEURCOURBE($A$2,_xlfn.CONCAT("THEME14=",$B55),SCENARIOS!$A$2,SCENARIOS!$B$2,YIELDS_youvert!H$1,0)</f>
        <v>1</v>
      </c>
      <c r="I55" cm="1">
        <f t="array" ref="I55">_xll.VALEURCOURBE($A$2,_xlfn.CONCAT("THEME14=",$B55),SCENARIOS!$A$2,SCENARIOS!$B$2,YIELDS_youvert!I$1,0)</f>
        <v>1</v>
      </c>
      <c r="J55" cm="1">
        <f t="array" ref="J55">_xll.VALEURCOURBE($A$2,_xlfn.CONCAT("THEME14=",$B55),SCENARIOS!$A$2,SCENARIOS!$B$2,YIELDS_youvert!J$1,0)</f>
        <v>1</v>
      </c>
      <c r="K55" cm="1">
        <f t="array" ref="K55">_xll.VALEURCOURBE($A$2,_xlfn.CONCAT("THEME14=",$B55),SCENARIOS!$A$2,SCENARIOS!$B$2,YIELDS_youvert!K$1,0)</f>
        <v>1</v>
      </c>
      <c r="L55" cm="1">
        <f t="array" ref="L55">_xll.VALEURCOURBE($A$2,_xlfn.CONCAT("THEME14=",$B55),SCENARIOS!$A$2,SCENARIOS!$B$2,YIELDS_youvert!L$1,0)</f>
        <v>1</v>
      </c>
      <c r="M55" cm="1">
        <f t="array" ref="M55">_xll.VALEURCOURBE($A$2,_xlfn.CONCAT("THEME14=",$B55),SCENARIOS!$A$2,SCENARIOS!$B$2,YIELDS_youvert!M$1,0)</f>
        <v>1</v>
      </c>
      <c r="N55" cm="1">
        <f t="array" ref="N55">_xll.VALEURCOURBE($A$2,_xlfn.CONCAT("THEME14=",$B55),SCENARIOS!$A$2,SCENARIOS!$B$2,YIELDS_youvert!N$1,0)</f>
        <v>1</v>
      </c>
      <c r="O55" cm="1">
        <f t="array" ref="O55">_xll.VALEURCOURBE($A$2,_xlfn.CONCAT("THEME14=",$B55),SCENARIOS!$A$2,SCENARIOS!$B$2,YIELDS_youvert!O$1,0)</f>
        <v>1</v>
      </c>
      <c r="P55" cm="1">
        <f t="array" ref="P55">_xll.VALEURCOURBE($A$2,_xlfn.CONCAT("THEME14=",$B55),SCENARIOS!$A$2,SCENARIOS!$B$2,YIELDS_youvert!P$1,0)</f>
        <v>1</v>
      </c>
      <c r="Q55" cm="1">
        <f t="array" ref="Q55">_xll.VALEURCOURBE($A$2,_xlfn.CONCAT("THEME14=",$B55),SCENARIOS!$A$2,SCENARIOS!$B$2,YIELDS_youvert!Q$1,0)</f>
        <v>1</v>
      </c>
      <c r="R55" cm="1">
        <f t="array" ref="R55">_xll.VALEURCOURBE($A$2,_xlfn.CONCAT("THEME14=",$B55),SCENARIOS!$A$2,SCENARIOS!$B$2,YIELDS_youvert!R$1,0)</f>
        <v>1</v>
      </c>
      <c r="S55" cm="1">
        <f t="array" ref="S55">_xll.VALEURCOURBE($A$2,_xlfn.CONCAT("THEME14=",$B55),SCENARIOS!$A$2,SCENARIOS!$B$2,YIELDS_youvert!S$1,0)</f>
        <v>1</v>
      </c>
      <c r="T55" cm="1">
        <f t="array" ref="T55">_xll.VALEURCOURBE($A$2,_xlfn.CONCAT("THEME14=",$B55),SCENARIOS!$A$2,SCENARIOS!$B$2,YIELDS_youvert!T$1,0)</f>
        <v>1</v>
      </c>
      <c r="U55" cm="1">
        <f t="array" ref="U55">_xll.VALEURCOURBE($A$2,_xlfn.CONCAT("THEME14=",$B55),SCENARIOS!$A$2,SCENARIOS!$B$2,YIELDS_youvert!U$1,0)</f>
        <v>1</v>
      </c>
      <c r="V55" cm="1">
        <f t="array" ref="V55">_xll.VALEURCOURBE($A$2,_xlfn.CONCAT("THEME14=",$B55),SCENARIOS!$A$2,SCENARIOS!$B$2,YIELDS_youvert!V$1,0)</f>
        <v>1</v>
      </c>
      <c r="W55" cm="1">
        <f t="array" ref="W55">_xll.VALEURCOURBE($A$2,_xlfn.CONCAT("THEME14=",$B55),SCENARIOS!$A$2,SCENARIOS!$B$2,YIELDS_youvert!W$1,0)</f>
        <v>1</v>
      </c>
      <c r="X55" cm="1">
        <f t="array" ref="X55">_xll.VALEURCOURBE($A$2,_xlfn.CONCAT("THEME14=",$B55),SCENARIOS!$A$2,SCENARIOS!$B$2,YIELDS_youvert!X$1,0)</f>
        <v>1</v>
      </c>
      <c r="Y55" cm="1">
        <f t="array" ref="Y55">_xll.VALEURCOURBE($A$2,_xlfn.CONCAT("THEME14=",$B55),SCENARIOS!$A$2,SCENARIOS!$B$2,YIELDS_youvert!Y$1,0)</f>
        <v>1</v>
      </c>
      <c r="Z55" cm="1">
        <f t="array" ref="Z55">_xll.VALEURCOURBE($A$2,_xlfn.CONCAT("THEME14=",$B55),SCENARIOS!$A$2,SCENARIOS!$B$2,YIELDS_youvert!Z$1,0)</f>
        <v>1</v>
      </c>
      <c r="AA55" cm="1">
        <f t="array" ref="AA55">_xll.VALEURCOURBE($A$2,_xlfn.CONCAT("THEME14=",$B55),SCENARIOS!$A$2,SCENARIOS!$B$2,YIELDS_youvert!AA$1,0)</f>
        <v>1</v>
      </c>
      <c r="AB55" cm="1">
        <f t="array" ref="AB55">_xll.VALEURCOURBE($A$2,_xlfn.CONCAT("THEME14=",$B55),SCENARIOS!$A$2,SCENARIOS!$B$2,YIELDS_youvert!AB$1,0)</f>
        <v>1</v>
      </c>
      <c r="AC55" cm="1">
        <f t="array" ref="AC55">_xll.VALEURCOURBE($A$2,_xlfn.CONCAT("THEME14=",$B55),SCENARIOS!$A$2,SCENARIOS!$B$2,YIELDS_youvert!AC$1,0)</f>
        <v>1</v>
      </c>
      <c r="AD55" cm="1">
        <f t="array" ref="AD55">_xll.VALEURCOURBE($A$2,_xlfn.CONCAT("THEME14=",$B55),SCENARIOS!$A$2,SCENARIOS!$B$2,YIELDS_youvert!AD$1,0)</f>
        <v>1</v>
      </c>
      <c r="AE55" cm="1">
        <f t="array" ref="AE55">_xll.VALEURCOURBE($A$2,_xlfn.CONCAT("THEME14=",$B55),SCENARIOS!$A$2,SCENARIOS!$B$2,YIELDS_youvert!AE$1,0)</f>
        <v>1</v>
      </c>
    </row>
    <row r="56" spans="3:31" x14ac:dyDescent="0.25">
      <c r="C56" cm="1">
        <f t="array" ref="C56">_xll.VALEURCOURBE($A$2,_xlfn.CONCAT("THEME14=",$B56),SCENARIOS!$A$2,SCENARIOS!$B$2,YIELDS_youvert!C$1,0)</f>
        <v>1</v>
      </c>
      <c r="D56" cm="1">
        <f t="array" ref="D56">_xll.VALEURCOURBE($A$2,_xlfn.CONCAT("THEME14=",$B56),SCENARIOS!$A$2,SCENARIOS!$B$2,YIELDS_youvert!D$1,0)</f>
        <v>1</v>
      </c>
      <c r="E56" cm="1">
        <f t="array" ref="E56">_xll.VALEURCOURBE($A$2,_xlfn.CONCAT("THEME14=",$B56),SCENARIOS!$A$2,SCENARIOS!$B$2,YIELDS_youvert!E$1,0)</f>
        <v>1</v>
      </c>
      <c r="F56" cm="1">
        <f t="array" ref="F56">_xll.VALEURCOURBE($A$2,_xlfn.CONCAT("THEME14=",$B56),SCENARIOS!$A$2,SCENARIOS!$B$2,YIELDS_youvert!F$1,0)</f>
        <v>1</v>
      </c>
      <c r="G56" cm="1">
        <f t="array" ref="G56">_xll.VALEURCOURBE($A$2,_xlfn.CONCAT("THEME14=",$B56),SCENARIOS!$A$2,SCENARIOS!$B$2,YIELDS_youvert!G$1,0)</f>
        <v>1</v>
      </c>
      <c r="H56" cm="1">
        <f t="array" ref="H56">_xll.VALEURCOURBE($A$2,_xlfn.CONCAT("THEME14=",$B56),SCENARIOS!$A$2,SCENARIOS!$B$2,YIELDS_youvert!H$1,0)</f>
        <v>1</v>
      </c>
      <c r="I56" cm="1">
        <f t="array" ref="I56">_xll.VALEURCOURBE($A$2,_xlfn.CONCAT("THEME14=",$B56),SCENARIOS!$A$2,SCENARIOS!$B$2,YIELDS_youvert!I$1,0)</f>
        <v>1</v>
      </c>
      <c r="J56" cm="1">
        <f t="array" ref="J56">_xll.VALEURCOURBE($A$2,_xlfn.CONCAT("THEME14=",$B56),SCENARIOS!$A$2,SCENARIOS!$B$2,YIELDS_youvert!J$1,0)</f>
        <v>1</v>
      </c>
      <c r="K56" cm="1">
        <f t="array" ref="K56">_xll.VALEURCOURBE($A$2,_xlfn.CONCAT("THEME14=",$B56),SCENARIOS!$A$2,SCENARIOS!$B$2,YIELDS_youvert!K$1,0)</f>
        <v>1</v>
      </c>
      <c r="L56" cm="1">
        <f t="array" ref="L56">_xll.VALEURCOURBE($A$2,_xlfn.CONCAT("THEME14=",$B56),SCENARIOS!$A$2,SCENARIOS!$B$2,YIELDS_youvert!L$1,0)</f>
        <v>1</v>
      </c>
      <c r="M56" cm="1">
        <f t="array" ref="M56">_xll.VALEURCOURBE($A$2,_xlfn.CONCAT("THEME14=",$B56),SCENARIOS!$A$2,SCENARIOS!$B$2,YIELDS_youvert!M$1,0)</f>
        <v>1</v>
      </c>
      <c r="N56" cm="1">
        <f t="array" ref="N56">_xll.VALEURCOURBE($A$2,_xlfn.CONCAT("THEME14=",$B56),SCENARIOS!$A$2,SCENARIOS!$B$2,YIELDS_youvert!N$1,0)</f>
        <v>1</v>
      </c>
      <c r="O56" cm="1">
        <f t="array" ref="O56">_xll.VALEURCOURBE($A$2,_xlfn.CONCAT("THEME14=",$B56),SCENARIOS!$A$2,SCENARIOS!$B$2,YIELDS_youvert!O$1,0)</f>
        <v>1</v>
      </c>
      <c r="P56" cm="1">
        <f t="array" ref="P56">_xll.VALEURCOURBE($A$2,_xlfn.CONCAT("THEME14=",$B56),SCENARIOS!$A$2,SCENARIOS!$B$2,YIELDS_youvert!P$1,0)</f>
        <v>1</v>
      </c>
      <c r="Q56" cm="1">
        <f t="array" ref="Q56">_xll.VALEURCOURBE($A$2,_xlfn.CONCAT("THEME14=",$B56),SCENARIOS!$A$2,SCENARIOS!$B$2,YIELDS_youvert!Q$1,0)</f>
        <v>1</v>
      </c>
      <c r="R56" cm="1">
        <f t="array" ref="R56">_xll.VALEURCOURBE($A$2,_xlfn.CONCAT("THEME14=",$B56),SCENARIOS!$A$2,SCENARIOS!$B$2,YIELDS_youvert!R$1,0)</f>
        <v>1</v>
      </c>
      <c r="S56" cm="1">
        <f t="array" ref="S56">_xll.VALEURCOURBE($A$2,_xlfn.CONCAT("THEME14=",$B56),SCENARIOS!$A$2,SCENARIOS!$B$2,YIELDS_youvert!S$1,0)</f>
        <v>1</v>
      </c>
      <c r="T56" cm="1">
        <f t="array" ref="T56">_xll.VALEURCOURBE($A$2,_xlfn.CONCAT("THEME14=",$B56),SCENARIOS!$A$2,SCENARIOS!$B$2,YIELDS_youvert!T$1,0)</f>
        <v>1</v>
      </c>
      <c r="U56" cm="1">
        <f t="array" ref="U56">_xll.VALEURCOURBE($A$2,_xlfn.CONCAT("THEME14=",$B56),SCENARIOS!$A$2,SCENARIOS!$B$2,YIELDS_youvert!U$1,0)</f>
        <v>1</v>
      </c>
      <c r="V56" cm="1">
        <f t="array" ref="V56">_xll.VALEURCOURBE($A$2,_xlfn.CONCAT("THEME14=",$B56),SCENARIOS!$A$2,SCENARIOS!$B$2,YIELDS_youvert!V$1,0)</f>
        <v>1</v>
      </c>
      <c r="W56" cm="1">
        <f t="array" ref="W56">_xll.VALEURCOURBE($A$2,_xlfn.CONCAT("THEME14=",$B56),SCENARIOS!$A$2,SCENARIOS!$B$2,YIELDS_youvert!W$1,0)</f>
        <v>1</v>
      </c>
      <c r="X56" cm="1">
        <f t="array" ref="X56">_xll.VALEURCOURBE($A$2,_xlfn.CONCAT("THEME14=",$B56),SCENARIOS!$A$2,SCENARIOS!$B$2,YIELDS_youvert!X$1,0)</f>
        <v>1</v>
      </c>
      <c r="Y56" cm="1">
        <f t="array" ref="Y56">_xll.VALEURCOURBE($A$2,_xlfn.CONCAT("THEME14=",$B56),SCENARIOS!$A$2,SCENARIOS!$B$2,YIELDS_youvert!Y$1,0)</f>
        <v>1</v>
      </c>
      <c r="Z56" cm="1">
        <f t="array" ref="Z56">_xll.VALEURCOURBE($A$2,_xlfn.CONCAT("THEME14=",$B56),SCENARIOS!$A$2,SCENARIOS!$B$2,YIELDS_youvert!Z$1,0)</f>
        <v>1</v>
      </c>
      <c r="AA56" cm="1">
        <f t="array" ref="AA56">_xll.VALEURCOURBE($A$2,_xlfn.CONCAT("THEME14=",$B56),SCENARIOS!$A$2,SCENARIOS!$B$2,YIELDS_youvert!AA$1,0)</f>
        <v>1</v>
      </c>
      <c r="AB56" cm="1">
        <f t="array" ref="AB56">_xll.VALEURCOURBE($A$2,_xlfn.CONCAT("THEME14=",$B56),SCENARIOS!$A$2,SCENARIOS!$B$2,YIELDS_youvert!AB$1,0)</f>
        <v>1</v>
      </c>
      <c r="AC56" cm="1">
        <f t="array" ref="AC56">_xll.VALEURCOURBE($A$2,_xlfn.CONCAT("THEME14=",$B56),SCENARIOS!$A$2,SCENARIOS!$B$2,YIELDS_youvert!AC$1,0)</f>
        <v>1</v>
      </c>
      <c r="AD56" cm="1">
        <f t="array" ref="AD56">_xll.VALEURCOURBE($A$2,_xlfn.CONCAT("THEME14=",$B56),SCENARIOS!$A$2,SCENARIOS!$B$2,YIELDS_youvert!AD$1,0)</f>
        <v>1</v>
      </c>
      <c r="AE56" cm="1">
        <f t="array" ref="AE56">_xll.VALEURCOURBE($A$2,_xlfn.CONCAT("THEME14=",$B56),SCENARIOS!$A$2,SCENARIOS!$B$2,YIELDS_youvert!AE$1,0)</f>
        <v>1</v>
      </c>
    </row>
    <row r="57" spans="3:31" x14ac:dyDescent="0.25">
      <c r="C57" cm="1">
        <f t="array" ref="C57">_xll.VALEURCOURBE($A$2,_xlfn.CONCAT("THEME14=",$B57),SCENARIOS!$A$2,SCENARIOS!$B$2,YIELDS_youvert!C$1,0)</f>
        <v>1</v>
      </c>
      <c r="D57" cm="1">
        <f t="array" ref="D57">_xll.VALEURCOURBE($A$2,_xlfn.CONCAT("THEME14=",$B57),SCENARIOS!$A$2,SCENARIOS!$B$2,YIELDS_youvert!D$1,0)</f>
        <v>1</v>
      </c>
      <c r="E57" cm="1">
        <f t="array" ref="E57">_xll.VALEURCOURBE($A$2,_xlfn.CONCAT("THEME14=",$B57),SCENARIOS!$A$2,SCENARIOS!$B$2,YIELDS_youvert!E$1,0)</f>
        <v>1</v>
      </c>
      <c r="F57" cm="1">
        <f t="array" ref="F57">_xll.VALEURCOURBE($A$2,_xlfn.CONCAT("THEME14=",$B57),SCENARIOS!$A$2,SCENARIOS!$B$2,YIELDS_youvert!F$1,0)</f>
        <v>1</v>
      </c>
      <c r="G57" cm="1">
        <f t="array" ref="G57">_xll.VALEURCOURBE($A$2,_xlfn.CONCAT("THEME14=",$B57),SCENARIOS!$A$2,SCENARIOS!$B$2,YIELDS_youvert!G$1,0)</f>
        <v>1</v>
      </c>
      <c r="H57" cm="1">
        <f t="array" ref="H57">_xll.VALEURCOURBE($A$2,_xlfn.CONCAT("THEME14=",$B57),SCENARIOS!$A$2,SCENARIOS!$B$2,YIELDS_youvert!H$1,0)</f>
        <v>1</v>
      </c>
      <c r="I57" cm="1">
        <f t="array" ref="I57">_xll.VALEURCOURBE($A$2,_xlfn.CONCAT("THEME14=",$B57),SCENARIOS!$A$2,SCENARIOS!$B$2,YIELDS_youvert!I$1,0)</f>
        <v>1</v>
      </c>
      <c r="J57" cm="1">
        <f t="array" ref="J57">_xll.VALEURCOURBE($A$2,_xlfn.CONCAT("THEME14=",$B57),SCENARIOS!$A$2,SCENARIOS!$B$2,YIELDS_youvert!J$1,0)</f>
        <v>1</v>
      </c>
      <c r="K57" cm="1">
        <f t="array" ref="K57">_xll.VALEURCOURBE($A$2,_xlfn.CONCAT("THEME14=",$B57),SCENARIOS!$A$2,SCENARIOS!$B$2,YIELDS_youvert!K$1,0)</f>
        <v>1</v>
      </c>
      <c r="L57" cm="1">
        <f t="array" ref="L57">_xll.VALEURCOURBE($A$2,_xlfn.CONCAT("THEME14=",$B57),SCENARIOS!$A$2,SCENARIOS!$B$2,YIELDS_youvert!L$1,0)</f>
        <v>1</v>
      </c>
      <c r="M57" cm="1">
        <f t="array" ref="M57">_xll.VALEURCOURBE($A$2,_xlfn.CONCAT("THEME14=",$B57),SCENARIOS!$A$2,SCENARIOS!$B$2,YIELDS_youvert!M$1,0)</f>
        <v>1</v>
      </c>
      <c r="N57" cm="1">
        <f t="array" ref="N57">_xll.VALEURCOURBE($A$2,_xlfn.CONCAT("THEME14=",$B57),SCENARIOS!$A$2,SCENARIOS!$B$2,YIELDS_youvert!N$1,0)</f>
        <v>1</v>
      </c>
      <c r="O57" cm="1">
        <f t="array" ref="O57">_xll.VALEURCOURBE($A$2,_xlfn.CONCAT("THEME14=",$B57),SCENARIOS!$A$2,SCENARIOS!$B$2,YIELDS_youvert!O$1,0)</f>
        <v>1</v>
      </c>
      <c r="P57" cm="1">
        <f t="array" ref="P57">_xll.VALEURCOURBE($A$2,_xlfn.CONCAT("THEME14=",$B57),SCENARIOS!$A$2,SCENARIOS!$B$2,YIELDS_youvert!P$1,0)</f>
        <v>1</v>
      </c>
      <c r="Q57" cm="1">
        <f t="array" ref="Q57">_xll.VALEURCOURBE($A$2,_xlfn.CONCAT("THEME14=",$B57),SCENARIOS!$A$2,SCENARIOS!$B$2,YIELDS_youvert!Q$1,0)</f>
        <v>1</v>
      </c>
      <c r="R57" cm="1">
        <f t="array" ref="R57">_xll.VALEURCOURBE($A$2,_xlfn.CONCAT("THEME14=",$B57),SCENARIOS!$A$2,SCENARIOS!$B$2,YIELDS_youvert!R$1,0)</f>
        <v>1</v>
      </c>
      <c r="S57" cm="1">
        <f t="array" ref="S57">_xll.VALEURCOURBE($A$2,_xlfn.CONCAT("THEME14=",$B57),SCENARIOS!$A$2,SCENARIOS!$B$2,YIELDS_youvert!S$1,0)</f>
        <v>1</v>
      </c>
      <c r="T57" cm="1">
        <f t="array" ref="T57">_xll.VALEURCOURBE($A$2,_xlfn.CONCAT("THEME14=",$B57),SCENARIOS!$A$2,SCENARIOS!$B$2,YIELDS_youvert!T$1,0)</f>
        <v>1</v>
      </c>
      <c r="U57" cm="1">
        <f t="array" ref="U57">_xll.VALEURCOURBE($A$2,_xlfn.CONCAT("THEME14=",$B57),SCENARIOS!$A$2,SCENARIOS!$B$2,YIELDS_youvert!U$1,0)</f>
        <v>1</v>
      </c>
      <c r="V57" cm="1">
        <f t="array" ref="V57">_xll.VALEURCOURBE($A$2,_xlfn.CONCAT("THEME14=",$B57),SCENARIOS!$A$2,SCENARIOS!$B$2,YIELDS_youvert!V$1,0)</f>
        <v>1</v>
      </c>
      <c r="W57" cm="1">
        <f t="array" ref="W57">_xll.VALEURCOURBE($A$2,_xlfn.CONCAT("THEME14=",$B57),SCENARIOS!$A$2,SCENARIOS!$B$2,YIELDS_youvert!W$1,0)</f>
        <v>1</v>
      </c>
      <c r="X57" cm="1">
        <f t="array" ref="X57">_xll.VALEURCOURBE($A$2,_xlfn.CONCAT("THEME14=",$B57),SCENARIOS!$A$2,SCENARIOS!$B$2,YIELDS_youvert!X$1,0)</f>
        <v>1</v>
      </c>
      <c r="Y57" cm="1">
        <f t="array" ref="Y57">_xll.VALEURCOURBE($A$2,_xlfn.CONCAT("THEME14=",$B57),SCENARIOS!$A$2,SCENARIOS!$B$2,YIELDS_youvert!Y$1,0)</f>
        <v>1</v>
      </c>
      <c r="Z57" cm="1">
        <f t="array" ref="Z57">_xll.VALEURCOURBE($A$2,_xlfn.CONCAT("THEME14=",$B57),SCENARIOS!$A$2,SCENARIOS!$B$2,YIELDS_youvert!Z$1,0)</f>
        <v>1</v>
      </c>
      <c r="AA57" cm="1">
        <f t="array" ref="AA57">_xll.VALEURCOURBE($A$2,_xlfn.CONCAT("THEME14=",$B57),SCENARIOS!$A$2,SCENARIOS!$B$2,YIELDS_youvert!AA$1,0)</f>
        <v>1</v>
      </c>
      <c r="AB57" cm="1">
        <f t="array" ref="AB57">_xll.VALEURCOURBE($A$2,_xlfn.CONCAT("THEME14=",$B57),SCENARIOS!$A$2,SCENARIOS!$B$2,YIELDS_youvert!AB$1,0)</f>
        <v>1</v>
      </c>
      <c r="AC57" cm="1">
        <f t="array" ref="AC57">_xll.VALEURCOURBE($A$2,_xlfn.CONCAT("THEME14=",$B57),SCENARIOS!$A$2,SCENARIOS!$B$2,YIELDS_youvert!AC$1,0)</f>
        <v>1</v>
      </c>
      <c r="AD57" cm="1">
        <f t="array" ref="AD57">_xll.VALEURCOURBE($A$2,_xlfn.CONCAT("THEME14=",$B57),SCENARIOS!$A$2,SCENARIOS!$B$2,YIELDS_youvert!AD$1,0)</f>
        <v>1</v>
      </c>
      <c r="AE57" cm="1">
        <f t="array" ref="AE57">_xll.VALEURCOURBE($A$2,_xlfn.CONCAT("THEME14=",$B57),SCENARIOS!$A$2,SCENARIOS!$B$2,YIELDS_youvert!AE$1,0)</f>
        <v>1</v>
      </c>
    </row>
    <row r="58" spans="3:31" x14ac:dyDescent="0.25">
      <c r="C58" cm="1">
        <f t="array" ref="C58">_xll.VALEURCOURBE($A$2,_xlfn.CONCAT("THEME14=",$B58),SCENARIOS!$A$2,SCENARIOS!$B$2,YIELDS_youvert!C$1,0)</f>
        <v>1</v>
      </c>
      <c r="D58" cm="1">
        <f t="array" ref="D58">_xll.VALEURCOURBE($A$2,_xlfn.CONCAT("THEME14=",$B58),SCENARIOS!$A$2,SCENARIOS!$B$2,YIELDS_youvert!D$1,0)</f>
        <v>1</v>
      </c>
      <c r="E58" cm="1">
        <f t="array" ref="E58">_xll.VALEURCOURBE($A$2,_xlfn.CONCAT("THEME14=",$B58),SCENARIOS!$A$2,SCENARIOS!$B$2,YIELDS_youvert!E$1,0)</f>
        <v>1</v>
      </c>
      <c r="F58" cm="1">
        <f t="array" ref="F58">_xll.VALEURCOURBE($A$2,_xlfn.CONCAT("THEME14=",$B58),SCENARIOS!$A$2,SCENARIOS!$B$2,YIELDS_youvert!F$1,0)</f>
        <v>1</v>
      </c>
      <c r="G58" cm="1">
        <f t="array" ref="G58">_xll.VALEURCOURBE($A$2,_xlfn.CONCAT("THEME14=",$B58),SCENARIOS!$A$2,SCENARIOS!$B$2,YIELDS_youvert!G$1,0)</f>
        <v>1</v>
      </c>
      <c r="H58" cm="1">
        <f t="array" ref="H58">_xll.VALEURCOURBE($A$2,_xlfn.CONCAT("THEME14=",$B58),SCENARIOS!$A$2,SCENARIOS!$B$2,YIELDS_youvert!H$1,0)</f>
        <v>1</v>
      </c>
      <c r="I58" cm="1">
        <f t="array" ref="I58">_xll.VALEURCOURBE($A$2,_xlfn.CONCAT("THEME14=",$B58),SCENARIOS!$A$2,SCENARIOS!$B$2,YIELDS_youvert!I$1,0)</f>
        <v>1</v>
      </c>
      <c r="J58" cm="1">
        <f t="array" ref="J58">_xll.VALEURCOURBE($A$2,_xlfn.CONCAT("THEME14=",$B58),SCENARIOS!$A$2,SCENARIOS!$B$2,YIELDS_youvert!J$1,0)</f>
        <v>1</v>
      </c>
      <c r="K58" cm="1">
        <f t="array" ref="K58">_xll.VALEURCOURBE($A$2,_xlfn.CONCAT("THEME14=",$B58),SCENARIOS!$A$2,SCENARIOS!$B$2,YIELDS_youvert!K$1,0)</f>
        <v>1</v>
      </c>
      <c r="L58" cm="1">
        <f t="array" ref="L58">_xll.VALEURCOURBE($A$2,_xlfn.CONCAT("THEME14=",$B58),SCENARIOS!$A$2,SCENARIOS!$B$2,YIELDS_youvert!L$1,0)</f>
        <v>1</v>
      </c>
      <c r="M58" cm="1">
        <f t="array" ref="M58">_xll.VALEURCOURBE($A$2,_xlfn.CONCAT("THEME14=",$B58),SCENARIOS!$A$2,SCENARIOS!$B$2,YIELDS_youvert!M$1,0)</f>
        <v>1</v>
      </c>
      <c r="N58" cm="1">
        <f t="array" ref="N58">_xll.VALEURCOURBE($A$2,_xlfn.CONCAT("THEME14=",$B58),SCENARIOS!$A$2,SCENARIOS!$B$2,YIELDS_youvert!N$1,0)</f>
        <v>1</v>
      </c>
      <c r="O58" cm="1">
        <f t="array" ref="O58">_xll.VALEURCOURBE($A$2,_xlfn.CONCAT("THEME14=",$B58),SCENARIOS!$A$2,SCENARIOS!$B$2,YIELDS_youvert!O$1,0)</f>
        <v>1</v>
      </c>
      <c r="P58" cm="1">
        <f t="array" ref="P58">_xll.VALEURCOURBE($A$2,_xlfn.CONCAT("THEME14=",$B58),SCENARIOS!$A$2,SCENARIOS!$B$2,YIELDS_youvert!P$1,0)</f>
        <v>1</v>
      </c>
      <c r="Q58" cm="1">
        <f t="array" ref="Q58">_xll.VALEURCOURBE($A$2,_xlfn.CONCAT("THEME14=",$B58),SCENARIOS!$A$2,SCENARIOS!$B$2,YIELDS_youvert!Q$1,0)</f>
        <v>1</v>
      </c>
      <c r="R58" cm="1">
        <f t="array" ref="R58">_xll.VALEURCOURBE($A$2,_xlfn.CONCAT("THEME14=",$B58),SCENARIOS!$A$2,SCENARIOS!$B$2,YIELDS_youvert!R$1,0)</f>
        <v>1</v>
      </c>
      <c r="S58" cm="1">
        <f t="array" ref="S58">_xll.VALEURCOURBE($A$2,_xlfn.CONCAT("THEME14=",$B58),SCENARIOS!$A$2,SCENARIOS!$B$2,YIELDS_youvert!S$1,0)</f>
        <v>1</v>
      </c>
      <c r="T58" cm="1">
        <f t="array" ref="T58">_xll.VALEURCOURBE($A$2,_xlfn.CONCAT("THEME14=",$B58),SCENARIOS!$A$2,SCENARIOS!$B$2,YIELDS_youvert!T$1,0)</f>
        <v>1</v>
      </c>
      <c r="U58" cm="1">
        <f t="array" ref="U58">_xll.VALEURCOURBE($A$2,_xlfn.CONCAT("THEME14=",$B58),SCENARIOS!$A$2,SCENARIOS!$B$2,YIELDS_youvert!U$1,0)</f>
        <v>1</v>
      </c>
      <c r="V58" cm="1">
        <f t="array" ref="V58">_xll.VALEURCOURBE($A$2,_xlfn.CONCAT("THEME14=",$B58),SCENARIOS!$A$2,SCENARIOS!$B$2,YIELDS_youvert!V$1,0)</f>
        <v>1</v>
      </c>
      <c r="W58" cm="1">
        <f t="array" ref="W58">_xll.VALEURCOURBE($A$2,_xlfn.CONCAT("THEME14=",$B58),SCENARIOS!$A$2,SCENARIOS!$B$2,YIELDS_youvert!W$1,0)</f>
        <v>1</v>
      </c>
      <c r="X58" cm="1">
        <f t="array" ref="X58">_xll.VALEURCOURBE($A$2,_xlfn.CONCAT("THEME14=",$B58),SCENARIOS!$A$2,SCENARIOS!$B$2,YIELDS_youvert!X$1,0)</f>
        <v>1</v>
      </c>
      <c r="Y58" cm="1">
        <f t="array" ref="Y58">_xll.VALEURCOURBE($A$2,_xlfn.CONCAT("THEME14=",$B58),SCENARIOS!$A$2,SCENARIOS!$B$2,YIELDS_youvert!Y$1,0)</f>
        <v>1</v>
      </c>
      <c r="Z58" cm="1">
        <f t="array" ref="Z58">_xll.VALEURCOURBE($A$2,_xlfn.CONCAT("THEME14=",$B58),SCENARIOS!$A$2,SCENARIOS!$B$2,YIELDS_youvert!Z$1,0)</f>
        <v>1</v>
      </c>
      <c r="AA58" cm="1">
        <f t="array" ref="AA58">_xll.VALEURCOURBE($A$2,_xlfn.CONCAT("THEME14=",$B58),SCENARIOS!$A$2,SCENARIOS!$B$2,YIELDS_youvert!AA$1,0)</f>
        <v>1</v>
      </c>
      <c r="AB58" cm="1">
        <f t="array" ref="AB58">_xll.VALEURCOURBE($A$2,_xlfn.CONCAT("THEME14=",$B58),SCENARIOS!$A$2,SCENARIOS!$B$2,YIELDS_youvert!AB$1,0)</f>
        <v>1</v>
      </c>
      <c r="AC58" cm="1">
        <f t="array" ref="AC58">_xll.VALEURCOURBE($A$2,_xlfn.CONCAT("THEME14=",$B58),SCENARIOS!$A$2,SCENARIOS!$B$2,YIELDS_youvert!AC$1,0)</f>
        <v>1</v>
      </c>
      <c r="AD58" cm="1">
        <f t="array" ref="AD58">_xll.VALEURCOURBE($A$2,_xlfn.CONCAT("THEME14=",$B58),SCENARIOS!$A$2,SCENARIOS!$B$2,YIELDS_youvert!AD$1,0)</f>
        <v>1</v>
      </c>
      <c r="AE58" cm="1">
        <f t="array" ref="AE58">_xll.VALEURCOURBE($A$2,_xlfn.CONCAT("THEME14=",$B58),SCENARIOS!$A$2,SCENARIOS!$B$2,YIELDS_youvert!AE$1,0)</f>
        <v>1</v>
      </c>
    </row>
    <row r="59" spans="3:31" x14ac:dyDescent="0.25">
      <c r="C59" cm="1">
        <f t="array" ref="C59">_xll.VALEURCOURBE($A$2,_xlfn.CONCAT("THEME14=",$B59),SCENARIOS!$A$2,SCENARIOS!$B$2,YIELDS_youvert!C$1,0)</f>
        <v>1</v>
      </c>
      <c r="D59" cm="1">
        <f t="array" ref="D59">_xll.VALEURCOURBE($A$2,_xlfn.CONCAT("THEME14=",$B59),SCENARIOS!$A$2,SCENARIOS!$B$2,YIELDS_youvert!D$1,0)</f>
        <v>1</v>
      </c>
      <c r="E59" cm="1">
        <f t="array" ref="E59">_xll.VALEURCOURBE($A$2,_xlfn.CONCAT("THEME14=",$B59),SCENARIOS!$A$2,SCENARIOS!$B$2,YIELDS_youvert!E$1,0)</f>
        <v>1</v>
      </c>
      <c r="F59" cm="1">
        <f t="array" ref="F59">_xll.VALEURCOURBE($A$2,_xlfn.CONCAT("THEME14=",$B59),SCENARIOS!$A$2,SCENARIOS!$B$2,YIELDS_youvert!F$1,0)</f>
        <v>1</v>
      </c>
      <c r="G59" cm="1">
        <f t="array" ref="G59">_xll.VALEURCOURBE($A$2,_xlfn.CONCAT("THEME14=",$B59),SCENARIOS!$A$2,SCENARIOS!$B$2,YIELDS_youvert!G$1,0)</f>
        <v>1</v>
      </c>
      <c r="H59" cm="1">
        <f t="array" ref="H59">_xll.VALEURCOURBE($A$2,_xlfn.CONCAT("THEME14=",$B59),SCENARIOS!$A$2,SCENARIOS!$B$2,YIELDS_youvert!H$1,0)</f>
        <v>1</v>
      </c>
      <c r="I59" cm="1">
        <f t="array" ref="I59">_xll.VALEURCOURBE($A$2,_xlfn.CONCAT("THEME14=",$B59),SCENARIOS!$A$2,SCENARIOS!$B$2,YIELDS_youvert!I$1,0)</f>
        <v>1</v>
      </c>
      <c r="J59" cm="1">
        <f t="array" ref="J59">_xll.VALEURCOURBE($A$2,_xlfn.CONCAT("THEME14=",$B59),SCENARIOS!$A$2,SCENARIOS!$B$2,YIELDS_youvert!J$1,0)</f>
        <v>1</v>
      </c>
      <c r="K59" cm="1">
        <f t="array" ref="K59">_xll.VALEURCOURBE($A$2,_xlfn.CONCAT("THEME14=",$B59),SCENARIOS!$A$2,SCENARIOS!$B$2,YIELDS_youvert!K$1,0)</f>
        <v>1</v>
      </c>
      <c r="L59" cm="1">
        <f t="array" ref="L59">_xll.VALEURCOURBE($A$2,_xlfn.CONCAT("THEME14=",$B59),SCENARIOS!$A$2,SCENARIOS!$B$2,YIELDS_youvert!L$1,0)</f>
        <v>1</v>
      </c>
      <c r="M59" cm="1">
        <f t="array" ref="M59">_xll.VALEURCOURBE($A$2,_xlfn.CONCAT("THEME14=",$B59),SCENARIOS!$A$2,SCENARIOS!$B$2,YIELDS_youvert!M$1,0)</f>
        <v>1</v>
      </c>
      <c r="N59" cm="1">
        <f t="array" ref="N59">_xll.VALEURCOURBE($A$2,_xlfn.CONCAT("THEME14=",$B59),SCENARIOS!$A$2,SCENARIOS!$B$2,YIELDS_youvert!N$1,0)</f>
        <v>1</v>
      </c>
      <c r="O59" cm="1">
        <f t="array" ref="O59">_xll.VALEURCOURBE($A$2,_xlfn.CONCAT("THEME14=",$B59),SCENARIOS!$A$2,SCENARIOS!$B$2,YIELDS_youvert!O$1,0)</f>
        <v>1</v>
      </c>
      <c r="P59" cm="1">
        <f t="array" ref="P59">_xll.VALEURCOURBE($A$2,_xlfn.CONCAT("THEME14=",$B59),SCENARIOS!$A$2,SCENARIOS!$B$2,YIELDS_youvert!P$1,0)</f>
        <v>1</v>
      </c>
      <c r="Q59" cm="1">
        <f t="array" ref="Q59">_xll.VALEURCOURBE($A$2,_xlfn.CONCAT("THEME14=",$B59),SCENARIOS!$A$2,SCENARIOS!$B$2,YIELDS_youvert!Q$1,0)</f>
        <v>1</v>
      </c>
      <c r="R59" cm="1">
        <f t="array" ref="R59">_xll.VALEURCOURBE($A$2,_xlfn.CONCAT("THEME14=",$B59),SCENARIOS!$A$2,SCENARIOS!$B$2,YIELDS_youvert!R$1,0)</f>
        <v>1</v>
      </c>
      <c r="S59" cm="1">
        <f t="array" ref="S59">_xll.VALEURCOURBE($A$2,_xlfn.CONCAT("THEME14=",$B59),SCENARIOS!$A$2,SCENARIOS!$B$2,YIELDS_youvert!S$1,0)</f>
        <v>1</v>
      </c>
      <c r="T59" cm="1">
        <f t="array" ref="T59">_xll.VALEURCOURBE($A$2,_xlfn.CONCAT("THEME14=",$B59),SCENARIOS!$A$2,SCENARIOS!$B$2,YIELDS_youvert!T$1,0)</f>
        <v>1</v>
      </c>
      <c r="U59" cm="1">
        <f t="array" ref="U59">_xll.VALEURCOURBE($A$2,_xlfn.CONCAT("THEME14=",$B59),SCENARIOS!$A$2,SCENARIOS!$B$2,YIELDS_youvert!U$1,0)</f>
        <v>1</v>
      </c>
      <c r="V59" cm="1">
        <f t="array" ref="V59">_xll.VALEURCOURBE($A$2,_xlfn.CONCAT("THEME14=",$B59),SCENARIOS!$A$2,SCENARIOS!$B$2,YIELDS_youvert!V$1,0)</f>
        <v>1</v>
      </c>
      <c r="W59" cm="1">
        <f t="array" ref="W59">_xll.VALEURCOURBE($A$2,_xlfn.CONCAT("THEME14=",$B59),SCENARIOS!$A$2,SCENARIOS!$B$2,YIELDS_youvert!W$1,0)</f>
        <v>1</v>
      </c>
      <c r="X59" cm="1">
        <f t="array" ref="X59">_xll.VALEURCOURBE($A$2,_xlfn.CONCAT("THEME14=",$B59),SCENARIOS!$A$2,SCENARIOS!$B$2,YIELDS_youvert!X$1,0)</f>
        <v>1</v>
      </c>
      <c r="Y59" cm="1">
        <f t="array" ref="Y59">_xll.VALEURCOURBE($A$2,_xlfn.CONCAT("THEME14=",$B59),SCENARIOS!$A$2,SCENARIOS!$B$2,YIELDS_youvert!Y$1,0)</f>
        <v>1</v>
      </c>
      <c r="Z59" cm="1">
        <f t="array" ref="Z59">_xll.VALEURCOURBE($A$2,_xlfn.CONCAT("THEME14=",$B59),SCENARIOS!$A$2,SCENARIOS!$B$2,YIELDS_youvert!Z$1,0)</f>
        <v>1</v>
      </c>
      <c r="AA59" cm="1">
        <f t="array" ref="AA59">_xll.VALEURCOURBE($A$2,_xlfn.CONCAT("THEME14=",$B59),SCENARIOS!$A$2,SCENARIOS!$B$2,YIELDS_youvert!AA$1,0)</f>
        <v>1</v>
      </c>
      <c r="AB59" cm="1">
        <f t="array" ref="AB59">_xll.VALEURCOURBE($A$2,_xlfn.CONCAT("THEME14=",$B59),SCENARIOS!$A$2,SCENARIOS!$B$2,YIELDS_youvert!AB$1,0)</f>
        <v>1</v>
      </c>
      <c r="AC59" cm="1">
        <f t="array" ref="AC59">_xll.VALEURCOURBE($A$2,_xlfn.CONCAT("THEME14=",$B59),SCENARIOS!$A$2,SCENARIOS!$B$2,YIELDS_youvert!AC$1,0)</f>
        <v>1</v>
      </c>
      <c r="AD59" cm="1">
        <f t="array" ref="AD59">_xll.VALEURCOURBE($A$2,_xlfn.CONCAT("THEME14=",$B59),SCENARIOS!$A$2,SCENARIOS!$B$2,YIELDS_youvert!AD$1,0)</f>
        <v>1</v>
      </c>
      <c r="AE59" cm="1">
        <f t="array" ref="AE59">_xll.VALEURCOURBE($A$2,_xlfn.CONCAT("THEME14=",$B59),SCENARIOS!$A$2,SCENARIOS!$B$2,YIELDS_youvert!AE$1,0)</f>
        <v>1</v>
      </c>
    </row>
    <row r="60" spans="3:31" x14ac:dyDescent="0.25">
      <c r="C60" cm="1">
        <f t="array" ref="C60">_xll.VALEURCOURBE($A$2,_xlfn.CONCAT("THEME14=",$B60),SCENARIOS!$A$2,SCENARIOS!$B$2,YIELDS_youvert!C$1,0)</f>
        <v>1</v>
      </c>
      <c r="D60" cm="1">
        <f t="array" ref="D60">_xll.VALEURCOURBE($A$2,_xlfn.CONCAT("THEME14=",$B60),SCENARIOS!$A$2,SCENARIOS!$B$2,YIELDS_youvert!D$1,0)</f>
        <v>1</v>
      </c>
      <c r="E60" cm="1">
        <f t="array" ref="E60">_xll.VALEURCOURBE($A$2,_xlfn.CONCAT("THEME14=",$B60),SCENARIOS!$A$2,SCENARIOS!$B$2,YIELDS_youvert!E$1,0)</f>
        <v>1</v>
      </c>
      <c r="F60" cm="1">
        <f t="array" ref="F60">_xll.VALEURCOURBE($A$2,_xlfn.CONCAT("THEME14=",$B60),SCENARIOS!$A$2,SCENARIOS!$B$2,YIELDS_youvert!F$1,0)</f>
        <v>1</v>
      </c>
      <c r="G60" cm="1">
        <f t="array" ref="G60">_xll.VALEURCOURBE($A$2,_xlfn.CONCAT("THEME14=",$B60),SCENARIOS!$A$2,SCENARIOS!$B$2,YIELDS_youvert!G$1,0)</f>
        <v>1</v>
      </c>
      <c r="H60" cm="1">
        <f t="array" ref="H60">_xll.VALEURCOURBE($A$2,_xlfn.CONCAT("THEME14=",$B60),SCENARIOS!$A$2,SCENARIOS!$B$2,YIELDS_youvert!H$1,0)</f>
        <v>1</v>
      </c>
      <c r="I60" cm="1">
        <f t="array" ref="I60">_xll.VALEURCOURBE($A$2,_xlfn.CONCAT("THEME14=",$B60),SCENARIOS!$A$2,SCENARIOS!$B$2,YIELDS_youvert!I$1,0)</f>
        <v>1</v>
      </c>
      <c r="J60" cm="1">
        <f t="array" ref="J60">_xll.VALEURCOURBE($A$2,_xlfn.CONCAT("THEME14=",$B60),SCENARIOS!$A$2,SCENARIOS!$B$2,YIELDS_youvert!J$1,0)</f>
        <v>1</v>
      </c>
      <c r="K60" cm="1">
        <f t="array" ref="K60">_xll.VALEURCOURBE($A$2,_xlfn.CONCAT("THEME14=",$B60),SCENARIOS!$A$2,SCENARIOS!$B$2,YIELDS_youvert!K$1,0)</f>
        <v>1</v>
      </c>
      <c r="L60" cm="1">
        <f t="array" ref="L60">_xll.VALEURCOURBE($A$2,_xlfn.CONCAT("THEME14=",$B60),SCENARIOS!$A$2,SCENARIOS!$B$2,YIELDS_youvert!L$1,0)</f>
        <v>1</v>
      </c>
      <c r="M60" cm="1">
        <f t="array" ref="M60">_xll.VALEURCOURBE($A$2,_xlfn.CONCAT("THEME14=",$B60),SCENARIOS!$A$2,SCENARIOS!$B$2,YIELDS_youvert!M$1,0)</f>
        <v>1</v>
      </c>
      <c r="N60" cm="1">
        <f t="array" ref="N60">_xll.VALEURCOURBE($A$2,_xlfn.CONCAT("THEME14=",$B60),SCENARIOS!$A$2,SCENARIOS!$B$2,YIELDS_youvert!N$1,0)</f>
        <v>1</v>
      </c>
      <c r="O60" cm="1">
        <f t="array" ref="O60">_xll.VALEURCOURBE($A$2,_xlfn.CONCAT("THEME14=",$B60),SCENARIOS!$A$2,SCENARIOS!$B$2,YIELDS_youvert!O$1,0)</f>
        <v>1</v>
      </c>
      <c r="P60" cm="1">
        <f t="array" ref="P60">_xll.VALEURCOURBE($A$2,_xlfn.CONCAT("THEME14=",$B60),SCENARIOS!$A$2,SCENARIOS!$B$2,YIELDS_youvert!P$1,0)</f>
        <v>1</v>
      </c>
      <c r="Q60" cm="1">
        <f t="array" ref="Q60">_xll.VALEURCOURBE($A$2,_xlfn.CONCAT("THEME14=",$B60),SCENARIOS!$A$2,SCENARIOS!$B$2,YIELDS_youvert!Q$1,0)</f>
        <v>1</v>
      </c>
      <c r="R60" cm="1">
        <f t="array" ref="R60">_xll.VALEURCOURBE($A$2,_xlfn.CONCAT("THEME14=",$B60),SCENARIOS!$A$2,SCENARIOS!$B$2,YIELDS_youvert!R$1,0)</f>
        <v>1</v>
      </c>
      <c r="S60" cm="1">
        <f t="array" ref="S60">_xll.VALEURCOURBE($A$2,_xlfn.CONCAT("THEME14=",$B60),SCENARIOS!$A$2,SCENARIOS!$B$2,YIELDS_youvert!S$1,0)</f>
        <v>1</v>
      </c>
      <c r="T60" cm="1">
        <f t="array" ref="T60">_xll.VALEURCOURBE($A$2,_xlfn.CONCAT("THEME14=",$B60),SCENARIOS!$A$2,SCENARIOS!$B$2,YIELDS_youvert!T$1,0)</f>
        <v>1</v>
      </c>
      <c r="U60" cm="1">
        <f t="array" ref="U60">_xll.VALEURCOURBE($A$2,_xlfn.CONCAT("THEME14=",$B60),SCENARIOS!$A$2,SCENARIOS!$B$2,YIELDS_youvert!U$1,0)</f>
        <v>1</v>
      </c>
      <c r="V60" cm="1">
        <f t="array" ref="V60">_xll.VALEURCOURBE($A$2,_xlfn.CONCAT("THEME14=",$B60),SCENARIOS!$A$2,SCENARIOS!$B$2,YIELDS_youvert!V$1,0)</f>
        <v>1</v>
      </c>
      <c r="W60" cm="1">
        <f t="array" ref="W60">_xll.VALEURCOURBE($A$2,_xlfn.CONCAT("THEME14=",$B60),SCENARIOS!$A$2,SCENARIOS!$B$2,YIELDS_youvert!W$1,0)</f>
        <v>1</v>
      </c>
      <c r="X60" cm="1">
        <f t="array" ref="X60">_xll.VALEURCOURBE($A$2,_xlfn.CONCAT("THEME14=",$B60),SCENARIOS!$A$2,SCENARIOS!$B$2,YIELDS_youvert!X$1,0)</f>
        <v>1</v>
      </c>
      <c r="Y60" cm="1">
        <f t="array" ref="Y60">_xll.VALEURCOURBE($A$2,_xlfn.CONCAT("THEME14=",$B60),SCENARIOS!$A$2,SCENARIOS!$B$2,YIELDS_youvert!Y$1,0)</f>
        <v>1</v>
      </c>
      <c r="Z60" cm="1">
        <f t="array" ref="Z60">_xll.VALEURCOURBE($A$2,_xlfn.CONCAT("THEME14=",$B60),SCENARIOS!$A$2,SCENARIOS!$B$2,YIELDS_youvert!Z$1,0)</f>
        <v>1</v>
      </c>
      <c r="AA60" cm="1">
        <f t="array" ref="AA60">_xll.VALEURCOURBE($A$2,_xlfn.CONCAT("THEME14=",$B60),SCENARIOS!$A$2,SCENARIOS!$B$2,YIELDS_youvert!AA$1,0)</f>
        <v>1</v>
      </c>
      <c r="AB60" cm="1">
        <f t="array" ref="AB60">_xll.VALEURCOURBE($A$2,_xlfn.CONCAT("THEME14=",$B60),SCENARIOS!$A$2,SCENARIOS!$B$2,YIELDS_youvert!AB$1,0)</f>
        <v>1</v>
      </c>
      <c r="AC60" cm="1">
        <f t="array" ref="AC60">_xll.VALEURCOURBE($A$2,_xlfn.CONCAT("THEME14=",$B60),SCENARIOS!$A$2,SCENARIOS!$B$2,YIELDS_youvert!AC$1,0)</f>
        <v>1</v>
      </c>
      <c r="AD60" cm="1">
        <f t="array" ref="AD60">_xll.VALEURCOURBE($A$2,_xlfn.CONCAT("THEME14=",$B60),SCENARIOS!$A$2,SCENARIOS!$B$2,YIELDS_youvert!AD$1,0)</f>
        <v>1</v>
      </c>
      <c r="AE60" cm="1">
        <f t="array" ref="AE60">_xll.VALEURCOURBE($A$2,_xlfn.CONCAT("THEME14=",$B60),SCENARIOS!$A$2,SCENARIOS!$B$2,YIELDS_youvert!AE$1,0)</f>
        <v>1</v>
      </c>
    </row>
    <row r="61" spans="3:31" x14ac:dyDescent="0.25">
      <c r="C61" cm="1">
        <f t="array" ref="C61">_xll.VALEURCOURBE($A$2,_xlfn.CONCAT("THEME14=",$B61),SCENARIOS!$A$2,SCENARIOS!$B$2,YIELDS_youvert!C$1,0)</f>
        <v>1</v>
      </c>
      <c r="D61" cm="1">
        <f t="array" ref="D61">_xll.VALEURCOURBE($A$2,_xlfn.CONCAT("THEME14=",$B61),SCENARIOS!$A$2,SCENARIOS!$B$2,YIELDS_youvert!D$1,0)</f>
        <v>1</v>
      </c>
      <c r="E61" cm="1">
        <f t="array" ref="E61">_xll.VALEURCOURBE($A$2,_xlfn.CONCAT("THEME14=",$B61),SCENARIOS!$A$2,SCENARIOS!$B$2,YIELDS_youvert!E$1,0)</f>
        <v>1</v>
      </c>
      <c r="F61" cm="1">
        <f t="array" ref="F61">_xll.VALEURCOURBE($A$2,_xlfn.CONCAT("THEME14=",$B61),SCENARIOS!$A$2,SCENARIOS!$B$2,YIELDS_youvert!F$1,0)</f>
        <v>1</v>
      </c>
      <c r="G61" cm="1">
        <f t="array" ref="G61">_xll.VALEURCOURBE($A$2,_xlfn.CONCAT("THEME14=",$B61),SCENARIOS!$A$2,SCENARIOS!$B$2,YIELDS_youvert!G$1,0)</f>
        <v>1</v>
      </c>
      <c r="H61" cm="1">
        <f t="array" ref="H61">_xll.VALEURCOURBE($A$2,_xlfn.CONCAT("THEME14=",$B61),SCENARIOS!$A$2,SCENARIOS!$B$2,YIELDS_youvert!H$1,0)</f>
        <v>1</v>
      </c>
      <c r="I61" cm="1">
        <f t="array" ref="I61">_xll.VALEURCOURBE($A$2,_xlfn.CONCAT("THEME14=",$B61),SCENARIOS!$A$2,SCENARIOS!$B$2,YIELDS_youvert!I$1,0)</f>
        <v>1</v>
      </c>
      <c r="J61" cm="1">
        <f t="array" ref="J61">_xll.VALEURCOURBE($A$2,_xlfn.CONCAT("THEME14=",$B61),SCENARIOS!$A$2,SCENARIOS!$B$2,YIELDS_youvert!J$1,0)</f>
        <v>1</v>
      </c>
      <c r="K61" cm="1">
        <f t="array" ref="K61">_xll.VALEURCOURBE($A$2,_xlfn.CONCAT("THEME14=",$B61),SCENARIOS!$A$2,SCENARIOS!$B$2,YIELDS_youvert!K$1,0)</f>
        <v>1</v>
      </c>
      <c r="L61" cm="1">
        <f t="array" ref="L61">_xll.VALEURCOURBE($A$2,_xlfn.CONCAT("THEME14=",$B61),SCENARIOS!$A$2,SCENARIOS!$B$2,YIELDS_youvert!L$1,0)</f>
        <v>1</v>
      </c>
      <c r="M61" cm="1">
        <f t="array" ref="M61">_xll.VALEURCOURBE($A$2,_xlfn.CONCAT("THEME14=",$B61),SCENARIOS!$A$2,SCENARIOS!$B$2,YIELDS_youvert!M$1,0)</f>
        <v>1</v>
      </c>
      <c r="N61" cm="1">
        <f t="array" ref="N61">_xll.VALEURCOURBE($A$2,_xlfn.CONCAT("THEME14=",$B61),SCENARIOS!$A$2,SCENARIOS!$B$2,YIELDS_youvert!N$1,0)</f>
        <v>1</v>
      </c>
      <c r="O61" cm="1">
        <f t="array" ref="O61">_xll.VALEURCOURBE($A$2,_xlfn.CONCAT("THEME14=",$B61),SCENARIOS!$A$2,SCENARIOS!$B$2,YIELDS_youvert!O$1,0)</f>
        <v>1</v>
      </c>
      <c r="P61" cm="1">
        <f t="array" ref="P61">_xll.VALEURCOURBE($A$2,_xlfn.CONCAT("THEME14=",$B61),SCENARIOS!$A$2,SCENARIOS!$B$2,YIELDS_youvert!P$1,0)</f>
        <v>1</v>
      </c>
      <c r="Q61" cm="1">
        <f t="array" ref="Q61">_xll.VALEURCOURBE($A$2,_xlfn.CONCAT("THEME14=",$B61),SCENARIOS!$A$2,SCENARIOS!$B$2,YIELDS_youvert!Q$1,0)</f>
        <v>1</v>
      </c>
      <c r="R61" cm="1">
        <f t="array" ref="R61">_xll.VALEURCOURBE($A$2,_xlfn.CONCAT("THEME14=",$B61),SCENARIOS!$A$2,SCENARIOS!$B$2,YIELDS_youvert!R$1,0)</f>
        <v>1</v>
      </c>
      <c r="S61" cm="1">
        <f t="array" ref="S61">_xll.VALEURCOURBE($A$2,_xlfn.CONCAT("THEME14=",$B61),SCENARIOS!$A$2,SCENARIOS!$B$2,YIELDS_youvert!S$1,0)</f>
        <v>1</v>
      </c>
      <c r="T61" cm="1">
        <f t="array" ref="T61">_xll.VALEURCOURBE($A$2,_xlfn.CONCAT("THEME14=",$B61),SCENARIOS!$A$2,SCENARIOS!$B$2,YIELDS_youvert!T$1,0)</f>
        <v>1</v>
      </c>
      <c r="U61" cm="1">
        <f t="array" ref="U61">_xll.VALEURCOURBE($A$2,_xlfn.CONCAT("THEME14=",$B61),SCENARIOS!$A$2,SCENARIOS!$B$2,YIELDS_youvert!U$1,0)</f>
        <v>1</v>
      </c>
      <c r="V61" cm="1">
        <f t="array" ref="V61">_xll.VALEURCOURBE($A$2,_xlfn.CONCAT("THEME14=",$B61),SCENARIOS!$A$2,SCENARIOS!$B$2,YIELDS_youvert!V$1,0)</f>
        <v>1</v>
      </c>
      <c r="W61" cm="1">
        <f t="array" ref="W61">_xll.VALEURCOURBE($A$2,_xlfn.CONCAT("THEME14=",$B61),SCENARIOS!$A$2,SCENARIOS!$B$2,YIELDS_youvert!W$1,0)</f>
        <v>1</v>
      </c>
      <c r="X61" cm="1">
        <f t="array" ref="X61">_xll.VALEURCOURBE($A$2,_xlfn.CONCAT("THEME14=",$B61),SCENARIOS!$A$2,SCENARIOS!$B$2,YIELDS_youvert!X$1,0)</f>
        <v>1</v>
      </c>
      <c r="Y61" cm="1">
        <f t="array" ref="Y61">_xll.VALEURCOURBE($A$2,_xlfn.CONCAT("THEME14=",$B61),SCENARIOS!$A$2,SCENARIOS!$B$2,YIELDS_youvert!Y$1,0)</f>
        <v>1</v>
      </c>
      <c r="Z61" cm="1">
        <f t="array" ref="Z61">_xll.VALEURCOURBE($A$2,_xlfn.CONCAT("THEME14=",$B61),SCENARIOS!$A$2,SCENARIOS!$B$2,YIELDS_youvert!Z$1,0)</f>
        <v>1</v>
      </c>
      <c r="AA61" cm="1">
        <f t="array" ref="AA61">_xll.VALEURCOURBE($A$2,_xlfn.CONCAT("THEME14=",$B61),SCENARIOS!$A$2,SCENARIOS!$B$2,YIELDS_youvert!AA$1,0)</f>
        <v>1</v>
      </c>
      <c r="AB61" cm="1">
        <f t="array" ref="AB61">_xll.VALEURCOURBE($A$2,_xlfn.CONCAT("THEME14=",$B61),SCENARIOS!$A$2,SCENARIOS!$B$2,YIELDS_youvert!AB$1,0)</f>
        <v>1</v>
      </c>
      <c r="AC61" cm="1">
        <f t="array" ref="AC61">_xll.VALEURCOURBE($A$2,_xlfn.CONCAT("THEME14=",$B61),SCENARIOS!$A$2,SCENARIOS!$B$2,YIELDS_youvert!AC$1,0)</f>
        <v>1</v>
      </c>
      <c r="AD61" cm="1">
        <f t="array" ref="AD61">_xll.VALEURCOURBE($A$2,_xlfn.CONCAT("THEME14=",$B61),SCENARIOS!$A$2,SCENARIOS!$B$2,YIELDS_youvert!AD$1,0)</f>
        <v>1</v>
      </c>
      <c r="AE61" cm="1">
        <f t="array" ref="AE61">_xll.VALEURCOURBE($A$2,_xlfn.CONCAT("THEME14=",$B61),SCENARIOS!$A$2,SCENARIOS!$B$2,YIELDS_youvert!AE$1,0)</f>
        <v>1</v>
      </c>
    </row>
    <row r="62" spans="3:31" x14ac:dyDescent="0.25">
      <c r="C62" cm="1">
        <f t="array" ref="C62">_xll.VALEURCOURBE($A$2,_xlfn.CONCAT("THEME14=",$B62),SCENARIOS!$A$2,SCENARIOS!$B$2,YIELDS_youvert!C$1,0)</f>
        <v>1</v>
      </c>
      <c r="D62" cm="1">
        <f t="array" ref="D62">_xll.VALEURCOURBE($A$2,_xlfn.CONCAT("THEME14=",$B62),SCENARIOS!$A$2,SCENARIOS!$B$2,YIELDS_youvert!D$1,0)</f>
        <v>1</v>
      </c>
      <c r="E62" cm="1">
        <f t="array" ref="E62">_xll.VALEURCOURBE($A$2,_xlfn.CONCAT("THEME14=",$B62),SCENARIOS!$A$2,SCENARIOS!$B$2,YIELDS_youvert!E$1,0)</f>
        <v>1</v>
      </c>
      <c r="F62" cm="1">
        <f t="array" ref="F62">_xll.VALEURCOURBE($A$2,_xlfn.CONCAT("THEME14=",$B62),SCENARIOS!$A$2,SCENARIOS!$B$2,YIELDS_youvert!F$1,0)</f>
        <v>1</v>
      </c>
      <c r="G62" cm="1">
        <f t="array" ref="G62">_xll.VALEURCOURBE($A$2,_xlfn.CONCAT("THEME14=",$B62),SCENARIOS!$A$2,SCENARIOS!$B$2,YIELDS_youvert!G$1,0)</f>
        <v>1</v>
      </c>
      <c r="H62" cm="1">
        <f t="array" ref="H62">_xll.VALEURCOURBE($A$2,_xlfn.CONCAT("THEME14=",$B62),SCENARIOS!$A$2,SCENARIOS!$B$2,YIELDS_youvert!H$1,0)</f>
        <v>1</v>
      </c>
      <c r="I62" cm="1">
        <f t="array" ref="I62">_xll.VALEURCOURBE($A$2,_xlfn.CONCAT("THEME14=",$B62),SCENARIOS!$A$2,SCENARIOS!$B$2,YIELDS_youvert!I$1,0)</f>
        <v>1</v>
      </c>
      <c r="J62" cm="1">
        <f t="array" ref="J62">_xll.VALEURCOURBE($A$2,_xlfn.CONCAT("THEME14=",$B62),SCENARIOS!$A$2,SCENARIOS!$B$2,YIELDS_youvert!J$1,0)</f>
        <v>1</v>
      </c>
      <c r="K62" cm="1">
        <f t="array" ref="K62">_xll.VALEURCOURBE($A$2,_xlfn.CONCAT("THEME14=",$B62),SCENARIOS!$A$2,SCENARIOS!$B$2,YIELDS_youvert!K$1,0)</f>
        <v>1</v>
      </c>
      <c r="L62" cm="1">
        <f t="array" ref="L62">_xll.VALEURCOURBE($A$2,_xlfn.CONCAT("THEME14=",$B62),SCENARIOS!$A$2,SCENARIOS!$B$2,YIELDS_youvert!L$1,0)</f>
        <v>1</v>
      </c>
      <c r="M62" cm="1">
        <f t="array" ref="M62">_xll.VALEURCOURBE($A$2,_xlfn.CONCAT("THEME14=",$B62),SCENARIOS!$A$2,SCENARIOS!$B$2,YIELDS_youvert!M$1,0)</f>
        <v>1</v>
      </c>
      <c r="N62" cm="1">
        <f t="array" ref="N62">_xll.VALEURCOURBE($A$2,_xlfn.CONCAT("THEME14=",$B62),SCENARIOS!$A$2,SCENARIOS!$B$2,YIELDS_youvert!N$1,0)</f>
        <v>1</v>
      </c>
      <c r="O62" cm="1">
        <f t="array" ref="O62">_xll.VALEURCOURBE($A$2,_xlfn.CONCAT("THEME14=",$B62),SCENARIOS!$A$2,SCENARIOS!$B$2,YIELDS_youvert!O$1,0)</f>
        <v>1</v>
      </c>
      <c r="P62" cm="1">
        <f t="array" ref="P62">_xll.VALEURCOURBE($A$2,_xlfn.CONCAT("THEME14=",$B62),SCENARIOS!$A$2,SCENARIOS!$B$2,YIELDS_youvert!P$1,0)</f>
        <v>1</v>
      </c>
      <c r="Q62" cm="1">
        <f t="array" ref="Q62">_xll.VALEURCOURBE($A$2,_xlfn.CONCAT("THEME14=",$B62),SCENARIOS!$A$2,SCENARIOS!$B$2,YIELDS_youvert!Q$1,0)</f>
        <v>1</v>
      </c>
      <c r="R62" cm="1">
        <f t="array" ref="R62">_xll.VALEURCOURBE($A$2,_xlfn.CONCAT("THEME14=",$B62),SCENARIOS!$A$2,SCENARIOS!$B$2,YIELDS_youvert!R$1,0)</f>
        <v>1</v>
      </c>
      <c r="S62" cm="1">
        <f t="array" ref="S62">_xll.VALEURCOURBE($A$2,_xlfn.CONCAT("THEME14=",$B62),SCENARIOS!$A$2,SCENARIOS!$B$2,YIELDS_youvert!S$1,0)</f>
        <v>1</v>
      </c>
      <c r="T62" cm="1">
        <f t="array" ref="T62">_xll.VALEURCOURBE($A$2,_xlfn.CONCAT("THEME14=",$B62),SCENARIOS!$A$2,SCENARIOS!$B$2,YIELDS_youvert!T$1,0)</f>
        <v>1</v>
      </c>
      <c r="U62" cm="1">
        <f t="array" ref="U62">_xll.VALEURCOURBE($A$2,_xlfn.CONCAT("THEME14=",$B62),SCENARIOS!$A$2,SCENARIOS!$B$2,YIELDS_youvert!U$1,0)</f>
        <v>1</v>
      </c>
      <c r="V62" cm="1">
        <f t="array" ref="V62">_xll.VALEURCOURBE($A$2,_xlfn.CONCAT("THEME14=",$B62),SCENARIOS!$A$2,SCENARIOS!$B$2,YIELDS_youvert!V$1,0)</f>
        <v>1</v>
      </c>
      <c r="W62" cm="1">
        <f t="array" ref="W62">_xll.VALEURCOURBE($A$2,_xlfn.CONCAT("THEME14=",$B62),SCENARIOS!$A$2,SCENARIOS!$B$2,YIELDS_youvert!W$1,0)</f>
        <v>1</v>
      </c>
      <c r="X62" cm="1">
        <f t="array" ref="X62">_xll.VALEURCOURBE($A$2,_xlfn.CONCAT("THEME14=",$B62),SCENARIOS!$A$2,SCENARIOS!$B$2,YIELDS_youvert!X$1,0)</f>
        <v>1</v>
      </c>
      <c r="Y62" cm="1">
        <f t="array" ref="Y62">_xll.VALEURCOURBE($A$2,_xlfn.CONCAT("THEME14=",$B62),SCENARIOS!$A$2,SCENARIOS!$B$2,YIELDS_youvert!Y$1,0)</f>
        <v>1</v>
      </c>
      <c r="Z62" cm="1">
        <f t="array" ref="Z62">_xll.VALEURCOURBE($A$2,_xlfn.CONCAT("THEME14=",$B62),SCENARIOS!$A$2,SCENARIOS!$B$2,YIELDS_youvert!Z$1,0)</f>
        <v>1</v>
      </c>
      <c r="AA62" cm="1">
        <f t="array" ref="AA62">_xll.VALEURCOURBE($A$2,_xlfn.CONCAT("THEME14=",$B62),SCENARIOS!$A$2,SCENARIOS!$B$2,YIELDS_youvert!AA$1,0)</f>
        <v>1</v>
      </c>
      <c r="AB62" cm="1">
        <f t="array" ref="AB62">_xll.VALEURCOURBE($A$2,_xlfn.CONCAT("THEME14=",$B62),SCENARIOS!$A$2,SCENARIOS!$B$2,YIELDS_youvert!AB$1,0)</f>
        <v>1</v>
      </c>
      <c r="AC62" cm="1">
        <f t="array" ref="AC62">_xll.VALEURCOURBE($A$2,_xlfn.CONCAT("THEME14=",$B62),SCENARIOS!$A$2,SCENARIOS!$B$2,YIELDS_youvert!AC$1,0)</f>
        <v>1</v>
      </c>
      <c r="AD62" cm="1">
        <f t="array" ref="AD62">_xll.VALEURCOURBE($A$2,_xlfn.CONCAT("THEME14=",$B62),SCENARIOS!$A$2,SCENARIOS!$B$2,YIELDS_youvert!AD$1,0)</f>
        <v>1</v>
      </c>
      <c r="AE62" cm="1">
        <f t="array" ref="AE62">_xll.VALEURCOURBE($A$2,_xlfn.CONCAT("THEME14=",$B62),SCENARIOS!$A$2,SCENARIOS!$B$2,YIELDS_youvert!AE$1,0)</f>
        <v>1</v>
      </c>
    </row>
    <row r="63" spans="3:31" x14ac:dyDescent="0.25">
      <c r="C63" cm="1">
        <f t="array" ref="C63">_xll.VALEURCOURBE($A$2,_xlfn.CONCAT("THEME14=",$B63),SCENARIOS!$A$2,SCENARIOS!$B$2,YIELDS_youvert!C$1,0)</f>
        <v>1</v>
      </c>
      <c r="D63" cm="1">
        <f t="array" ref="D63">_xll.VALEURCOURBE($A$2,_xlfn.CONCAT("THEME14=",$B63),SCENARIOS!$A$2,SCENARIOS!$B$2,YIELDS_youvert!D$1,0)</f>
        <v>1</v>
      </c>
      <c r="E63" cm="1">
        <f t="array" ref="E63">_xll.VALEURCOURBE($A$2,_xlfn.CONCAT("THEME14=",$B63),SCENARIOS!$A$2,SCENARIOS!$B$2,YIELDS_youvert!E$1,0)</f>
        <v>1</v>
      </c>
      <c r="F63" cm="1">
        <f t="array" ref="F63">_xll.VALEURCOURBE($A$2,_xlfn.CONCAT("THEME14=",$B63),SCENARIOS!$A$2,SCENARIOS!$B$2,YIELDS_youvert!F$1,0)</f>
        <v>1</v>
      </c>
      <c r="G63" cm="1">
        <f t="array" ref="G63">_xll.VALEURCOURBE($A$2,_xlfn.CONCAT("THEME14=",$B63),SCENARIOS!$A$2,SCENARIOS!$B$2,YIELDS_youvert!G$1,0)</f>
        <v>1</v>
      </c>
      <c r="H63" cm="1">
        <f t="array" ref="H63">_xll.VALEURCOURBE($A$2,_xlfn.CONCAT("THEME14=",$B63),SCENARIOS!$A$2,SCENARIOS!$B$2,YIELDS_youvert!H$1,0)</f>
        <v>1</v>
      </c>
      <c r="I63" cm="1">
        <f t="array" ref="I63">_xll.VALEURCOURBE($A$2,_xlfn.CONCAT("THEME14=",$B63),SCENARIOS!$A$2,SCENARIOS!$B$2,YIELDS_youvert!I$1,0)</f>
        <v>1</v>
      </c>
      <c r="J63" cm="1">
        <f t="array" ref="J63">_xll.VALEURCOURBE($A$2,_xlfn.CONCAT("THEME14=",$B63),SCENARIOS!$A$2,SCENARIOS!$B$2,YIELDS_youvert!J$1,0)</f>
        <v>1</v>
      </c>
      <c r="K63" cm="1">
        <f t="array" ref="K63">_xll.VALEURCOURBE($A$2,_xlfn.CONCAT("THEME14=",$B63),SCENARIOS!$A$2,SCENARIOS!$B$2,YIELDS_youvert!K$1,0)</f>
        <v>1</v>
      </c>
      <c r="L63" cm="1">
        <f t="array" ref="L63">_xll.VALEURCOURBE($A$2,_xlfn.CONCAT("THEME14=",$B63),SCENARIOS!$A$2,SCENARIOS!$B$2,YIELDS_youvert!L$1,0)</f>
        <v>1</v>
      </c>
      <c r="M63" cm="1">
        <f t="array" ref="M63">_xll.VALEURCOURBE($A$2,_xlfn.CONCAT("THEME14=",$B63),SCENARIOS!$A$2,SCENARIOS!$B$2,YIELDS_youvert!M$1,0)</f>
        <v>1</v>
      </c>
      <c r="N63" cm="1">
        <f t="array" ref="N63">_xll.VALEURCOURBE($A$2,_xlfn.CONCAT("THEME14=",$B63),SCENARIOS!$A$2,SCENARIOS!$B$2,YIELDS_youvert!N$1,0)</f>
        <v>1</v>
      </c>
      <c r="O63" cm="1">
        <f t="array" ref="O63">_xll.VALEURCOURBE($A$2,_xlfn.CONCAT("THEME14=",$B63),SCENARIOS!$A$2,SCENARIOS!$B$2,YIELDS_youvert!O$1,0)</f>
        <v>1</v>
      </c>
      <c r="P63" cm="1">
        <f t="array" ref="P63">_xll.VALEURCOURBE($A$2,_xlfn.CONCAT("THEME14=",$B63),SCENARIOS!$A$2,SCENARIOS!$B$2,YIELDS_youvert!P$1,0)</f>
        <v>1</v>
      </c>
      <c r="Q63" cm="1">
        <f t="array" ref="Q63">_xll.VALEURCOURBE($A$2,_xlfn.CONCAT("THEME14=",$B63),SCENARIOS!$A$2,SCENARIOS!$B$2,YIELDS_youvert!Q$1,0)</f>
        <v>1</v>
      </c>
      <c r="R63" cm="1">
        <f t="array" ref="R63">_xll.VALEURCOURBE($A$2,_xlfn.CONCAT("THEME14=",$B63),SCENARIOS!$A$2,SCENARIOS!$B$2,YIELDS_youvert!R$1,0)</f>
        <v>1</v>
      </c>
      <c r="S63" cm="1">
        <f t="array" ref="S63">_xll.VALEURCOURBE($A$2,_xlfn.CONCAT("THEME14=",$B63),SCENARIOS!$A$2,SCENARIOS!$B$2,YIELDS_youvert!S$1,0)</f>
        <v>1</v>
      </c>
      <c r="T63" cm="1">
        <f t="array" ref="T63">_xll.VALEURCOURBE($A$2,_xlfn.CONCAT("THEME14=",$B63),SCENARIOS!$A$2,SCENARIOS!$B$2,YIELDS_youvert!T$1,0)</f>
        <v>1</v>
      </c>
      <c r="U63" cm="1">
        <f t="array" ref="U63">_xll.VALEURCOURBE($A$2,_xlfn.CONCAT("THEME14=",$B63),SCENARIOS!$A$2,SCENARIOS!$B$2,YIELDS_youvert!U$1,0)</f>
        <v>1</v>
      </c>
      <c r="V63" cm="1">
        <f t="array" ref="V63">_xll.VALEURCOURBE($A$2,_xlfn.CONCAT("THEME14=",$B63),SCENARIOS!$A$2,SCENARIOS!$B$2,YIELDS_youvert!V$1,0)</f>
        <v>1</v>
      </c>
      <c r="W63" cm="1">
        <f t="array" ref="W63">_xll.VALEURCOURBE($A$2,_xlfn.CONCAT("THEME14=",$B63),SCENARIOS!$A$2,SCENARIOS!$B$2,YIELDS_youvert!W$1,0)</f>
        <v>1</v>
      </c>
      <c r="X63" cm="1">
        <f t="array" ref="X63">_xll.VALEURCOURBE($A$2,_xlfn.CONCAT("THEME14=",$B63),SCENARIOS!$A$2,SCENARIOS!$B$2,YIELDS_youvert!X$1,0)</f>
        <v>1</v>
      </c>
      <c r="Y63" cm="1">
        <f t="array" ref="Y63">_xll.VALEURCOURBE($A$2,_xlfn.CONCAT("THEME14=",$B63),SCENARIOS!$A$2,SCENARIOS!$B$2,YIELDS_youvert!Y$1,0)</f>
        <v>1</v>
      </c>
      <c r="Z63" cm="1">
        <f t="array" ref="Z63">_xll.VALEURCOURBE($A$2,_xlfn.CONCAT("THEME14=",$B63),SCENARIOS!$A$2,SCENARIOS!$B$2,YIELDS_youvert!Z$1,0)</f>
        <v>1</v>
      </c>
      <c r="AA63" cm="1">
        <f t="array" ref="AA63">_xll.VALEURCOURBE($A$2,_xlfn.CONCAT("THEME14=",$B63),SCENARIOS!$A$2,SCENARIOS!$B$2,YIELDS_youvert!AA$1,0)</f>
        <v>1</v>
      </c>
      <c r="AB63" cm="1">
        <f t="array" ref="AB63">_xll.VALEURCOURBE($A$2,_xlfn.CONCAT("THEME14=",$B63),SCENARIOS!$A$2,SCENARIOS!$B$2,YIELDS_youvert!AB$1,0)</f>
        <v>1</v>
      </c>
      <c r="AC63" cm="1">
        <f t="array" ref="AC63">_xll.VALEURCOURBE($A$2,_xlfn.CONCAT("THEME14=",$B63),SCENARIOS!$A$2,SCENARIOS!$B$2,YIELDS_youvert!AC$1,0)</f>
        <v>1</v>
      </c>
      <c r="AD63" cm="1">
        <f t="array" ref="AD63">_xll.VALEURCOURBE($A$2,_xlfn.CONCAT("THEME14=",$B63),SCENARIOS!$A$2,SCENARIOS!$B$2,YIELDS_youvert!AD$1,0)</f>
        <v>1</v>
      </c>
      <c r="AE63" cm="1">
        <f t="array" ref="AE63">_xll.VALEURCOURBE($A$2,_xlfn.CONCAT("THEME14=",$B63),SCENARIOS!$A$2,SCENARIOS!$B$2,YIELDS_youvert!AE$1,0)</f>
        <v>1</v>
      </c>
    </row>
    <row r="64" spans="3:31" x14ac:dyDescent="0.25">
      <c r="C64" cm="1">
        <f t="array" ref="C64">_xll.VALEURCOURBE($A$2,_xlfn.CONCAT("THEME14=",$B64),SCENARIOS!$A$2,SCENARIOS!$B$2,YIELDS_youvert!C$1,0)</f>
        <v>1</v>
      </c>
      <c r="D64" cm="1">
        <f t="array" ref="D64">_xll.VALEURCOURBE($A$2,_xlfn.CONCAT("THEME14=",$B64),SCENARIOS!$A$2,SCENARIOS!$B$2,YIELDS_youvert!D$1,0)</f>
        <v>1</v>
      </c>
      <c r="E64" cm="1">
        <f t="array" ref="E64">_xll.VALEURCOURBE($A$2,_xlfn.CONCAT("THEME14=",$B64),SCENARIOS!$A$2,SCENARIOS!$B$2,YIELDS_youvert!E$1,0)</f>
        <v>1</v>
      </c>
      <c r="F64" cm="1">
        <f t="array" ref="F64">_xll.VALEURCOURBE($A$2,_xlfn.CONCAT("THEME14=",$B64),SCENARIOS!$A$2,SCENARIOS!$B$2,YIELDS_youvert!F$1,0)</f>
        <v>1</v>
      </c>
      <c r="G64" cm="1">
        <f t="array" ref="G64">_xll.VALEURCOURBE($A$2,_xlfn.CONCAT("THEME14=",$B64),SCENARIOS!$A$2,SCENARIOS!$B$2,YIELDS_youvert!G$1,0)</f>
        <v>1</v>
      </c>
      <c r="H64" cm="1">
        <f t="array" ref="H64">_xll.VALEURCOURBE($A$2,_xlfn.CONCAT("THEME14=",$B64),SCENARIOS!$A$2,SCENARIOS!$B$2,YIELDS_youvert!H$1,0)</f>
        <v>1</v>
      </c>
      <c r="I64" cm="1">
        <f t="array" ref="I64">_xll.VALEURCOURBE($A$2,_xlfn.CONCAT("THEME14=",$B64),SCENARIOS!$A$2,SCENARIOS!$B$2,YIELDS_youvert!I$1,0)</f>
        <v>1</v>
      </c>
      <c r="J64" cm="1">
        <f t="array" ref="J64">_xll.VALEURCOURBE($A$2,_xlfn.CONCAT("THEME14=",$B64),SCENARIOS!$A$2,SCENARIOS!$B$2,YIELDS_youvert!J$1,0)</f>
        <v>1</v>
      </c>
      <c r="K64" cm="1">
        <f t="array" ref="K64">_xll.VALEURCOURBE($A$2,_xlfn.CONCAT("THEME14=",$B64),SCENARIOS!$A$2,SCENARIOS!$B$2,YIELDS_youvert!K$1,0)</f>
        <v>1</v>
      </c>
      <c r="L64" cm="1">
        <f t="array" ref="L64">_xll.VALEURCOURBE($A$2,_xlfn.CONCAT("THEME14=",$B64),SCENARIOS!$A$2,SCENARIOS!$B$2,YIELDS_youvert!L$1,0)</f>
        <v>1</v>
      </c>
      <c r="M64" cm="1">
        <f t="array" ref="M64">_xll.VALEURCOURBE($A$2,_xlfn.CONCAT("THEME14=",$B64),SCENARIOS!$A$2,SCENARIOS!$B$2,YIELDS_youvert!M$1,0)</f>
        <v>1</v>
      </c>
      <c r="N64" cm="1">
        <f t="array" ref="N64">_xll.VALEURCOURBE($A$2,_xlfn.CONCAT("THEME14=",$B64),SCENARIOS!$A$2,SCENARIOS!$B$2,YIELDS_youvert!N$1,0)</f>
        <v>1</v>
      </c>
      <c r="O64" cm="1">
        <f t="array" ref="O64">_xll.VALEURCOURBE($A$2,_xlfn.CONCAT("THEME14=",$B64),SCENARIOS!$A$2,SCENARIOS!$B$2,YIELDS_youvert!O$1,0)</f>
        <v>1</v>
      </c>
      <c r="P64" cm="1">
        <f t="array" ref="P64">_xll.VALEURCOURBE($A$2,_xlfn.CONCAT("THEME14=",$B64),SCENARIOS!$A$2,SCENARIOS!$B$2,YIELDS_youvert!P$1,0)</f>
        <v>1</v>
      </c>
      <c r="Q64" cm="1">
        <f t="array" ref="Q64">_xll.VALEURCOURBE($A$2,_xlfn.CONCAT("THEME14=",$B64),SCENARIOS!$A$2,SCENARIOS!$B$2,YIELDS_youvert!Q$1,0)</f>
        <v>1</v>
      </c>
      <c r="R64" cm="1">
        <f t="array" ref="R64">_xll.VALEURCOURBE($A$2,_xlfn.CONCAT("THEME14=",$B64),SCENARIOS!$A$2,SCENARIOS!$B$2,YIELDS_youvert!R$1,0)</f>
        <v>1</v>
      </c>
      <c r="S64" cm="1">
        <f t="array" ref="S64">_xll.VALEURCOURBE($A$2,_xlfn.CONCAT("THEME14=",$B64),SCENARIOS!$A$2,SCENARIOS!$B$2,YIELDS_youvert!S$1,0)</f>
        <v>1</v>
      </c>
      <c r="T64" cm="1">
        <f t="array" ref="T64">_xll.VALEURCOURBE($A$2,_xlfn.CONCAT("THEME14=",$B64),SCENARIOS!$A$2,SCENARIOS!$B$2,YIELDS_youvert!T$1,0)</f>
        <v>1</v>
      </c>
      <c r="U64" cm="1">
        <f t="array" ref="U64">_xll.VALEURCOURBE($A$2,_xlfn.CONCAT("THEME14=",$B64),SCENARIOS!$A$2,SCENARIOS!$B$2,YIELDS_youvert!U$1,0)</f>
        <v>1</v>
      </c>
      <c r="V64" cm="1">
        <f t="array" ref="V64">_xll.VALEURCOURBE($A$2,_xlfn.CONCAT("THEME14=",$B64),SCENARIOS!$A$2,SCENARIOS!$B$2,YIELDS_youvert!V$1,0)</f>
        <v>1</v>
      </c>
      <c r="W64" cm="1">
        <f t="array" ref="W64">_xll.VALEURCOURBE($A$2,_xlfn.CONCAT("THEME14=",$B64),SCENARIOS!$A$2,SCENARIOS!$B$2,YIELDS_youvert!W$1,0)</f>
        <v>1</v>
      </c>
      <c r="X64" cm="1">
        <f t="array" ref="X64">_xll.VALEURCOURBE($A$2,_xlfn.CONCAT("THEME14=",$B64),SCENARIOS!$A$2,SCENARIOS!$B$2,YIELDS_youvert!X$1,0)</f>
        <v>1</v>
      </c>
      <c r="Y64" cm="1">
        <f t="array" ref="Y64">_xll.VALEURCOURBE($A$2,_xlfn.CONCAT("THEME14=",$B64),SCENARIOS!$A$2,SCENARIOS!$B$2,YIELDS_youvert!Y$1,0)</f>
        <v>1</v>
      </c>
      <c r="Z64" cm="1">
        <f t="array" ref="Z64">_xll.VALEURCOURBE($A$2,_xlfn.CONCAT("THEME14=",$B64),SCENARIOS!$A$2,SCENARIOS!$B$2,YIELDS_youvert!Z$1,0)</f>
        <v>1</v>
      </c>
      <c r="AA64" cm="1">
        <f t="array" ref="AA64">_xll.VALEURCOURBE($A$2,_xlfn.CONCAT("THEME14=",$B64),SCENARIOS!$A$2,SCENARIOS!$B$2,YIELDS_youvert!AA$1,0)</f>
        <v>1</v>
      </c>
      <c r="AB64" cm="1">
        <f t="array" ref="AB64">_xll.VALEURCOURBE($A$2,_xlfn.CONCAT("THEME14=",$B64),SCENARIOS!$A$2,SCENARIOS!$B$2,YIELDS_youvert!AB$1,0)</f>
        <v>1</v>
      </c>
      <c r="AC64" cm="1">
        <f t="array" ref="AC64">_xll.VALEURCOURBE($A$2,_xlfn.CONCAT("THEME14=",$B64),SCENARIOS!$A$2,SCENARIOS!$B$2,YIELDS_youvert!AC$1,0)</f>
        <v>1</v>
      </c>
      <c r="AD64" cm="1">
        <f t="array" ref="AD64">_xll.VALEURCOURBE($A$2,_xlfn.CONCAT("THEME14=",$B64),SCENARIOS!$A$2,SCENARIOS!$B$2,YIELDS_youvert!AD$1,0)</f>
        <v>1</v>
      </c>
      <c r="AE64" cm="1">
        <f t="array" ref="AE64">_xll.VALEURCOURBE($A$2,_xlfn.CONCAT("THEME14=",$B64),SCENARIOS!$A$2,SCENARIOS!$B$2,YIELDS_youvert!AE$1,0)</f>
        <v>1</v>
      </c>
    </row>
    <row r="65" spans="3:31" x14ac:dyDescent="0.25">
      <c r="C65" cm="1">
        <f t="array" ref="C65">_xll.VALEURCOURBE($A$2,_xlfn.CONCAT("THEME14=",$B65),SCENARIOS!$A$2,SCENARIOS!$B$2,YIELDS_youvert!C$1,0)</f>
        <v>1</v>
      </c>
      <c r="D65" cm="1">
        <f t="array" ref="D65">_xll.VALEURCOURBE($A$2,_xlfn.CONCAT("THEME14=",$B65),SCENARIOS!$A$2,SCENARIOS!$B$2,YIELDS_youvert!D$1,0)</f>
        <v>1</v>
      </c>
      <c r="E65" cm="1">
        <f t="array" ref="E65">_xll.VALEURCOURBE($A$2,_xlfn.CONCAT("THEME14=",$B65),SCENARIOS!$A$2,SCENARIOS!$B$2,YIELDS_youvert!E$1,0)</f>
        <v>1</v>
      </c>
      <c r="F65" cm="1">
        <f t="array" ref="F65">_xll.VALEURCOURBE($A$2,_xlfn.CONCAT("THEME14=",$B65),SCENARIOS!$A$2,SCENARIOS!$B$2,YIELDS_youvert!F$1,0)</f>
        <v>1</v>
      </c>
      <c r="G65" cm="1">
        <f t="array" ref="G65">_xll.VALEURCOURBE($A$2,_xlfn.CONCAT("THEME14=",$B65),SCENARIOS!$A$2,SCENARIOS!$B$2,YIELDS_youvert!G$1,0)</f>
        <v>1</v>
      </c>
      <c r="H65" cm="1">
        <f t="array" ref="H65">_xll.VALEURCOURBE($A$2,_xlfn.CONCAT("THEME14=",$B65),SCENARIOS!$A$2,SCENARIOS!$B$2,YIELDS_youvert!H$1,0)</f>
        <v>1</v>
      </c>
      <c r="I65" cm="1">
        <f t="array" ref="I65">_xll.VALEURCOURBE($A$2,_xlfn.CONCAT("THEME14=",$B65),SCENARIOS!$A$2,SCENARIOS!$B$2,YIELDS_youvert!I$1,0)</f>
        <v>1</v>
      </c>
      <c r="J65" cm="1">
        <f t="array" ref="J65">_xll.VALEURCOURBE($A$2,_xlfn.CONCAT("THEME14=",$B65),SCENARIOS!$A$2,SCENARIOS!$B$2,YIELDS_youvert!J$1,0)</f>
        <v>1</v>
      </c>
      <c r="K65" cm="1">
        <f t="array" ref="K65">_xll.VALEURCOURBE($A$2,_xlfn.CONCAT("THEME14=",$B65),SCENARIOS!$A$2,SCENARIOS!$B$2,YIELDS_youvert!K$1,0)</f>
        <v>1</v>
      </c>
      <c r="L65" cm="1">
        <f t="array" ref="L65">_xll.VALEURCOURBE($A$2,_xlfn.CONCAT("THEME14=",$B65),SCENARIOS!$A$2,SCENARIOS!$B$2,YIELDS_youvert!L$1,0)</f>
        <v>1</v>
      </c>
      <c r="M65" cm="1">
        <f t="array" ref="M65">_xll.VALEURCOURBE($A$2,_xlfn.CONCAT("THEME14=",$B65),SCENARIOS!$A$2,SCENARIOS!$B$2,YIELDS_youvert!M$1,0)</f>
        <v>1</v>
      </c>
      <c r="N65" cm="1">
        <f t="array" ref="N65">_xll.VALEURCOURBE($A$2,_xlfn.CONCAT("THEME14=",$B65),SCENARIOS!$A$2,SCENARIOS!$B$2,YIELDS_youvert!N$1,0)</f>
        <v>1</v>
      </c>
      <c r="O65" cm="1">
        <f t="array" ref="O65">_xll.VALEURCOURBE($A$2,_xlfn.CONCAT("THEME14=",$B65),SCENARIOS!$A$2,SCENARIOS!$B$2,YIELDS_youvert!O$1,0)</f>
        <v>1</v>
      </c>
      <c r="P65" cm="1">
        <f t="array" ref="P65">_xll.VALEURCOURBE($A$2,_xlfn.CONCAT("THEME14=",$B65),SCENARIOS!$A$2,SCENARIOS!$B$2,YIELDS_youvert!P$1,0)</f>
        <v>1</v>
      </c>
      <c r="Q65" cm="1">
        <f t="array" ref="Q65">_xll.VALEURCOURBE($A$2,_xlfn.CONCAT("THEME14=",$B65),SCENARIOS!$A$2,SCENARIOS!$B$2,YIELDS_youvert!Q$1,0)</f>
        <v>1</v>
      </c>
      <c r="R65" cm="1">
        <f t="array" ref="R65">_xll.VALEURCOURBE($A$2,_xlfn.CONCAT("THEME14=",$B65),SCENARIOS!$A$2,SCENARIOS!$B$2,YIELDS_youvert!R$1,0)</f>
        <v>1</v>
      </c>
      <c r="S65" cm="1">
        <f t="array" ref="S65">_xll.VALEURCOURBE($A$2,_xlfn.CONCAT("THEME14=",$B65),SCENARIOS!$A$2,SCENARIOS!$B$2,YIELDS_youvert!S$1,0)</f>
        <v>1</v>
      </c>
      <c r="T65" cm="1">
        <f t="array" ref="T65">_xll.VALEURCOURBE($A$2,_xlfn.CONCAT("THEME14=",$B65),SCENARIOS!$A$2,SCENARIOS!$B$2,YIELDS_youvert!T$1,0)</f>
        <v>1</v>
      </c>
      <c r="U65" cm="1">
        <f t="array" ref="U65">_xll.VALEURCOURBE($A$2,_xlfn.CONCAT("THEME14=",$B65),SCENARIOS!$A$2,SCENARIOS!$B$2,YIELDS_youvert!U$1,0)</f>
        <v>1</v>
      </c>
      <c r="V65" cm="1">
        <f t="array" ref="V65">_xll.VALEURCOURBE($A$2,_xlfn.CONCAT("THEME14=",$B65),SCENARIOS!$A$2,SCENARIOS!$B$2,YIELDS_youvert!V$1,0)</f>
        <v>1</v>
      </c>
      <c r="W65" cm="1">
        <f t="array" ref="W65">_xll.VALEURCOURBE($A$2,_xlfn.CONCAT("THEME14=",$B65),SCENARIOS!$A$2,SCENARIOS!$B$2,YIELDS_youvert!W$1,0)</f>
        <v>1</v>
      </c>
      <c r="X65" cm="1">
        <f t="array" ref="X65">_xll.VALEURCOURBE($A$2,_xlfn.CONCAT("THEME14=",$B65),SCENARIOS!$A$2,SCENARIOS!$B$2,YIELDS_youvert!X$1,0)</f>
        <v>1</v>
      </c>
      <c r="Y65" cm="1">
        <f t="array" ref="Y65">_xll.VALEURCOURBE($A$2,_xlfn.CONCAT("THEME14=",$B65),SCENARIOS!$A$2,SCENARIOS!$B$2,YIELDS_youvert!Y$1,0)</f>
        <v>1</v>
      </c>
      <c r="Z65" cm="1">
        <f t="array" ref="Z65">_xll.VALEURCOURBE($A$2,_xlfn.CONCAT("THEME14=",$B65),SCENARIOS!$A$2,SCENARIOS!$B$2,YIELDS_youvert!Z$1,0)</f>
        <v>1</v>
      </c>
      <c r="AA65" cm="1">
        <f t="array" ref="AA65">_xll.VALEURCOURBE($A$2,_xlfn.CONCAT("THEME14=",$B65),SCENARIOS!$A$2,SCENARIOS!$B$2,YIELDS_youvert!AA$1,0)</f>
        <v>1</v>
      </c>
      <c r="AB65" cm="1">
        <f t="array" ref="AB65">_xll.VALEURCOURBE($A$2,_xlfn.CONCAT("THEME14=",$B65),SCENARIOS!$A$2,SCENARIOS!$B$2,YIELDS_youvert!AB$1,0)</f>
        <v>1</v>
      </c>
      <c r="AC65" cm="1">
        <f t="array" ref="AC65">_xll.VALEURCOURBE($A$2,_xlfn.CONCAT("THEME14=",$B65),SCENARIOS!$A$2,SCENARIOS!$B$2,YIELDS_youvert!AC$1,0)</f>
        <v>1</v>
      </c>
      <c r="AD65" cm="1">
        <f t="array" ref="AD65">_xll.VALEURCOURBE($A$2,_xlfn.CONCAT("THEME14=",$B65),SCENARIOS!$A$2,SCENARIOS!$B$2,YIELDS_youvert!AD$1,0)</f>
        <v>1</v>
      </c>
      <c r="AE65" cm="1">
        <f t="array" ref="AE65">_xll.VALEURCOURBE($A$2,_xlfn.CONCAT("THEME14=",$B65),SCENARIOS!$A$2,SCENARIOS!$B$2,YIELDS_youvert!AE$1,0)</f>
        <v>1</v>
      </c>
    </row>
    <row r="66" spans="3:31" x14ac:dyDescent="0.25">
      <c r="C66" cm="1">
        <f t="array" ref="C66">_xll.VALEURCOURBE($A$2,_xlfn.CONCAT("THEME14=",$B66),SCENARIOS!$A$2,SCENARIOS!$B$2,YIELDS_youvert!C$1,0)</f>
        <v>1</v>
      </c>
      <c r="D66" cm="1">
        <f t="array" ref="D66">_xll.VALEURCOURBE($A$2,_xlfn.CONCAT("THEME14=",$B66),SCENARIOS!$A$2,SCENARIOS!$B$2,YIELDS_youvert!D$1,0)</f>
        <v>1</v>
      </c>
      <c r="E66" cm="1">
        <f t="array" ref="E66">_xll.VALEURCOURBE($A$2,_xlfn.CONCAT("THEME14=",$B66),SCENARIOS!$A$2,SCENARIOS!$B$2,YIELDS_youvert!E$1,0)</f>
        <v>1</v>
      </c>
      <c r="F66" cm="1">
        <f t="array" ref="F66">_xll.VALEURCOURBE($A$2,_xlfn.CONCAT("THEME14=",$B66),SCENARIOS!$A$2,SCENARIOS!$B$2,YIELDS_youvert!F$1,0)</f>
        <v>1</v>
      </c>
      <c r="G66" cm="1">
        <f t="array" ref="G66">_xll.VALEURCOURBE($A$2,_xlfn.CONCAT("THEME14=",$B66),SCENARIOS!$A$2,SCENARIOS!$B$2,YIELDS_youvert!G$1,0)</f>
        <v>1</v>
      </c>
      <c r="H66" cm="1">
        <f t="array" ref="H66">_xll.VALEURCOURBE($A$2,_xlfn.CONCAT("THEME14=",$B66),SCENARIOS!$A$2,SCENARIOS!$B$2,YIELDS_youvert!H$1,0)</f>
        <v>1</v>
      </c>
      <c r="I66" cm="1">
        <f t="array" ref="I66">_xll.VALEURCOURBE($A$2,_xlfn.CONCAT("THEME14=",$B66),SCENARIOS!$A$2,SCENARIOS!$B$2,YIELDS_youvert!I$1,0)</f>
        <v>1</v>
      </c>
      <c r="J66" cm="1">
        <f t="array" ref="J66">_xll.VALEURCOURBE($A$2,_xlfn.CONCAT("THEME14=",$B66),SCENARIOS!$A$2,SCENARIOS!$B$2,YIELDS_youvert!J$1,0)</f>
        <v>1</v>
      </c>
      <c r="K66" cm="1">
        <f t="array" ref="K66">_xll.VALEURCOURBE($A$2,_xlfn.CONCAT("THEME14=",$B66),SCENARIOS!$A$2,SCENARIOS!$B$2,YIELDS_youvert!K$1,0)</f>
        <v>1</v>
      </c>
      <c r="L66" cm="1">
        <f t="array" ref="L66">_xll.VALEURCOURBE($A$2,_xlfn.CONCAT("THEME14=",$B66),SCENARIOS!$A$2,SCENARIOS!$B$2,YIELDS_youvert!L$1,0)</f>
        <v>1</v>
      </c>
      <c r="M66" cm="1">
        <f t="array" ref="M66">_xll.VALEURCOURBE($A$2,_xlfn.CONCAT("THEME14=",$B66),SCENARIOS!$A$2,SCENARIOS!$B$2,YIELDS_youvert!M$1,0)</f>
        <v>1</v>
      </c>
      <c r="N66" cm="1">
        <f t="array" ref="N66">_xll.VALEURCOURBE($A$2,_xlfn.CONCAT("THEME14=",$B66),SCENARIOS!$A$2,SCENARIOS!$B$2,YIELDS_youvert!N$1,0)</f>
        <v>1</v>
      </c>
      <c r="O66" cm="1">
        <f t="array" ref="O66">_xll.VALEURCOURBE($A$2,_xlfn.CONCAT("THEME14=",$B66),SCENARIOS!$A$2,SCENARIOS!$B$2,YIELDS_youvert!O$1,0)</f>
        <v>1</v>
      </c>
      <c r="P66" cm="1">
        <f t="array" ref="P66">_xll.VALEURCOURBE($A$2,_xlfn.CONCAT("THEME14=",$B66),SCENARIOS!$A$2,SCENARIOS!$B$2,YIELDS_youvert!P$1,0)</f>
        <v>1</v>
      </c>
      <c r="Q66" cm="1">
        <f t="array" ref="Q66">_xll.VALEURCOURBE($A$2,_xlfn.CONCAT("THEME14=",$B66),SCENARIOS!$A$2,SCENARIOS!$B$2,YIELDS_youvert!Q$1,0)</f>
        <v>1</v>
      </c>
      <c r="R66" cm="1">
        <f t="array" ref="R66">_xll.VALEURCOURBE($A$2,_xlfn.CONCAT("THEME14=",$B66),SCENARIOS!$A$2,SCENARIOS!$B$2,YIELDS_youvert!R$1,0)</f>
        <v>1</v>
      </c>
      <c r="S66" cm="1">
        <f t="array" ref="S66">_xll.VALEURCOURBE($A$2,_xlfn.CONCAT("THEME14=",$B66),SCENARIOS!$A$2,SCENARIOS!$B$2,YIELDS_youvert!S$1,0)</f>
        <v>1</v>
      </c>
      <c r="T66" cm="1">
        <f t="array" ref="T66">_xll.VALEURCOURBE($A$2,_xlfn.CONCAT("THEME14=",$B66),SCENARIOS!$A$2,SCENARIOS!$B$2,YIELDS_youvert!T$1,0)</f>
        <v>1</v>
      </c>
      <c r="U66" cm="1">
        <f t="array" ref="U66">_xll.VALEURCOURBE($A$2,_xlfn.CONCAT("THEME14=",$B66),SCENARIOS!$A$2,SCENARIOS!$B$2,YIELDS_youvert!U$1,0)</f>
        <v>1</v>
      </c>
      <c r="V66" cm="1">
        <f t="array" ref="V66">_xll.VALEURCOURBE($A$2,_xlfn.CONCAT("THEME14=",$B66),SCENARIOS!$A$2,SCENARIOS!$B$2,YIELDS_youvert!V$1,0)</f>
        <v>1</v>
      </c>
      <c r="W66" cm="1">
        <f t="array" ref="W66">_xll.VALEURCOURBE($A$2,_xlfn.CONCAT("THEME14=",$B66),SCENARIOS!$A$2,SCENARIOS!$B$2,YIELDS_youvert!W$1,0)</f>
        <v>1</v>
      </c>
      <c r="X66" cm="1">
        <f t="array" ref="X66">_xll.VALEURCOURBE($A$2,_xlfn.CONCAT("THEME14=",$B66),SCENARIOS!$A$2,SCENARIOS!$B$2,YIELDS_youvert!X$1,0)</f>
        <v>1</v>
      </c>
      <c r="Y66" cm="1">
        <f t="array" ref="Y66">_xll.VALEURCOURBE($A$2,_xlfn.CONCAT("THEME14=",$B66),SCENARIOS!$A$2,SCENARIOS!$B$2,YIELDS_youvert!Y$1,0)</f>
        <v>1</v>
      </c>
      <c r="Z66" cm="1">
        <f t="array" ref="Z66">_xll.VALEURCOURBE($A$2,_xlfn.CONCAT("THEME14=",$B66),SCENARIOS!$A$2,SCENARIOS!$B$2,YIELDS_youvert!Z$1,0)</f>
        <v>1</v>
      </c>
      <c r="AA66" cm="1">
        <f t="array" ref="AA66">_xll.VALEURCOURBE($A$2,_xlfn.CONCAT("THEME14=",$B66),SCENARIOS!$A$2,SCENARIOS!$B$2,YIELDS_youvert!AA$1,0)</f>
        <v>1</v>
      </c>
      <c r="AB66" cm="1">
        <f t="array" ref="AB66">_xll.VALEURCOURBE($A$2,_xlfn.CONCAT("THEME14=",$B66),SCENARIOS!$A$2,SCENARIOS!$B$2,YIELDS_youvert!AB$1,0)</f>
        <v>1</v>
      </c>
      <c r="AC66" cm="1">
        <f t="array" ref="AC66">_xll.VALEURCOURBE($A$2,_xlfn.CONCAT("THEME14=",$B66),SCENARIOS!$A$2,SCENARIOS!$B$2,YIELDS_youvert!AC$1,0)</f>
        <v>1</v>
      </c>
      <c r="AD66" cm="1">
        <f t="array" ref="AD66">_xll.VALEURCOURBE($A$2,_xlfn.CONCAT("THEME14=",$B66),SCENARIOS!$A$2,SCENARIOS!$B$2,YIELDS_youvert!AD$1,0)</f>
        <v>1</v>
      </c>
      <c r="AE66" cm="1">
        <f t="array" ref="AE66">_xll.VALEURCOURBE($A$2,_xlfn.CONCAT("THEME14=",$B66),SCENARIOS!$A$2,SCENARIOS!$B$2,YIELDS_youvert!AE$1,0)</f>
        <v>1</v>
      </c>
    </row>
    <row r="67" spans="3:31" x14ac:dyDescent="0.25">
      <c r="C67" cm="1">
        <f t="array" ref="C67">_xll.VALEURCOURBE($A$2,_xlfn.CONCAT("THEME14=",$B67),SCENARIOS!$A$2,SCENARIOS!$B$2,YIELDS_youvert!C$1,0)</f>
        <v>1</v>
      </c>
      <c r="D67" cm="1">
        <f t="array" ref="D67">_xll.VALEURCOURBE($A$2,_xlfn.CONCAT("THEME14=",$B67),SCENARIOS!$A$2,SCENARIOS!$B$2,YIELDS_youvert!D$1,0)</f>
        <v>1</v>
      </c>
      <c r="E67" cm="1">
        <f t="array" ref="E67">_xll.VALEURCOURBE($A$2,_xlfn.CONCAT("THEME14=",$B67),SCENARIOS!$A$2,SCENARIOS!$B$2,YIELDS_youvert!E$1,0)</f>
        <v>1</v>
      </c>
      <c r="F67" cm="1">
        <f t="array" ref="F67">_xll.VALEURCOURBE($A$2,_xlfn.CONCAT("THEME14=",$B67),SCENARIOS!$A$2,SCENARIOS!$B$2,YIELDS_youvert!F$1,0)</f>
        <v>1</v>
      </c>
      <c r="G67" cm="1">
        <f t="array" ref="G67">_xll.VALEURCOURBE($A$2,_xlfn.CONCAT("THEME14=",$B67),SCENARIOS!$A$2,SCENARIOS!$B$2,YIELDS_youvert!G$1,0)</f>
        <v>1</v>
      </c>
      <c r="H67" cm="1">
        <f t="array" ref="H67">_xll.VALEURCOURBE($A$2,_xlfn.CONCAT("THEME14=",$B67),SCENARIOS!$A$2,SCENARIOS!$B$2,YIELDS_youvert!H$1,0)</f>
        <v>1</v>
      </c>
      <c r="I67" cm="1">
        <f t="array" ref="I67">_xll.VALEURCOURBE($A$2,_xlfn.CONCAT("THEME14=",$B67),SCENARIOS!$A$2,SCENARIOS!$B$2,YIELDS_youvert!I$1,0)</f>
        <v>1</v>
      </c>
      <c r="J67" cm="1">
        <f t="array" ref="J67">_xll.VALEURCOURBE($A$2,_xlfn.CONCAT("THEME14=",$B67),SCENARIOS!$A$2,SCENARIOS!$B$2,YIELDS_youvert!J$1,0)</f>
        <v>1</v>
      </c>
      <c r="K67" cm="1">
        <f t="array" ref="K67">_xll.VALEURCOURBE($A$2,_xlfn.CONCAT("THEME14=",$B67),SCENARIOS!$A$2,SCENARIOS!$B$2,YIELDS_youvert!K$1,0)</f>
        <v>1</v>
      </c>
      <c r="L67" cm="1">
        <f t="array" ref="L67">_xll.VALEURCOURBE($A$2,_xlfn.CONCAT("THEME14=",$B67),SCENARIOS!$A$2,SCENARIOS!$B$2,YIELDS_youvert!L$1,0)</f>
        <v>1</v>
      </c>
      <c r="M67" cm="1">
        <f t="array" ref="M67">_xll.VALEURCOURBE($A$2,_xlfn.CONCAT("THEME14=",$B67),SCENARIOS!$A$2,SCENARIOS!$B$2,YIELDS_youvert!M$1,0)</f>
        <v>1</v>
      </c>
      <c r="N67" cm="1">
        <f t="array" ref="N67">_xll.VALEURCOURBE($A$2,_xlfn.CONCAT("THEME14=",$B67),SCENARIOS!$A$2,SCENARIOS!$B$2,YIELDS_youvert!N$1,0)</f>
        <v>1</v>
      </c>
      <c r="O67" cm="1">
        <f t="array" ref="O67">_xll.VALEURCOURBE($A$2,_xlfn.CONCAT("THEME14=",$B67),SCENARIOS!$A$2,SCENARIOS!$B$2,YIELDS_youvert!O$1,0)</f>
        <v>1</v>
      </c>
      <c r="P67" cm="1">
        <f t="array" ref="P67">_xll.VALEURCOURBE($A$2,_xlfn.CONCAT("THEME14=",$B67),SCENARIOS!$A$2,SCENARIOS!$B$2,YIELDS_youvert!P$1,0)</f>
        <v>1</v>
      </c>
      <c r="Q67" cm="1">
        <f t="array" ref="Q67">_xll.VALEURCOURBE($A$2,_xlfn.CONCAT("THEME14=",$B67),SCENARIOS!$A$2,SCENARIOS!$B$2,YIELDS_youvert!Q$1,0)</f>
        <v>1</v>
      </c>
      <c r="R67" cm="1">
        <f t="array" ref="R67">_xll.VALEURCOURBE($A$2,_xlfn.CONCAT("THEME14=",$B67),SCENARIOS!$A$2,SCENARIOS!$B$2,YIELDS_youvert!R$1,0)</f>
        <v>1</v>
      </c>
      <c r="S67" cm="1">
        <f t="array" ref="S67">_xll.VALEURCOURBE($A$2,_xlfn.CONCAT("THEME14=",$B67),SCENARIOS!$A$2,SCENARIOS!$B$2,YIELDS_youvert!S$1,0)</f>
        <v>1</v>
      </c>
      <c r="T67" cm="1">
        <f t="array" ref="T67">_xll.VALEURCOURBE($A$2,_xlfn.CONCAT("THEME14=",$B67),SCENARIOS!$A$2,SCENARIOS!$B$2,YIELDS_youvert!T$1,0)</f>
        <v>1</v>
      </c>
      <c r="U67" cm="1">
        <f t="array" ref="U67">_xll.VALEURCOURBE($A$2,_xlfn.CONCAT("THEME14=",$B67),SCENARIOS!$A$2,SCENARIOS!$B$2,YIELDS_youvert!U$1,0)</f>
        <v>1</v>
      </c>
      <c r="V67" cm="1">
        <f t="array" ref="V67">_xll.VALEURCOURBE($A$2,_xlfn.CONCAT("THEME14=",$B67),SCENARIOS!$A$2,SCENARIOS!$B$2,YIELDS_youvert!V$1,0)</f>
        <v>1</v>
      </c>
      <c r="W67" cm="1">
        <f t="array" ref="W67">_xll.VALEURCOURBE($A$2,_xlfn.CONCAT("THEME14=",$B67),SCENARIOS!$A$2,SCENARIOS!$B$2,YIELDS_youvert!W$1,0)</f>
        <v>1</v>
      </c>
      <c r="X67" cm="1">
        <f t="array" ref="X67">_xll.VALEURCOURBE($A$2,_xlfn.CONCAT("THEME14=",$B67),SCENARIOS!$A$2,SCENARIOS!$B$2,YIELDS_youvert!X$1,0)</f>
        <v>1</v>
      </c>
      <c r="Y67" cm="1">
        <f t="array" ref="Y67">_xll.VALEURCOURBE($A$2,_xlfn.CONCAT("THEME14=",$B67),SCENARIOS!$A$2,SCENARIOS!$B$2,YIELDS_youvert!Y$1,0)</f>
        <v>1</v>
      </c>
      <c r="Z67" cm="1">
        <f t="array" ref="Z67">_xll.VALEURCOURBE($A$2,_xlfn.CONCAT("THEME14=",$B67),SCENARIOS!$A$2,SCENARIOS!$B$2,YIELDS_youvert!Z$1,0)</f>
        <v>1</v>
      </c>
      <c r="AA67" cm="1">
        <f t="array" ref="AA67">_xll.VALEURCOURBE($A$2,_xlfn.CONCAT("THEME14=",$B67),SCENARIOS!$A$2,SCENARIOS!$B$2,YIELDS_youvert!AA$1,0)</f>
        <v>1</v>
      </c>
      <c r="AB67" cm="1">
        <f t="array" ref="AB67">_xll.VALEURCOURBE($A$2,_xlfn.CONCAT("THEME14=",$B67),SCENARIOS!$A$2,SCENARIOS!$B$2,YIELDS_youvert!AB$1,0)</f>
        <v>1</v>
      </c>
      <c r="AC67" cm="1">
        <f t="array" ref="AC67">_xll.VALEURCOURBE($A$2,_xlfn.CONCAT("THEME14=",$B67),SCENARIOS!$A$2,SCENARIOS!$B$2,YIELDS_youvert!AC$1,0)</f>
        <v>1</v>
      </c>
      <c r="AD67" cm="1">
        <f t="array" ref="AD67">_xll.VALEURCOURBE($A$2,_xlfn.CONCAT("THEME14=",$B67),SCENARIOS!$A$2,SCENARIOS!$B$2,YIELDS_youvert!AD$1,0)</f>
        <v>1</v>
      </c>
      <c r="AE67" cm="1">
        <f t="array" ref="AE67">_xll.VALEURCOURBE($A$2,_xlfn.CONCAT("THEME14=",$B67),SCENARIOS!$A$2,SCENARIOS!$B$2,YIELDS_youvert!AE$1,0)</f>
        <v>1</v>
      </c>
    </row>
    <row r="68" spans="3:31" x14ac:dyDescent="0.25">
      <c r="C68" cm="1">
        <f t="array" ref="C68">_xll.VALEURCOURBE($A$2,_xlfn.CONCAT("THEME14=",$B68),SCENARIOS!$A$2,SCENARIOS!$B$2,YIELDS_youvert!C$1,0)</f>
        <v>1</v>
      </c>
      <c r="D68" cm="1">
        <f t="array" ref="D68">_xll.VALEURCOURBE($A$2,_xlfn.CONCAT("THEME14=",$B68),SCENARIOS!$A$2,SCENARIOS!$B$2,YIELDS_youvert!D$1,0)</f>
        <v>1</v>
      </c>
      <c r="E68" cm="1">
        <f t="array" ref="E68">_xll.VALEURCOURBE($A$2,_xlfn.CONCAT("THEME14=",$B68),SCENARIOS!$A$2,SCENARIOS!$B$2,YIELDS_youvert!E$1,0)</f>
        <v>1</v>
      </c>
      <c r="F68" cm="1">
        <f t="array" ref="F68">_xll.VALEURCOURBE($A$2,_xlfn.CONCAT("THEME14=",$B68),SCENARIOS!$A$2,SCENARIOS!$B$2,YIELDS_youvert!F$1,0)</f>
        <v>1</v>
      </c>
      <c r="G68" cm="1">
        <f t="array" ref="G68">_xll.VALEURCOURBE($A$2,_xlfn.CONCAT("THEME14=",$B68),SCENARIOS!$A$2,SCENARIOS!$B$2,YIELDS_youvert!G$1,0)</f>
        <v>1</v>
      </c>
      <c r="H68" cm="1">
        <f t="array" ref="H68">_xll.VALEURCOURBE($A$2,_xlfn.CONCAT("THEME14=",$B68),SCENARIOS!$A$2,SCENARIOS!$B$2,YIELDS_youvert!H$1,0)</f>
        <v>1</v>
      </c>
      <c r="I68" cm="1">
        <f t="array" ref="I68">_xll.VALEURCOURBE($A$2,_xlfn.CONCAT("THEME14=",$B68),SCENARIOS!$A$2,SCENARIOS!$B$2,YIELDS_youvert!I$1,0)</f>
        <v>1</v>
      </c>
      <c r="J68" cm="1">
        <f t="array" ref="J68">_xll.VALEURCOURBE($A$2,_xlfn.CONCAT("THEME14=",$B68),SCENARIOS!$A$2,SCENARIOS!$B$2,YIELDS_youvert!J$1,0)</f>
        <v>1</v>
      </c>
      <c r="K68" cm="1">
        <f t="array" ref="K68">_xll.VALEURCOURBE($A$2,_xlfn.CONCAT("THEME14=",$B68),SCENARIOS!$A$2,SCENARIOS!$B$2,YIELDS_youvert!K$1,0)</f>
        <v>1</v>
      </c>
      <c r="L68" cm="1">
        <f t="array" ref="L68">_xll.VALEURCOURBE($A$2,_xlfn.CONCAT("THEME14=",$B68),SCENARIOS!$A$2,SCENARIOS!$B$2,YIELDS_youvert!L$1,0)</f>
        <v>1</v>
      </c>
      <c r="M68" cm="1">
        <f t="array" ref="M68">_xll.VALEURCOURBE($A$2,_xlfn.CONCAT("THEME14=",$B68),SCENARIOS!$A$2,SCENARIOS!$B$2,YIELDS_youvert!M$1,0)</f>
        <v>1</v>
      </c>
      <c r="N68" cm="1">
        <f t="array" ref="N68">_xll.VALEURCOURBE($A$2,_xlfn.CONCAT("THEME14=",$B68),SCENARIOS!$A$2,SCENARIOS!$B$2,YIELDS_youvert!N$1,0)</f>
        <v>1</v>
      </c>
      <c r="O68" cm="1">
        <f t="array" ref="O68">_xll.VALEURCOURBE($A$2,_xlfn.CONCAT("THEME14=",$B68),SCENARIOS!$A$2,SCENARIOS!$B$2,YIELDS_youvert!O$1,0)</f>
        <v>1</v>
      </c>
      <c r="P68" cm="1">
        <f t="array" ref="P68">_xll.VALEURCOURBE($A$2,_xlfn.CONCAT("THEME14=",$B68),SCENARIOS!$A$2,SCENARIOS!$B$2,YIELDS_youvert!P$1,0)</f>
        <v>1</v>
      </c>
      <c r="Q68" cm="1">
        <f t="array" ref="Q68">_xll.VALEURCOURBE($A$2,_xlfn.CONCAT("THEME14=",$B68),SCENARIOS!$A$2,SCENARIOS!$B$2,YIELDS_youvert!Q$1,0)</f>
        <v>1</v>
      </c>
      <c r="R68" cm="1">
        <f t="array" ref="R68">_xll.VALEURCOURBE($A$2,_xlfn.CONCAT("THEME14=",$B68),SCENARIOS!$A$2,SCENARIOS!$B$2,YIELDS_youvert!R$1,0)</f>
        <v>1</v>
      </c>
      <c r="S68" cm="1">
        <f t="array" ref="S68">_xll.VALEURCOURBE($A$2,_xlfn.CONCAT("THEME14=",$B68),SCENARIOS!$A$2,SCENARIOS!$B$2,YIELDS_youvert!S$1,0)</f>
        <v>1</v>
      </c>
      <c r="T68" cm="1">
        <f t="array" ref="T68">_xll.VALEURCOURBE($A$2,_xlfn.CONCAT("THEME14=",$B68),SCENARIOS!$A$2,SCENARIOS!$B$2,YIELDS_youvert!T$1,0)</f>
        <v>1</v>
      </c>
      <c r="U68" cm="1">
        <f t="array" ref="U68">_xll.VALEURCOURBE($A$2,_xlfn.CONCAT("THEME14=",$B68),SCENARIOS!$A$2,SCENARIOS!$B$2,YIELDS_youvert!U$1,0)</f>
        <v>1</v>
      </c>
      <c r="V68" cm="1">
        <f t="array" ref="V68">_xll.VALEURCOURBE($A$2,_xlfn.CONCAT("THEME14=",$B68),SCENARIOS!$A$2,SCENARIOS!$B$2,YIELDS_youvert!V$1,0)</f>
        <v>1</v>
      </c>
      <c r="W68" cm="1">
        <f t="array" ref="W68">_xll.VALEURCOURBE($A$2,_xlfn.CONCAT("THEME14=",$B68),SCENARIOS!$A$2,SCENARIOS!$B$2,YIELDS_youvert!W$1,0)</f>
        <v>1</v>
      </c>
      <c r="X68" cm="1">
        <f t="array" ref="X68">_xll.VALEURCOURBE($A$2,_xlfn.CONCAT("THEME14=",$B68),SCENARIOS!$A$2,SCENARIOS!$B$2,YIELDS_youvert!X$1,0)</f>
        <v>1</v>
      </c>
      <c r="Y68" cm="1">
        <f t="array" ref="Y68">_xll.VALEURCOURBE($A$2,_xlfn.CONCAT("THEME14=",$B68),SCENARIOS!$A$2,SCENARIOS!$B$2,YIELDS_youvert!Y$1,0)</f>
        <v>1</v>
      </c>
      <c r="Z68" cm="1">
        <f t="array" ref="Z68">_xll.VALEURCOURBE($A$2,_xlfn.CONCAT("THEME14=",$B68),SCENARIOS!$A$2,SCENARIOS!$B$2,YIELDS_youvert!Z$1,0)</f>
        <v>1</v>
      </c>
      <c r="AA68" cm="1">
        <f t="array" ref="AA68">_xll.VALEURCOURBE($A$2,_xlfn.CONCAT("THEME14=",$B68),SCENARIOS!$A$2,SCENARIOS!$B$2,YIELDS_youvert!AA$1,0)</f>
        <v>1</v>
      </c>
      <c r="AB68" cm="1">
        <f t="array" ref="AB68">_xll.VALEURCOURBE($A$2,_xlfn.CONCAT("THEME14=",$B68),SCENARIOS!$A$2,SCENARIOS!$B$2,YIELDS_youvert!AB$1,0)</f>
        <v>1</v>
      </c>
      <c r="AC68" cm="1">
        <f t="array" ref="AC68">_xll.VALEURCOURBE($A$2,_xlfn.CONCAT("THEME14=",$B68),SCENARIOS!$A$2,SCENARIOS!$B$2,YIELDS_youvert!AC$1,0)</f>
        <v>1</v>
      </c>
      <c r="AD68" cm="1">
        <f t="array" ref="AD68">_xll.VALEURCOURBE($A$2,_xlfn.CONCAT("THEME14=",$B68),SCENARIOS!$A$2,SCENARIOS!$B$2,YIELDS_youvert!AD$1,0)</f>
        <v>1</v>
      </c>
      <c r="AE68" cm="1">
        <f t="array" ref="AE68">_xll.VALEURCOURBE($A$2,_xlfn.CONCAT("THEME14=",$B68),SCENARIOS!$A$2,SCENARIOS!$B$2,YIELDS_youvert!AE$1,0)</f>
        <v>1</v>
      </c>
    </row>
    <row r="69" spans="3:31" x14ac:dyDescent="0.25">
      <c r="C69" cm="1">
        <f t="array" ref="C69">_xll.VALEURCOURBE($A$2,_xlfn.CONCAT("THEME14=",$B69),SCENARIOS!$A$2,SCENARIOS!$B$2,YIELDS_youvert!C$1,0)</f>
        <v>1</v>
      </c>
      <c r="D69" cm="1">
        <f t="array" ref="D69">_xll.VALEURCOURBE($A$2,_xlfn.CONCAT("THEME14=",$B69),SCENARIOS!$A$2,SCENARIOS!$B$2,YIELDS_youvert!D$1,0)</f>
        <v>1</v>
      </c>
      <c r="E69" cm="1">
        <f t="array" ref="E69">_xll.VALEURCOURBE($A$2,_xlfn.CONCAT("THEME14=",$B69),SCENARIOS!$A$2,SCENARIOS!$B$2,YIELDS_youvert!E$1,0)</f>
        <v>1</v>
      </c>
      <c r="F69" cm="1">
        <f t="array" ref="F69">_xll.VALEURCOURBE($A$2,_xlfn.CONCAT("THEME14=",$B69),SCENARIOS!$A$2,SCENARIOS!$B$2,YIELDS_youvert!F$1,0)</f>
        <v>1</v>
      </c>
      <c r="G69" cm="1">
        <f t="array" ref="G69">_xll.VALEURCOURBE($A$2,_xlfn.CONCAT("THEME14=",$B69),SCENARIOS!$A$2,SCENARIOS!$B$2,YIELDS_youvert!G$1,0)</f>
        <v>1</v>
      </c>
      <c r="H69" cm="1">
        <f t="array" ref="H69">_xll.VALEURCOURBE($A$2,_xlfn.CONCAT("THEME14=",$B69),SCENARIOS!$A$2,SCENARIOS!$B$2,YIELDS_youvert!H$1,0)</f>
        <v>1</v>
      </c>
      <c r="I69" cm="1">
        <f t="array" ref="I69">_xll.VALEURCOURBE($A$2,_xlfn.CONCAT("THEME14=",$B69),SCENARIOS!$A$2,SCENARIOS!$B$2,YIELDS_youvert!I$1,0)</f>
        <v>1</v>
      </c>
      <c r="J69" cm="1">
        <f t="array" ref="J69">_xll.VALEURCOURBE($A$2,_xlfn.CONCAT("THEME14=",$B69),SCENARIOS!$A$2,SCENARIOS!$B$2,YIELDS_youvert!J$1,0)</f>
        <v>1</v>
      </c>
      <c r="K69" cm="1">
        <f t="array" ref="K69">_xll.VALEURCOURBE($A$2,_xlfn.CONCAT("THEME14=",$B69),SCENARIOS!$A$2,SCENARIOS!$B$2,YIELDS_youvert!K$1,0)</f>
        <v>1</v>
      </c>
      <c r="L69" cm="1">
        <f t="array" ref="L69">_xll.VALEURCOURBE($A$2,_xlfn.CONCAT("THEME14=",$B69),SCENARIOS!$A$2,SCENARIOS!$B$2,YIELDS_youvert!L$1,0)</f>
        <v>1</v>
      </c>
      <c r="M69" cm="1">
        <f t="array" ref="M69">_xll.VALEURCOURBE($A$2,_xlfn.CONCAT("THEME14=",$B69),SCENARIOS!$A$2,SCENARIOS!$B$2,YIELDS_youvert!M$1,0)</f>
        <v>1</v>
      </c>
      <c r="N69" cm="1">
        <f t="array" ref="N69">_xll.VALEURCOURBE($A$2,_xlfn.CONCAT("THEME14=",$B69),SCENARIOS!$A$2,SCENARIOS!$B$2,YIELDS_youvert!N$1,0)</f>
        <v>1</v>
      </c>
      <c r="O69" cm="1">
        <f t="array" ref="O69">_xll.VALEURCOURBE($A$2,_xlfn.CONCAT("THEME14=",$B69),SCENARIOS!$A$2,SCENARIOS!$B$2,YIELDS_youvert!O$1,0)</f>
        <v>1</v>
      </c>
      <c r="P69" cm="1">
        <f t="array" ref="P69">_xll.VALEURCOURBE($A$2,_xlfn.CONCAT("THEME14=",$B69),SCENARIOS!$A$2,SCENARIOS!$B$2,YIELDS_youvert!P$1,0)</f>
        <v>1</v>
      </c>
      <c r="Q69" cm="1">
        <f t="array" ref="Q69">_xll.VALEURCOURBE($A$2,_xlfn.CONCAT("THEME14=",$B69),SCENARIOS!$A$2,SCENARIOS!$B$2,YIELDS_youvert!Q$1,0)</f>
        <v>1</v>
      </c>
      <c r="R69" cm="1">
        <f t="array" ref="R69">_xll.VALEURCOURBE($A$2,_xlfn.CONCAT("THEME14=",$B69),SCENARIOS!$A$2,SCENARIOS!$B$2,YIELDS_youvert!R$1,0)</f>
        <v>1</v>
      </c>
      <c r="S69" cm="1">
        <f t="array" ref="S69">_xll.VALEURCOURBE($A$2,_xlfn.CONCAT("THEME14=",$B69),SCENARIOS!$A$2,SCENARIOS!$B$2,YIELDS_youvert!S$1,0)</f>
        <v>1</v>
      </c>
      <c r="T69" cm="1">
        <f t="array" ref="T69">_xll.VALEURCOURBE($A$2,_xlfn.CONCAT("THEME14=",$B69),SCENARIOS!$A$2,SCENARIOS!$B$2,YIELDS_youvert!T$1,0)</f>
        <v>1</v>
      </c>
      <c r="U69" cm="1">
        <f t="array" ref="U69">_xll.VALEURCOURBE($A$2,_xlfn.CONCAT("THEME14=",$B69),SCENARIOS!$A$2,SCENARIOS!$B$2,YIELDS_youvert!U$1,0)</f>
        <v>1</v>
      </c>
      <c r="V69" cm="1">
        <f t="array" ref="V69">_xll.VALEURCOURBE($A$2,_xlfn.CONCAT("THEME14=",$B69),SCENARIOS!$A$2,SCENARIOS!$B$2,YIELDS_youvert!V$1,0)</f>
        <v>1</v>
      </c>
      <c r="W69" cm="1">
        <f t="array" ref="W69">_xll.VALEURCOURBE($A$2,_xlfn.CONCAT("THEME14=",$B69),SCENARIOS!$A$2,SCENARIOS!$B$2,YIELDS_youvert!W$1,0)</f>
        <v>1</v>
      </c>
      <c r="X69" cm="1">
        <f t="array" ref="X69">_xll.VALEURCOURBE($A$2,_xlfn.CONCAT("THEME14=",$B69),SCENARIOS!$A$2,SCENARIOS!$B$2,YIELDS_youvert!X$1,0)</f>
        <v>1</v>
      </c>
      <c r="Y69" cm="1">
        <f t="array" ref="Y69">_xll.VALEURCOURBE($A$2,_xlfn.CONCAT("THEME14=",$B69),SCENARIOS!$A$2,SCENARIOS!$B$2,YIELDS_youvert!Y$1,0)</f>
        <v>1</v>
      </c>
      <c r="Z69" cm="1">
        <f t="array" ref="Z69">_xll.VALEURCOURBE($A$2,_xlfn.CONCAT("THEME14=",$B69),SCENARIOS!$A$2,SCENARIOS!$B$2,YIELDS_youvert!Z$1,0)</f>
        <v>1</v>
      </c>
      <c r="AA69" cm="1">
        <f t="array" ref="AA69">_xll.VALEURCOURBE($A$2,_xlfn.CONCAT("THEME14=",$B69),SCENARIOS!$A$2,SCENARIOS!$B$2,YIELDS_youvert!AA$1,0)</f>
        <v>1</v>
      </c>
      <c r="AB69" cm="1">
        <f t="array" ref="AB69">_xll.VALEURCOURBE($A$2,_xlfn.CONCAT("THEME14=",$B69),SCENARIOS!$A$2,SCENARIOS!$B$2,YIELDS_youvert!AB$1,0)</f>
        <v>1</v>
      </c>
      <c r="AC69" cm="1">
        <f t="array" ref="AC69">_xll.VALEURCOURBE($A$2,_xlfn.CONCAT("THEME14=",$B69),SCENARIOS!$A$2,SCENARIOS!$B$2,YIELDS_youvert!AC$1,0)</f>
        <v>1</v>
      </c>
      <c r="AD69" cm="1">
        <f t="array" ref="AD69">_xll.VALEURCOURBE($A$2,_xlfn.CONCAT("THEME14=",$B69),SCENARIOS!$A$2,SCENARIOS!$B$2,YIELDS_youvert!AD$1,0)</f>
        <v>1</v>
      </c>
      <c r="AE69" cm="1">
        <f t="array" ref="AE69">_xll.VALEURCOURBE($A$2,_xlfn.CONCAT("THEME14=",$B69),SCENARIOS!$A$2,SCENARIOS!$B$2,YIELDS_youvert!AE$1,0)</f>
        <v>1</v>
      </c>
    </row>
    <row r="70" spans="3:31" x14ac:dyDescent="0.25">
      <c r="C70" cm="1">
        <f t="array" ref="C70">_xll.VALEURCOURBE($A$2,_xlfn.CONCAT("THEME14=",$B70),SCENARIOS!$A$2,SCENARIOS!$B$2,YIELDS_youvert!C$1,0)</f>
        <v>1</v>
      </c>
      <c r="D70" cm="1">
        <f t="array" ref="D70">_xll.VALEURCOURBE($A$2,_xlfn.CONCAT("THEME14=",$B70),SCENARIOS!$A$2,SCENARIOS!$B$2,YIELDS_youvert!D$1,0)</f>
        <v>1</v>
      </c>
      <c r="E70" cm="1">
        <f t="array" ref="E70">_xll.VALEURCOURBE($A$2,_xlfn.CONCAT("THEME14=",$B70),SCENARIOS!$A$2,SCENARIOS!$B$2,YIELDS_youvert!E$1,0)</f>
        <v>1</v>
      </c>
      <c r="F70" cm="1">
        <f t="array" ref="F70">_xll.VALEURCOURBE($A$2,_xlfn.CONCAT("THEME14=",$B70),SCENARIOS!$A$2,SCENARIOS!$B$2,YIELDS_youvert!F$1,0)</f>
        <v>1</v>
      </c>
      <c r="G70" cm="1">
        <f t="array" ref="G70">_xll.VALEURCOURBE($A$2,_xlfn.CONCAT("THEME14=",$B70),SCENARIOS!$A$2,SCENARIOS!$B$2,YIELDS_youvert!G$1,0)</f>
        <v>1</v>
      </c>
      <c r="H70" cm="1">
        <f t="array" ref="H70">_xll.VALEURCOURBE($A$2,_xlfn.CONCAT("THEME14=",$B70),SCENARIOS!$A$2,SCENARIOS!$B$2,YIELDS_youvert!H$1,0)</f>
        <v>1</v>
      </c>
      <c r="I70" cm="1">
        <f t="array" ref="I70">_xll.VALEURCOURBE($A$2,_xlfn.CONCAT("THEME14=",$B70),SCENARIOS!$A$2,SCENARIOS!$B$2,YIELDS_youvert!I$1,0)</f>
        <v>1</v>
      </c>
      <c r="J70" cm="1">
        <f t="array" ref="J70">_xll.VALEURCOURBE($A$2,_xlfn.CONCAT("THEME14=",$B70),SCENARIOS!$A$2,SCENARIOS!$B$2,YIELDS_youvert!J$1,0)</f>
        <v>1</v>
      </c>
      <c r="K70" cm="1">
        <f t="array" ref="K70">_xll.VALEURCOURBE($A$2,_xlfn.CONCAT("THEME14=",$B70),SCENARIOS!$A$2,SCENARIOS!$B$2,YIELDS_youvert!K$1,0)</f>
        <v>1</v>
      </c>
      <c r="L70" cm="1">
        <f t="array" ref="L70">_xll.VALEURCOURBE($A$2,_xlfn.CONCAT("THEME14=",$B70),SCENARIOS!$A$2,SCENARIOS!$B$2,YIELDS_youvert!L$1,0)</f>
        <v>1</v>
      </c>
      <c r="M70" cm="1">
        <f t="array" ref="M70">_xll.VALEURCOURBE($A$2,_xlfn.CONCAT("THEME14=",$B70),SCENARIOS!$A$2,SCENARIOS!$B$2,YIELDS_youvert!M$1,0)</f>
        <v>1</v>
      </c>
      <c r="N70" cm="1">
        <f t="array" ref="N70">_xll.VALEURCOURBE($A$2,_xlfn.CONCAT("THEME14=",$B70),SCENARIOS!$A$2,SCENARIOS!$B$2,YIELDS_youvert!N$1,0)</f>
        <v>1</v>
      </c>
      <c r="O70" cm="1">
        <f t="array" ref="O70">_xll.VALEURCOURBE($A$2,_xlfn.CONCAT("THEME14=",$B70),SCENARIOS!$A$2,SCENARIOS!$B$2,YIELDS_youvert!O$1,0)</f>
        <v>1</v>
      </c>
      <c r="P70" cm="1">
        <f t="array" ref="P70">_xll.VALEURCOURBE($A$2,_xlfn.CONCAT("THEME14=",$B70),SCENARIOS!$A$2,SCENARIOS!$B$2,YIELDS_youvert!P$1,0)</f>
        <v>1</v>
      </c>
      <c r="Q70" cm="1">
        <f t="array" ref="Q70">_xll.VALEURCOURBE($A$2,_xlfn.CONCAT("THEME14=",$B70),SCENARIOS!$A$2,SCENARIOS!$B$2,YIELDS_youvert!Q$1,0)</f>
        <v>1</v>
      </c>
      <c r="R70" cm="1">
        <f t="array" ref="R70">_xll.VALEURCOURBE($A$2,_xlfn.CONCAT("THEME14=",$B70),SCENARIOS!$A$2,SCENARIOS!$B$2,YIELDS_youvert!R$1,0)</f>
        <v>1</v>
      </c>
      <c r="S70" cm="1">
        <f t="array" ref="S70">_xll.VALEURCOURBE($A$2,_xlfn.CONCAT("THEME14=",$B70),SCENARIOS!$A$2,SCENARIOS!$B$2,YIELDS_youvert!S$1,0)</f>
        <v>1</v>
      </c>
      <c r="T70" cm="1">
        <f t="array" ref="T70">_xll.VALEURCOURBE($A$2,_xlfn.CONCAT("THEME14=",$B70),SCENARIOS!$A$2,SCENARIOS!$B$2,YIELDS_youvert!T$1,0)</f>
        <v>1</v>
      </c>
      <c r="U70" cm="1">
        <f t="array" ref="U70">_xll.VALEURCOURBE($A$2,_xlfn.CONCAT("THEME14=",$B70),SCENARIOS!$A$2,SCENARIOS!$B$2,YIELDS_youvert!U$1,0)</f>
        <v>1</v>
      </c>
      <c r="V70" cm="1">
        <f t="array" ref="V70">_xll.VALEURCOURBE($A$2,_xlfn.CONCAT("THEME14=",$B70),SCENARIOS!$A$2,SCENARIOS!$B$2,YIELDS_youvert!V$1,0)</f>
        <v>1</v>
      </c>
      <c r="W70" cm="1">
        <f t="array" ref="W70">_xll.VALEURCOURBE($A$2,_xlfn.CONCAT("THEME14=",$B70),SCENARIOS!$A$2,SCENARIOS!$B$2,YIELDS_youvert!W$1,0)</f>
        <v>1</v>
      </c>
      <c r="X70" cm="1">
        <f t="array" ref="X70">_xll.VALEURCOURBE($A$2,_xlfn.CONCAT("THEME14=",$B70),SCENARIOS!$A$2,SCENARIOS!$B$2,YIELDS_youvert!X$1,0)</f>
        <v>1</v>
      </c>
      <c r="Y70" cm="1">
        <f t="array" ref="Y70">_xll.VALEURCOURBE($A$2,_xlfn.CONCAT("THEME14=",$B70),SCENARIOS!$A$2,SCENARIOS!$B$2,YIELDS_youvert!Y$1,0)</f>
        <v>1</v>
      </c>
      <c r="Z70" cm="1">
        <f t="array" ref="Z70">_xll.VALEURCOURBE($A$2,_xlfn.CONCAT("THEME14=",$B70),SCENARIOS!$A$2,SCENARIOS!$B$2,YIELDS_youvert!Z$1,0)</f>
        <v>1</v>
      </c>
      <c r="AA70" cm="1">
        <f t="array" ref="AA70">_xll.VALEURCOURBE($A$2,_xlfn.CONCAT("THEME14=",$B70),SCENARIOS!$A$2,SCENARIOS!$B$2,YIELDS_youvert!AA$1,0)</f>
        <v>1</v>
      </c>
      <c r="AB70" cm="1">
        <f t="array" ref="AB70">_xll.VALEURCOURBE($A$2,_xlfn.CONCAT("THEME14=",$B70),SCENARIOS!$A$2,SCENARIOS!$B$2,YIELDS_youvert!AB$1,0)</f>
        <v>1</v>
      </c>
      <c r="AC70" cm="1">
        <f t="array" ref="AC70">_xll.VALEURCOURBE($A$2,_xlfn.CONCAT("THEME14=",$B70),SCENARIOS!$A$2,SCENARIOS!$B$2,YIELDS_youvert!AC$1,0)</f>
        <v>1</v>
      </c>
      <c r="AD70" cm="1">
        <f t="array" ref="AD70">_xll.VALEURCOURBE($A$2,_xlfn.CONCAT("THEME14=",$B70),SCENARIOS!$A$2,SCENARIOS!$B$2,YIELDS_youvert!AD$1,0)</f>
        <v>1</v>
      </c>
      <c r="AE70" cm="1">
        <f t="array" ref="AE70">_xll.VALEURCOURBE($A$2,_xlfn.CONCAT("THEME14=",$B70),SCENARIOS!$A$2,SCENARIOS!$B$2,YIELDS_youvert!AE$1,0)</f>
        <v>1</v>
      </c>
    </row>
    <row r="71" spans="3:31" x14ac:dyDescent="0.25">
      <c r="C71" cm="1">
        <f t="array" ref="C71">_xll.VALEURCOURBE($A$2,_xlfn.CONCAT("THEME14=",$B71),SCENARIOS!$A$2,SCENARIOS!$B$2,YIELDS_youvert!C$1,0)</f>
        <v>1</v>
      </c>
      <c r="D71" cm="1">
        <f t="array" ref="D71">_xll.VALEURCOURBE($A$2,_xlfn.CONCAT("THEME14=",$B71),SCENARIOS!$A$2,SCENARIOS!$B$2,YIELDS_youvert!D$1,0)</f>
        <v>1</v>
      </c>
      <c r="E71" cm="1">
        <f t="array" ref="E71">_xll.VALEURCOURBE($A$2,_xlfn.CONCAT("THEME14=",$B71),SCENARIOS!$A$2,SCENARIOS!$B$2,YIELDS_youvert!E$1,0)</f>
        <v>1</v>
      </c>
      <c r="F71" cm="1">
        <f t="array" ref="F71">_xll.VALEURCOURBE($A$2,_xlfn.CONCAT("THEME14=",$B71),SCENARIOS!$A$2,SCENARIOS!$B$2,YIELDS_youvert!F$1,0)</f>
        <v>1</v>
      </c>
      <c r="G71" cm="1">
        <f t="array" ref="G71">_xll.VALEURCOURBE($A$2,_xlfn.CONCAT("THEME14=",$B71),SCENARIOS!$A$2,SCENARIOS!$B$2,YIELDS_youvert!G$1,0)</f>
        <v>1</v>
      </c>
      <c r="H71" cm="1">
        <f t="array" ref="H71">_xll.VALEURCOURBE($A$2,_xlfn.CONCAT("THEME14=",$B71),SCENARIOS!$A$2,SCENARIOS!$B$2,YIELDS_youvert!H$1,0)</f>
        <v>1</v>
      </c>
      <c r="I71" cm="1">
        <f t="array" ref="I71">_xll.VALEURCOURBE($A$2,_xlfn.CONCAT("THEME14=",$B71),SCENARIOS!$A$2,SCENARIOS!$B$2,YIELDS_youvert!I$1,0)</f>
        <v>1</v>
      </c>
      <c r="J71" cm="1">
        <f t="array" ref="J71">_xll.VALEURCOURBE($A$2,_xlfn.CONCAT("THEME14=",$B71),SCENARIOS!$A$2,SCENARIOS!$B$2,YIELDS_youvert!J$1,0)</f>
        <v>1</v>
      </c>
      <c r="K71" cm="1">
        <f t="array" ref="K71">_xll.VALEURCOURBE($A$2,_xlfn.CONCAT("THEME14=",$B71),SCENARIOS!$A$2,SCENARIOS!$B$2,YIELDS_youvert!K$1,0)</f>
        <v>1</v>
      </c>
      <c r="L71" cm="1">
        <f t="array" ref="L71">_xll.VALEURCOURBE($A$2,_xlfn.CONCAT("THEME14=",$B71),SCENARIOS!$A$2,SCENARIOS!$B$2,YIELDS_youvert!L$1,0)</f>
        <v>1</v>
      </c>
      <c r="M71" cm="1">
        <f t="array" ref="M71">_xll.VALEURCOURBE($A$2,_xlfn.CONCAT("THEME14=",$B71),SCENARIOS!$A$2,SCENARIOS!$B$2,YIELDS_youvert!M$1,0)</f>
        <v>1</v>
      </c>
      <c r="N71" cm="1">
        <f t="array" ref="N71">_xll.VALEURCOURBE($A$2,_xlfn.CONCAT("THEME14=",$B71),SCENARIOS!$A$2,SCENARIOS!$B$2,YIELDS_youvert!N$1,0)</f>
        <v>1</v>
      </c>
      <c r="O71" cm="1">
        <f t="array" ref="O71">_xll.VALEURCOURBE($A$2,_xlfn.CONCAT("THEME14=",$B71),SCENARIOS!$A$2,SCENARIOS!$B$2,YIELDS_youvert!O$1,0)</f>
        <v>1</v>
      </c>
      <c r="P71" cm="1">
        <f t="array" ref="P71">_xll.VALEURCOURBE($A$2,_xlfn.CONCAT("THEME14=",$B71),SCENARIOS!$A$2,SCENARIOS!$B$2,YIELDS_youvert!P$1,0)</f>
        <v>1</v>
      </c>
      <c r="Q71" cm="1">
        <f t="array" ref="Q71">_xll.VALEURCOURBE($A$2,_xlfn.CONCAT("THEME14=",$B71),SCENARIOS!$A$2,SCENARIOS!$B$2,YIELDS_youvert!Q$1,0)</f>
        <v>1</v>
      </c>
      <c r="R71" cm="1">
        <f t="array" ref="R71">_xll.VALEURCOURBE($A$2,_xlfn.CONCAT("THEME14=",$B71),SCENARIOS!$A$2,SCENARIOS!$B$2,YIELDS_youvert!R$1,0)</f>
        <v>1</v>
      </c>
      <c r="S71" cm="1">
        <f t="array" ref="S71">_xll.VALEURCOURBE($A$2,_xlfn.CONCAT("THEME14=",$B71),SCENARIOS!$A$2,SCENARIOS!$B$2,YIELDS_youvert!S$1,0)</f>
        <v>1</v>
      </c>
      <c r="T71" cm="1">
        <f t="array" ref="T71">_xll.VALEURCOURBE($A$2,_xlfn.CONCAT("THEME14=",$B71),SCENARIOS!$A$2,SCENARIOS!$B$2,YIELDS_youvert!T$1,0)</f>
        <v>1</v>
      </c>
      <c r="U71" cm="1">
        <f t="array" ref="U71">_xll.VALEURCOURBE($A$2,_xlfn.CONCAT("THEME14=",$B71),SCENARIOS!$A$2,SCENARIOS!$B$2,YIELDS_youvert!U$1,0)</f>
        <v>1</v>
      </c>
      <c r="V71" cm="1">
        <f t="array" ref="V71">_xll.VALEURCOURBE($A$2,_xlfn.CONCAT("THEME14=",$B71),SCENARIOS!$A$2,SCENARIOS!$B$2,YIELDS_youvert!V$1,0)</f>
        <v>1</v>
      </c>
      <c r="W71" cm="1">
        <f t="array" ref="W71">_xll.VALEURCOURBE($A$2,_xlfn.CONCAT("THEME14=",$B71),SCENARIOS!$A$2,SCENARIOS!$B$2,YIELDS_youvert!W$1,0)</f>
        <v>1</v>
      </c>
      <c r="X71" cm="1">
        <f t="array" ref="X71">_xll.VALEURCOURBE($A$2,_xlfn.CONCAT("THEME14=",$B71),SCENARIOS!$A$2,SCENARIOS!$B$2,YIELDS_youvert!X$1,0)</f>
        <v>1</v>
      </c>
      <c r="Y71" cm="1">
        <f t="array" ref="Y71">_xll.VALEURCOURBE($A$2,_xlfn.CONCAT("THEME14=",$B71),SCENARIOS!$A$2,SCENARIOS!$B$2,YIELDS_youvert!Y$1,0)</f>
        <v>1</v>
      </c>
      <c r="Z71" cm="1">
        <f t="array" ref="Z71">_xll.VALEURCOURBE($A$2,_xlfn.CONCAT("THEME14=",$B71),SCENARIOS!$A$2,SCENARIOS!$B$2,YIELDS_youvert!Z$1,0)</f>
        <v>1</v>
      </c>
      <c r="AA71" cm="1">
        <f t="array" ref="AA71">_xll.VALEURCOURBE($A$2,_xlfn.CONCAT("THEME14=",$B71),SCENARIOS!$A$2,SCENARIOS!$B$2,YIELDS_youvert!AA$1,0)</f>
        <v>1</v>
      </c>
      <c r="AB71" cm="1">
        <f t="array" ref="AB71">_xll.VALEURCOURBE($A$2,_xlfn.CONCAT("THEME14=",$B71),SCENARIOS!$A$2,SCENARIOS!$B$2,YIELDS_youvert!AB$1,0)</f>
        <v>1</v>
      </c>
      <c r="AC71" cm="1">
        <f t="array" ref="AC71">_xll.VALEURCOURBE($A$2,_xlfn.CONCAT("THEME14=",$B71),SCENARIOS!$A$2,SCENARIOS!$B$2,YIELDS_youvert!AC$1,0)</f>
        <v>1</v>
      </c>
      <c r="AD71" cm="1">
        <f t="array" ref="AD71">_xll.VALEURCOURBE($A$2,_xlfn.CONCAT("THEME14=",$B71),SCENARIOS!$A$2,SCENARIOS!$B$2,YIELDS_youvert!AD$1,0)</f>
        <v>1</v>
      </c>
      <c r="AE71" cm="1">
        <f t="array" ref="AE71">_xll.VALEURCOURBE($A$2,_xlfn.CONCAT("THEME14=",$B71),SCENARIOS!$A$2,SCENARIOS!$B$2,YIELDS_youvert!AE$1,0)</f>
        <v>1</v>
      </c>
    </row>
    <row r="72" spans="3:31" x14ac:dyDescent="0.25">
      <c r="C72" cm="1">
        <f t="array" ref="C72">_xll.VALEURCOURBE($A$2,_xlfn.CONCAT("THEME14=",$B72),SCENARIOS!$A$2,SCENARIOS!$B$2,YIELDS_youvert!C$1,0)</f>
        <v>1</v>
      </c>
      <c r="D72" cm="1">
        <f t="array" ref="D72">_xll.VALEURCOURBE($A$2,_xlfn.CONCAT("THEME14=",$B72),SCENARIOS!$A$2,SCENARIOS!$B$2,YIELDS_youvert!D$1,0)</f>
        <v>1</v>
      </c>
      <c r="E72" cm="1">
        <f t="array" ref="E72">_xll.VALEURCOURBE($A$2,_xlfn.CONCAT("THEME14=",$B72),SCENARIOS!$A$2,SCENARIOS!$B$2,YIELDS_youvert!E$1,0)</f>
        <v>1</v>
      </c>
      <c r="F72" cm="1">
        <f t="array" ref="F72">_xll.VALEURCOURBE($A$2,_xlfn.CONCAT("THEME14=",$B72),SCENARIOS!$A$2,SCENARIOS!$B$2,YIELDS_youvert!F$1,0)</f>
        <v>1</v>
      </c>
      <c r="G72" cm="1">
        <f t="array" ref="G72">_xll.VALEURCOURBE($A$2,_xlfn.CONCAT("THEME14=",$B72),SCENARIOS!$A$2,SCENARIOS!$B$2,YIELDS_youvert!G$1,0)</f>
        <v>1</v>
      </c>
      <c r="H72" cm="1">
        <f t="array" ref="H72">_xll.VALEURCOURBE($A$2,_xlfn.CONCAT("THEME14=",$B72),SCENARIOS!$A$2,SCENARIOS!$B$2,YIELDS_youvert!H$1,0)</f>
        <v>1</v>
      </c>
      <c r="I72" cm="1">
        <f t="array" ref="I72">_xll.VALEURCOURBE($A$2,_xlfn.CONCAT("THEME14=",$B72),SCENARIOS!$A$2,SCENARIOS!$B$2,YIELDS_youvert!I$1,0)</f>
        <v>1</v>
      </c>
      <c r="J72" cm="1">
        <f t="array" ref="J72">_xll.VALEURCOURBE($A$2,_xlfn.CONCAT("THEME14=",$B72),SCENARIOS!$A$2,SCENARIOS!$B$2,YIELDS_youvert!J$1,0)</f>
        <v>1</v>
      </c>
      <c r="K72" cm="1">
        <f t="array" ref="K72">_xll.VALEURCOURBE($A$2,_xlfn.CONCAT("THEME14=",$B72),SCENARIOS!$A$2,SCENARIOS!$B$2,YIELDS_youvert!K$1,0)</f>
        <v>1</v>
      </c>
      <c r="L72" cm="1">
        <f t="array" ref="L72">_xll.VALEURCOURBE($A$2,_xlfn.CONCAT("THEME14=",$B72),SCENARIOS!$A$2,SCENARIOS!$B$2,YIELDS_youvert!L$1,0)</f>
        <v>1</v>
      </c>
      <c r="M72" cm="1">
        <f t="array" ref="M72">_xll.VALEURCOURBE($A$2,_xlfn.CONCAT("THEME14=",$B72),SCENARIOS!$A$2,SCENARIOS!$B$2,YIELDS_youvert!M$1,0)</f>
        <v>1</v>
      </c>
      <c r="N72" cm="1">
        <f t="array" ref="N72">_xll.VALEURCOURBE($A$2,_xlfn.CONCAT("THEME14=",$B72),SCENARIOS!$A$2,SCENARIOS!$B$2,YIELDS_youvert!N$1,0)</f>
        <v>1</v>
      </c>
      <c r="O72" cm="1">
        <f t="array" ref="O72">_xll.VALEURCOURBE($A$2,_xlfn.CONCAT("THEME14=",$B72),SCENARIOS!$A$2,SCENARIOS!$B$2,YIELDS_youvert!O$1,0)</f>
        <v>1</v>
      </c>
      <c r="P72" cm="1">
        <f t="array" ref="P72">_xll.VALEURCOURBE($A$2,_xlfn.CONCAT("THEME14=",$B72),SCENARIOS!$A$2,SCENARIOS!$B$2,YIELDS_youvert!P$1,0)</f>
        <v>1</v>
      </c>
      <c r="Q72" cm="1">
        <f t="array" ref="Q72">_xll.VALEURCOURBE($A$2,_xlfn.CONCAT("THEME14=",$B72),SCENARIOS!$A$2,SCENARIOS!$B$2,YIELDS_youvert!Q$1,0)</f>
        <v>1</v>
      </c>
      <c r="R72" cm="1">
        <f t="array" ref="R72">_xll.VALEURCOURBE($A$2,_xlfn.CONCAT("THEME14=",$B72),SCENARIOS!$A$2,SCENARIOS!$B$2,YIELDS_youvert!R$1,0)</f>
        <v>1</v>
      </c>
      <c r="S72" cm="1">
        <f t="array" ref="S72">_xll.VALEURCOURBE($A$2,_xlfn.CONCAT("THEME14=",$B72),SCENARIOS!$A$2,SCENARIOS!$B$2,YIELDS_youvert!S$1,0)</f>
        <v>1</v>
      </c>
      <c r="T72" cm="1">
        <f t="array" ref="T72">_xll.VALEURCOURBE($A$2,_xlfn.CONCAT("THEME14=",$B72),SCENARIOS!$A$2,SCENARIOS!$B$2,YIELDS_youvert!T$1,0)</f>
        <v>1</v>
      </c>
      <c r="U72" cm="1">
        <f t="array" ref="U72">_xll.VALEURCOURBE($A$2,_xlfn.CONCAT("THEME14=",$B72),SCENARIOS!$A$2,SCENARIOS!$B$2,YIELDS_youvert!U$1,0)</f>
        <v>1</v>
      </c>
      <c r="V72" cm="1">
        <f t="array" ref="V72">_xll.VALEURCOURBE($A$2,_xlfn.CONCAT("THEME14=",$B72),SCENARIOS!$A$2,SCENARIOS!$B$2,YIELDS_youvert!V$1,0)</f>
        <v>1</v>
      </c>
      <c r="W72" cm="1">
        <f t="array" ref="W72">_xll.VALEURCOURBE($A$2,_xlfn.CONCAT("THEME14=",$B72),SCENARIOS!$A$2,SCENARIOS!$B$2,YIELDS_youvert!W$1,0)</f>
        <v>1</v>
      </c>
      <c r="X72" cm="1">
        <f t="array" ref="X72">_xll.VALEURCOURBE($A$2,_xlfn.CONCAT("THEME14=",$B72),SCENARIOS!$A$2,SCENARIOS!$B$2,YIELDS_youvert!X$1,0)</f>
        <v>1</v>
      </c>
      <c r="Y72" cm="1">
        <f t="array" ref="Y72">_xll.VALEURCOURBE($A$2,_xlfn.CONCAT("THEME14=",$B72),SCENARIOS!$A$2,SCENARIOS!$B$2,YIELDS_youvert!Y$1,0)</f>
        <v>1</v>
      </c>
      <c r="Z72" cm="1">
        <f t="array" ref="Z72">_xll.VALEURCOURBE($A$2,_xlfn.CONCAT("THEME14=",$B72),SCENARIOS!$A$2,SCENARIOS!$B$2,YIELDS_youvert!Z$1,0)</f>
        <v>1</v>
      </c>
      <c r="AA72" cm="1">
        <f t="array" ref="AA72">_xll.VALEURCOURBE($A$2,_xlfn.CONCAT("THEME14=",$B72),SCENARIOS!$A$2,SCENARIOS!$B$2,YIELDS_youvert!AA$1,0)</f>
        <v>1</v>
      </c>
      <c r="AB72" cm="1">
        <f t="array" ref="AB72">_xll.VALEURCOURBE($A$2,_xlfn.CONCAT("THEME14=",$B72),SCENARIOS!$A$2,SCENARIOS!$B$2,YIELDS_youvert!AB$1,0)</f>
        <v>1</v>
      </c>
      <c r="AC72" cm="1">
        <f t="array" ref="AC72">_xll.VALEURCOURBE($A$2,_xlfn.CONCAT("THEME14=",$B72),SCENARIOS!$A$2,SCENARIOS!$B$2,YIELDS_youvert!AC$1,0)</f>
        <v>1</v>
      </c>
      <c r="AD72" cm="1">
        <f t="array" ref="AD72">_xll.VALEURCOURBE($A$2,_xlfn.CONCAT("THEME14=",$B72),SCENARIOS!$A$2,SCENARIOS!$B$2,YIELDS_youvert!AD$1,0)</f>
        <v>1</v>
      </c>
      <c r="AE72" cm="1">
        <f t="array" ref="AE72">_xll.VALEURCOURBE($A$2,_xlfn.CONCAT("THEME14=",$B72),SCENARIOS!$A$2,SCENARIOS!$B$2,YIELDS_youvert!AE$1,0)</f>
        <v>1</v>
      </c>
    </row>
    <row r="73" spans="3:31" x14ac:dyDescent="0.25">
      <c r="C73" cm="1">
        <f t="array" ref="C73">_xll.VALEURCOURBE($A$2,_xlfn.CONCAT("THEME14=",$B73),SCENARIOS!$A$2,SCENARIOS!$B$2,YIELDS_youvert!C$1,0)</f>
        <v>1</v>
      </c>
      <c r="D73" cm="1">
        <f t="array" ref="D73">_xll.VALEURCOURBE($A$2,_xlfn.CONCAT("THEME14=",$B73),SCENARIOS!$A$2,SCENARIOS!$B$2,YIELDS_youvert!D$1,0)</f>
        <v>1</v>
      </c>
      <c r="E73" cm="1">
        <f t="array" ref="E73">_xll.VALEURCOURBE($A$2,_xlfn.CONCAT("THEME14=",$B73),SCENARIOS!$A$2,SCENARIOS!$B$2,YIELDS_youvert!E$1,0)</f>
        <v>1</v>
      </c>
      <c r="F73" cm="1">
        <f t="array" ref="F73">_xll.VALEURCOURBE($A$2,_xlfn.CONCAT("THEME14=",$B73),SCENARIOS!$A$2,SCENARIOS!$B$2,YIELDS_youvert!F$1,0)</f>
        <v>1</v>
      </c>
      <c r="G73" cm="1">
        <f t="array" ref="G73">_xll.VALEURCOURBE($A$2,_xlfn.CONCAT("THEME14=",$B73),SCENARIOS!$A$2,SCENARIOS!$B$2,YIELDS_youvert!G$1,0)</f>
        <v>1</v>
      </c>
      <c r="H73" cm="1">
        <f t="array" ref="H73">_xll.VALEURCOURBE($A$2,_xlfn.CONCAT("THEME14=",$B73),SCENARIOS!$A$2,SCENARIOS!$B$2,YIELDS_youvert!H$1,0)</f>
        <v>1</v>
      </c>
      <c r="I73" cm="1">
        <f t="array" ref="I73">_xll.VALEURCOURBE($A$2,_xlfn.CONCAT("THEME14=",$B73),SCENARIOS!$A$2,SCENARIOS!$B$2,YIELDS_youvert!I$1,0)</f>
        <v>1</v>
      </c>
      <c r="J73" cm="1">
        <f t="array" ref="J73">_xll.VALEURCOURBE($A$2,_xlfn.CONCAT("THEME14=",$B73),SCENARIOS!$A$2,SCENARIOS!$B$2,YIELDS_youvert!J$1,0)</f>
        <v>1</v>
      </c>
      <c r="K73" cm="1">
        <f t="array" ref="K73">_xll.VALEURCOURBE($A$2,_xlfn.CONCAT("THEME14=",$B73),SCENARIOS!$A$2,SCENARIOS!$B$2,YIELDS_youvert!K$1,0)</f>
        <v>1</v>
      </c>
      <c r="L73" cm="1">
        <f t="array" ref="L73">_xll.VALEURCOURBE($A$2,_xlfn.CONCAT("THEME14=",$B73),SCENARIOS!$A$2,SCENARIOS!$B$2,YIELDS_youvert!L$1,0)</f>
        <v>1</v>
      </c>
      <c r="M73" cm="1">
        <f t="array" ref="M73">_xll.VALEURCOURBE($A$2,_xlfn.CONCAT("THEME14=",$B73),SCENARIOS!$A$2,SCENARIOS!$B$2,YIELDS_youvert!M$1,0)</f>
        <v>1</v>
      </c>
      <c r="N73" cm="1">
        <f t="array" ref="N73">_xll.VALEURCOURBE($A$2,_xlfn.CONCAT("THEME14=",$B73),SCENARIOS!$A$2,SCENARIOS!$B$2,YIELDS_youvert!N$1,0)</f>
        <v>1</v>
      </c>
      <c r="O73" cm="1">
        <f t="array" ref="O73">_xll.VALEURCOURBE($A$2,_xlfn.CONCAT("THEME14=",$B73),SCENARIOS!$A$2,SCENARIOS!$B$2,YIELDS_youvert!O$1,0)</f>
        <v>1</v>
      </c>
      <c r="P73" cm="1">
        <f t="array" ref="P73">_xll.VALEURCOURBE($A$2,_xlfn.CONCAT("THEME14=",$B73),SCENARIOS!$A$2,SCENARIOS!$B$2,YIELDS_youvert!P$1,0)</f>
        <v>1</v>
      </c>
      <c r="Q73" cm="1">
        <f t="array" ref="Q73">_xll.VALEURCOURBE($A$2,_xlfn.CONCAT("THEME14=",$B73),SCENARIOS!$A$2,SCENARIOS!$B$2,YIELDS_youvert!Q$1,0)</f>
        <v>1</v>
      </c>
      <c r="R73" cm="1">
        <f t="array" ref="R73">_xll.VALEURCOURBE($A$2,_xlfn.CONCAT("THEME14=",$B73),SCENARIOS!$A$2,SCENARIOS!$B$2,YIELDS_youvert!R$1,0)</f>
        <v>1</v>
      </c>
      <c r="S73" cm="1">
        <f t="array" ref="S73">_xll.VALEURCOURBE($A$2,_xlfn.CONCAT("THEME14=",$B73),SCENARIOS!$A$2,SCENARIOS!$B$2,YIELDS_youvert!S$1,0)</f>
        <v>1</v>
      </c>
      <c r="T73" cm="1">
        <f t="array" ref="T73">_xll.VALEURCOURBE($A$2,_xlfn.CONCAT("THEME14=",$B73),SCENARIOS!$A$2,SCENARIOS!$B$2,YIELDS_youvert!T$1,0)</f>
        <v>1</v>
      </c>
      <c r="U73" cm="1">
        <f t="array" ref="U73">_xll.VALEURCOURBE($A$2,_xlfn.CONCAT("THEME14=",$B73),SCENARIOS!$A$2,SCENARIOS!$B$2,YIELDS_youvert!U$1,0)</f>
        <v>1</v>
      </c>
      <c r="V73" cm="1">
        <f t="array" ref="V73">_xll.VALEURCOURBE($A$2,_xlfn.CONCAT("THEME14=",$B73),SCENARIOS!$A$2,SCENARIOS!$B$2,YIELDS_youvert!V$1,0)</f>
        <v>1</v>
      </c>
      <c r="W73" cm="1">
        <f t="array" ref="W73">_xll.VALEURCOURBE($A$2,_xlfn.CONCAT("THEME14=",$B73),SCENARIOS!$A$2,SCENARIOS!$B$2,YIELDS_youvert!W$1,0)</f>
        <v>1</v>
      </c>
      <c r="X73" cm="1">
        <f t="array" ref="X73">_xll.VALEURCOURBE($A$2,_xlfn.CONCAT("THEME14=",$B73),SCENARIOS!$A$2,SCENARIOS!$B$2,YIELDS_youvert!X$1,0)</f>
        <v>1</v>
      </c>
      <c r="Y73" cm="1">
        <f t="array" ref="Y73">_xll.VALEURCOURBE($A$2,_xlfn.CONCAT("THEME14=",$B73),SCENARIOS!$A$2,SCENARIOS!$B$2,YIELDS_youvert!Y$1,0)</f>
        <v>1</v>
      </c>
      <c r="Z73" cm="1">
        <f t="array" ref="Z73">_xll.VALEURCOURBE($A$2,_xlfn.CONCAT("THEME14=",$B73),SCENARIOS!$A$2,SCENARIOS!$B$2,YIELDS_youvert!Z$1,0)</f>
        <v>1</v>
      </c>
      <c r="AA73" cm="1">
        <f t="array" ref="AA73">_xll.VALEURCOURBE($A$2,_xlfn.CONCAT("THEME14=",$B73),SCENARIOS!$A$2,SCENARIOS!$B$2,YIELDS_youvert!AA$1,0)</f>
        <v>1</v>
      </c>
      <c r="AB73" cm="1">
        <f t="array" ref="AB73">_xll.VALEURCOURBE($A$2,_xlfn.CONCAT("THEME14=",$B73),SCENARIOS!$A$2,SCENARIOS!$B$2,YIELDS_youvert!AB$1,0)</f>
        <v>1</v>
      </c>
      <c r="AC73" cm="1">
        <f t="array" ref="AC73">_xll.VALEURCOURBE($A$2,_xlfn.CONCAT("THEME14=",$B73),SCENARIOS!$A$2,SCENARIOS!$B$2,YIELDS_youvert!AC$1,0)</f>
        <v>1</v>
      </c>
      <c r="AD73" cm="1">
        <f t="array" ref="AD73">_xll.VALEURCOURBE($A$2,_xlfn.CONCAT("THEME14=",$B73),SCENARIOS!$A$2,SCENARIOS!$B$2,YIELDS_youvert!AD$1,0)</f>
        <v>1</v>
      </c>
      <c r="AE73" cm="1">
        <f t="array" ref="AE73">_xll.VALEURCOURBE($A$2,_xlfn.CONCAT("THEME14=",$B73),SCENARIOS!$A$2,SCENARIOS!$B$2,YIELDS_youvert!AE$1,0)</f>
        <v>1</v>
      </c>
    </row>
    <row r="74" spans="3:31" x14ac:dyDescent="0.25">
      <c r="C74" cm="1">
        <f t="array" ref="C74">_xll.VALEURCOURBE($A$2,_xlfn.CONCAT("THEME14=",$B74),SCENARIOS!$A$2,SCENARIOS!$B$2,YIELDS_youvert!C$1,0)</f>
        <v>1</v>
      </c>
      <c r="D74" cm="1">
        <f t="array" ref="D74">_xll.VALEURCOURBE($A$2,_xlfn.CONCAT("THEME14=",$B74),SCENARIOS!$A$2,SCENARIOS!$B$2,YIELDS_youvert!D$1,0)</f>
        <v>1</v>
      </c>
      <c r="E74" cm="1">
        <f t="array" ref="E74">_xll.VALEURCOURBE($A$2,_xlfn.CONCAT("THEME14=",$B74),SCENARIOS!$A$2,SCENARIOS!$B$2,YIELDS_youvert!E$1,0)</f>
        <v>1</v>
      </c>
      <c r="F74" cm="1">
        <f t="array" ref="F74">_xll.VALEURCOURBE($A$2,_xlfn.CONCAT("THEME14=",$B74),SCENARIOS!$A$2,SCENARIOS!$B$2,YIELDS_youvert!F$1,0)</f>
        <v>1</v>
      </c>
      <c r="G74" cm="1">
        <f t="array" ref="G74">_xll.VALEURCOURBE($A$2,_xlfn.CONCAT("THEME14=",$B74),SCENARIOS!$A$2,SCENARIOS!$B$2,YIELDS_youvert!G$1,0)</f>
        <v>1</v>
      </c>
      <c r="H74" cm="1">
        <f t="array" ref="H74">_xll.VALEURCOURBE($A$2,_xlfn.CONCAT("THEME14=",$B74),SCENARIOS!$A$2,SCENARIOS!$B$2,YIELDS_youvert!H$1,0)</f>
        <v>1</v>
      </c>
      <c r="I74" cm="1">
        <f t="array" ref="I74">_xll.VALEURCOURBE($A$2,_xlfn.CONCAT("THEME14=",$B74),SCENARIOS!$A$2,SCENARIOS!$B$2,YIELDS_youvert!I$1,0)</f>
        <v>1</v>
      </c>
      <c r="J74" cm="1">
        <f t="array" ref="J74">_xll.VALEURCOURBE($A$2,_xlfn.CONCAT("THEME14=",$B74),SCENARIOS!$A$2,SCENARIOS!$B$2,YIELDS_youvert!J$1,0)</f>
        <v>1</v>
      </c>
      <c r="K74" cm="1">
        <f t="array" ref="K74">_xll.VALEURCOURBE($A$2,_xlfn.CONCAT("THEME14=",$B74),SCENARIOS!$A$2,SCENARIOS!$B$2,YIELDS_youvert!K$1,0)</f>
        <v>1</v>
      </c>
      <c r="L74" cm="1">
        <f t="array" ref="L74">_xll.VALEURCOURBE($A$2,_xlfn.CONCAT("THEME14=",$B74),SCENARIOS!$A$2,SCENARIOS!$B$2,YIELDS_youvert!L$1,0)</f>
        <v>1</v>
      </c>
      <c r="M74" cm="1">
        <f t="array" ref="M74">_xll.VALEURCOURBE($A$2,_xlfn.CONCAT("THEME14=",$B74),SCENARIOS!$A$2,SCENARIOS!$B$2,YIELDS_youvert!M$1,0)</f>
        <v>1</v>
      </c>
      <c r="N74" cm="1">
        <f t="array" ref="N74">_xll.VALEURCOURBE($A$2,_xlfn.CONCAT("THEME14=",$B74),SCENARIOS!$A$2,SCENARIOS!$B$2,YIELDS_youvert!N$1,0)</f>
        <v>1</v>
      </c>
      <c r="O74" cm="1">
        <f t="array" ref="O74">_xll.VALEURCOURBE($A$2,_xlfn.CONCAT("THEME14=",$B74),SCENARIOS!$A$2,SCENARIOS!$B$2,YIELDS_youvert!O$1,0)</f>
        <v>1</v>
      </c>
      <c r="P74" cm="1">
        <f t="array" ref="P74">_xll.VALEURCOURBE($A$2,_xlfn.CONCAT("THEME14=",$B74),SCENARIOS!$A$2,SCENARIOS!$B$2,YIELDS_youvert!P$1,0)</f>
        <v>1</v>
      </c>
      <c r="Q74" cm="1">
        <f t="array" ref="Q74">_xll.VALEURCOURBE($A$2,_xlfn.CONCAT("THEME14=",$B74),SCENARIOS!$A$2,SCENARIOS!$B$2,YIELDS_youvert!Q$1,0)</f>
        <v>1</v>
      </c>
      <c r="R74" cm="1">
        <f t="array" ref="R74">_xll.VALEURCOURBE($A$2,_xlfn.CONCAT("THEME14=",$B74),SCENARIOS!$A$2,SCENARIOS!$B$2,YIELDS_youvert!R$1,0)</f>
        <v>1</v>
      </c>
      <c r="S74" cm="1">
        <f t="array" ref="S74">_xll.VALEURCOURBE($A$2,_xlfn.CONCAT("THEME14=",$B74),SCENARIOS!$A$2,SCENARIOS!$B$2,YIELDS_youvert!S$1,0)</f>
        <v>1</v>
      </c>
      <c r="T74" cm="1">
        <f t="array" ref="T74">_xll.VALEURCOURBE($A$2,_xlfn.CONCAT("THEME14=",$B74),SCENARIOS!$A$2,SCENARIOS!$B$2,YIELDS_youvert!T$1,0)</f>
        <v>1</v>
      </c>
      <c r="U74" cm="1">
        <f t="array" ref="U74">_xll.VALEURCOURBE($A$2,_xlfn.CONCAT("THEME14=",$B74),SCENARIOS!$A$2,SCENARIOS!$B$2,YIELDS_youvert!U$1,0)</f>
        <v>1</v>
      </c>
      <c r="V74" cm="1">
        <f t="array" ref="V74">_xll.VALEURCOURBE($A$2,_xlfn.CONCAT("THEME14=",$B74),SCENARIOS!$A$2,SCENARIOS!$B$2,YIELDS_youvert!V$1,0)</f>
        <v>1</v>
      </c>
      <c r="W74" cm="1">
        <f t="array" ref="W74">_xll.VALEURCOURBE($A$2,_xlfn.CONCAT("THEME14=",$B74),SCENARIOS!$A$2,SCENARIOS!$B$2,YIELDS_youvert!W$1,0)</f>
        <v>1</v>
      </c>
      <c r="X74" cm="1">
        <f t="array" ref="X74">_xll.VALEURCOURBE($A$2,_xlfn.CONCAT("THEME14=",$B74),SCENARIOS!$A$2,SCENARIOS!$B$2,YIELDS_youvert!X$1,0)</f>
        <v>1</v>
      </c>
      <c r="Y74" cm="1">
        <f t="array" ref="Y74">_xll.VALEURCOURBE($A$2,_xlfn.CONCAT("THEME14=",$B74),SCENARIOS!$A$2,SCENARIOS!$B$2,YIELDS_youvert!Y$1,0)</f>
        <v>1</v>
      </c>
      <c r="Z74" cm="1">
        <f t="array" ref="Z74">_xll.VALEURCOURBE($A$2,_xlfn.CONCAT("THEME14=",$B74),SCENARIOS!$A$2,SCENARIOS!$B$2,YIELDS_youvert!Z$1,0)</f>
        <v>1</v>
      </c>
      <c r="AA74" cm="1">
        <f t="array" ref="AA74">_xll.VALEURCOURBE($A$2,_xlfn.CONCAT("THEME14=",$B74),SCENARIOS!$A$2,SCENARIOS!$B$2,YIELDS_youvert!AA$1,0)</f>
        <v>1</v>
      </c>
      <c r="AB74" cm="1">
        <f t="array" ref="AB74">_xll.VALEURCOURBE($A$2,_xlfn.CONCAT("THEME14=",$B74),SCENARIOS!$A$2,SCENARIOS!$B$2,YIELDS_youvert!AB$1,0)</f>
        <v>1</v>
      </c>
      <c r="AC74" cm="1">
        <f t="array" ref="AC74">_xll.VALEURCOURBE($A$2,_xlfn.CONCAT("THEME14=",$B74),SCENARIOS!$A$2,SCENARIOS!$B$2,YIELDS_youvert!AC$1,0)</f>
        <v>1</v>
      </c>
      <c r="AD74" cm="1">
        <f t="array" ref="AD74">_xll.VALEURCOURBE($A$2,_xlfn.CONCAT("THEME14=",$B74),SCENARIOS!$A$2,SCENARIOS!$B$2,YIELDS_youvert!AD$1,0)</f>
        <v>1</v>
      </c>
      <c r="AE74" cm="1">
        <f t="array" ref="AE74">_xll.VALEURCOURBE($A$2,_xlfn.CONCAT("THEME14=",$B74),SCENARIOS!$A$2,SCENARIOS!$B$2,YIELDS_youvert!AE$1,0)</f>
        <v>1</v>
      </c>
    </row>
    <row r="75" spans="3:31" x14ac:dyDescent="0.25">
      <c r="C75" cm="1">
        <f t="array" ref="C75">_xll.VALEURCOURBE($A$2,_xlfn.CONCAT("THEME14=",$B75),SCENARIOS!$A$2,SCENARIOS!$B$2,YIELDS_youvert!C$1,0)</f>
        <v>1</v>
      </c>
      <c r="D75" cm="1">
        <f t="array" ref="D75">_xll.VALEURCOURBE($A$2,_xlfn.CONCAT("THEME14=",$B75),SCENARIOS!$A$2,SCENARIOS!$B$2,YIELDS_youvert!D$1,0)</f>
        <v>1</v>
      </c>
      <c r="E75" cm="1">
        <f t="array" ref="E75">_xll.VALEURCOURBE($A$2,_xlfn.CONCAT("THEME14=",$B75),SCENARIOS!$A$2,SCENARIOS!$B$2,YIELDS_youvert!E$1,0)</f>
        <v>1</v>
      </c>
      <c r="F75" cm="1">
        <f t="array" ref="F75">_xll.VALEURCOURBE($A$2,_xlfn.CONCAT("THEME14=",$B75),SCENARIOS!$A$2,SCENARIOS!$B$2,YIELDS_youvert!F$1,0)</f>
        <v>1</v>
      </c>
      <c r="G75" cm="1">
        <f t="array" ref="G75">_xll.VALEURCOURBE($A$2,_xlfn.CONCAT("THEME14=",$B75),SCENARIOS!$A$2,SCENARIOS!$B$2,YIELDS_youvert!G$1,0)</f>
        <v>1</v>
      </c>
      <c r="H75" cm="1">
        <f t="array" ref="H75">_xll.VALEURCOURBE($A$2,_xlfn.CONCAT("THEME14=",$B75),SCENARIOS!$A$2,SCENARIOS!$B$2,YIELDS_youvert!H$1,0)</f>
        <v>1</v>
      </c>
      <c r="I75" cm="1">
        <f t="array" ref="I75">_xll.VALEURCOURBE($A$2,_xlfn.CONCAT("THEME14=",$B75),SCENARIOS!$A$2,SCENARIOS!$B$2,YIELDS_youvert!I$1,0)</f>
        <v>1</v>
      </c>
      <c r="J75" cm="1">
        <f t="array" ref="J75">_xll.VALEURCOURBE($A$2,_xlfn.CONCAT("THEME14=",$B75),SCENARIOS!$A$2,SCENARIOS!$B$2,YIELDS_youvert!J$1,0)</f>
        <v>1</v>
      </c>
      <c r="K75" cm="1">
        <f t="array" ref="K75">_xll.VALEURCOURBE($A$2,_xlfn.CONCAT("THEME14=",$B75),SCENARIOS!$A$2,SCENARIOS!$B$2,YIELDS_youvert!K$1,0)</f>
        <v>1</v>
      </c>
      <c r="L75" cm="1">
        <f t="array" ref="L75">_xll.VALEURCOURBE($A$2,_xlfn.CONCAT("THEME14=",$B75),SCENARIOS!$A$2,SCENARIOS!$B$2,YIELDS_youvert!L$1,0)</f>
        <v>1</v>
      </c>
      <c r="M75" cm="1">
        <f t="array" ref="M75">_xll.VALEURCOURBE($A$2,_xlfn.CONCAT("THEME14=",$B75),SCENARIOS!$A$2,SCENARIOS!$B$2,YIELDS_youvert!M$1,0)</f>
        <v>1</v>
      </c>
      <c r="N75" cm="1">
        <f t="array" ref="N75">_xll.VALEURCOURBE($A$2,_xlfn.CONCAT("THEME14=",$B75),SCENARIOS!$A$2,SCENARIOS!$B$2,YIELDS_youvert!N$1,0)</f>
        <v>1</v>
      </c>
      <c r="O75" cm="1">
        <f t="array" ref="O75">_xll.VALEURCOURBE($A$2,_xlfn.CONCAT("THEME14=",$B75),SCENARIOS!$A$2,SCENARIOS!$B$2,YIELDS_youvert!O$1,0)</f>
        <v>1</v>
      </c>
      <c r="P75" cm="1">
        <f t="array" ref="P75">_xll.VALEURCOURBE($A$2,_xlfn.CONCAT("THEME14=",$B75),SCENARIOS!$A$2,SCENARIOS!$B$2,YIELDS_youvert!P$1,0)</f>
        <v>1</v>
      </c>
      <c r="Q75" cm="1">
        <f t="array" ref="Q75">_xll.VALEURCOURBE($A$2,_xlfn.CONCAT("THEME14=",$B75),SCENARIOS!$A$2,SCENARIOS!$B$2,YIELDS_youvert!Q$1,0)</f>
        <v>1</v>
      </c>
      <c r="R75" cm="1">
        <f t="array" ref="R75">_xll.VALEURCOURBE($A$2,_xlfn.CONCAT("THEME14=",$B75),SCENARIOS!$A$2,SCENARIOS!$B$2,YIELDS_youvert!R$1,0)</f>
        <v>1</v>
      </c>
      <c r="S75" cm="1">
        <f t="array" ref="S75">_xll.VALEURCOURBE($A$2,_xlfn.CONCAT("THEME14=",$B75),SCENARIOS!$A$2,SCENARIOS!$B$2,YIELDS_youvert!S$1,0)</f>
        <v>1</v>
      </c>
      <c r="T75" cm="1">
        <f t="array" ref="T75">_xll.VALEURCOURBE($A$2,_xlfn.CONCAT("THEME14=",$B75),SCENARIOS!$A$2,SCENARIOS!$B$2,YIELDS_youvert!T$1,0)</f>
        <v>1</v>
      </c>
      <c r="U75" cm="1">
        <f t="array" ref="U75">_xll.VALEURCOURBE($A$2,_xlfn.CONCAT("THEME14=",$B75),SCENARIOS!$A$2,SCENARIOS!$B$2,YIELDS_youvert!U$1,0)</f>
        <v>1</v>
      </c>
      <c r="V75" cm="1">
        <f t="array" ref="V75">_xll.VALEURCOURBE($A$2,_xlfn.CONCAT("THEME14=",$B75),SCENARIOS!$A$2,SCENARIOS!$B$2,YIELDS_youvert!V$1,0)</f>
        <v>1</v>
      </c>
      <c r="W75" cm="1">
        <f t="array" ref="W75">_xll.VALEURCOURBE($A$2,_xlfn.CONCAT("THEME14=",$B75),SCENARIOS!$A$2,SCENARIOS!$B$2,YIELDS_youvert!W$1,0)</f>
        <v>1</v>
      </c>
      <c r="X75" cm="1">
        <f t="array" ref="X75">_xll.VALEURCOURBE($A$2,_xlfn.CONCAT("THEME14=",$B75),SCENARIOS!$A$2,SCENARIOS!$B$2,YIELDS_youvert!X$1,0)</f>
        <v>1</v>
      </c>
      <c r="Y75" cm="1">
        <f t="array" ref="Y75">_xll.VALEURCOURBE($A$2,_xlfn.CONCAT("THEME14=",$B75),SCENARIOS!$A$2,SCENARIOS!$B$2,YIELDS_youvert!Y$1,0)</f>
        <v>1</v>
      </c>
      <c r="Z75" cm="1">
        <f t="array" ref="Z75">_xll.VALEURCOURBE($A$2,_xlfn.CONCAT("THEME14=",$B75),SCENARIOS!$A$2,SCENARIOS!$B$2,YIELDS_youvert!Z$1,0)</f>
        <v>1</v>
      </c>
      <c r="AA75" cm="1">
        <f t="array" ref="AA75">_xll.VALEURCOURBE($A$2,_xlfn.CONCAT("THEME14=",$B75),SCENARIOS!$A$2,SCENARIOS!$B$2,YIELDS_youvert!AA$1,0)</f>
        <v>1</v>
      </c>
      <c r="AB75" cm="1">
        <f t="array" ref="AB75">_xll.VALEURCOURBE($A$2,_xlfn.CONCAT("THEME14=",$B75),SCENARIOS!$A$2,SCENARIOS!$B$2,YIELDS_youvert!AB$1,0)</f>
        <v>1</v>
      </c>
      <c r="AC75" cm="1">
        <f t="array" ref="AC75">_xll.VALEURCOURBE($A$2,_xlfn.CONCAT("THEME14=",$B75),SCENARIOS!$A$2,SCENARIOS!$B$2,YIELDS_youvert!AC$1,0)</f>
        <v>1</v>
      </c>
      <c r="AD75" cm="1">
        <f t="array" ref="AD75">_xll.VALEURCOURBE($A$2,_xlfn.CONCAT("THEME14=",$B75),SCENARIOS!$A$2,SCENARIOS!$B$2,YIELDS_youvert!AD$1,0)</f>
        <v>1</v>
      </c>
      <c r="AE75" cm="1">
        <f t="array" ref="AE75">_xll.VALEURCOURBE($A$2,_xlfn.CONCAT("THEME14=",$B75),SCENARIOS!$A$2,SCENARIOS!$B$2,YIELDS_youvert!AE$1,0)</f>
        <v>1</v>
      </c>
    </row>
    <row r="76" spans="3:31" x14ac:dyDescent="0.25">
      <c r="C76" cm="1">
        <f t="array" ref="C76">_xll.VALEURCOURBE($A$2,_xlfn.CONCAT("THEME14=",$B76),SCENARIOS!$A$2,SCENARIOS!$B$2,YIELDS_youvert!C$1,0)</f>
        <v>1</v>
      </c>
      <c r="D76" cm="1">
        <f t="array" ref="D76">_xll.VALEURCOURBE($A$2,_xlfn.CONCAT("THEME14=",$B76),SCENARIOS!$A$2,SCENARIOS!$B$2,YIELDS_youvert!D$1,0)</f>
        <v>1</v>
      </c>
      <c r="E76" cm="1">
        <f t="array" ref="E76">_xll.VALEURCOURBE($A$2,_xlfn.CONCAT("THEME14=",$B76),SCENARIOS!$A$2,SCENARIOS!$B$2,YIELDS_youvert!E$1,0)</f>
        <v>1</v>
      </c>
      <c r="F76" cm="1">
        <f t="array" ref="F76">_xll.VALEURCOURBE($A$2,_xlfn.CONCAT("THEME14=",$B76),SCENARIOS!$A$2,SCENARIOS!$B$2,YIELDS_youvert!F$1,0)</f>
        <v>1</v>
      </c>
      <c r="G76" cm="1">
        <f t="array" ref="G76">_xll.VALEURCOURBE($A$2,_xlfn.CONCAT("THEME14=",$B76),SCENARIOS!$A$2,SCENARIOS!$B$2,YIELDS_youvert!G$1,0)</f>
        <v>1</v>
      </c>
      <c r="H76" cm="1">
        <f t="array" ref="H76">_xll.VALEURCOURBE($A$2,_xlfn.CONCAT("THEME14=",$B76),SCENARIOS!$A$2,SCENARIOS!$B$2,YIELDS_youvert!H$1,0)</f>
        <v>1</v>
      </c>
      <c r="I76" cm="1">
        <f t="array" ref="I76">_xll.VALEURCOURBE($A$2,_xlfn.CONCAT("THEME14=",$B76),SCENARIOS!$A$2,SCENARIOS!$B$2,YIELDS_youvert!I$1,0)</f>
        <v>1</v>
      </c>
      <c r="J76" cm="1">
        <f t="array" ref="J76">_xll.VALEURCOURBE($A$2,_xlfn.CONCAT("THEME14=",$B76),SCENARIOS!$A$2,SCENARIOS!$B$2,YIELDS_youvert!J$1,0)</f>
        <v>1</v>
      </c>
      <c r="K76" cm="1">
        <f t="array" ref="K76">_xll.VALEURCOURBE($A$2,_xlfn.CONCAT("THEME14=",$B76),SCENARIOS!$A$2,SCENARIOS!$B$2,YIELDS_youvert!K$1,0)</f>
        <v>1</v>
      </c>
      <c r="L76" cm="1">
        <f t="array" ref="L76">_xll.VALEURCOURBE($A$2,_xlfn.CONCAT("THEME14=",$B76),SCENARIOS!$A$2,SCENARIOS!$B$2,YIELDS_youvert!L$1,0)</f>
        <v>1</v>
      </c>
      <c r="M76" cm="1">
        <f t="array" ref="M76">_xll.VALEURCOURBE($A$2,_xlfn.CONCAT("THEME14=",$B76),SCENARIOS!$A$2,SCENARIOS!$B$2,YIELDS_youvert!M$1,0)</f>
        <v>1</v>
      </c>
      <c r="N76" cm="1">
        <f t="array" ref="N76">_xll.VALEURCOURBE($A$2,_xlfn.CONCAT("THEME14=",$B76),SCENARIOS!$A$2,SCENARIOS!$B$2,YIELDS_youvert!N$1,0)</f>
        <v>1</v>
      </c>
      <c r="O76" cm="1">
        <f t="array" ref="O76">_xll.VALEURCOURBE($A$2,_xlfn.CONCAT("THEME14=",$B76),SCENARIOS!$A$2,SCENARIOS!$B$2,YIELDS_youvert!O$1,0)</f>
        <v>1</v>
      </c>
      <c r="P76" cm="1">
        <f t="array" ref="P76">_xll.VALEURCOURBE($A$2,_xlfn.CONCAT("THEME14=",$B76),SCENARIOS!$A$2,SCENARIOS!$B$2,YIELDS_youvert!P$1,0)</f>
        <v>1</v>
      </c>
      <c r="Q76" cm="1">
        <f t="array" ref="Q76">_xll.VALEURCOURBE($A$2,_xlfn.CONCAT("THEME14=",$B76),SCENARIOS!$A$2,SCENARIOS!$B$2,YIELDS_youvert!Q$1,0)</f>
        <v>1</v>
      </c>
      <c r="R76" cm="1">
        <f t="array" ref="R76">_xll.VALEURCOURBE($A$2,_xlfn.CONCAT("THEME14=",$B76),SCENARIOS!$A$2,SCENARIOS!$B$2,YIELDS_youvert!R$1,0)</f>
        <v>1</v>
      </c>
      <c r="S76" cm="1">
        <f t="array" ref="S76">_xll.VALEURCOURBE($A$2,_xlfn.CONCAT("THEME14=",$B76),SCENARIOS!$A$2,SCENARIOS!$B$2,YIELDS_youvert!S$1,0)</f>
        <v>1</v>
      </c>
      <c r="T76" cm="1">
        <f t="array" ref="T76">_xll.VALEURCOURBE($A$2,_xlfn.CONCAT("THEME14=",$B76),SCENARIOS!$A$2,SCENARIOS!$B$2,YIELDS_youvert!T$1,0)</f>
        <v>1</v>
      </c>
      <c r="U76" cm="1">
        <f t="array" ref="U76">_xll.VALEURCOURBE($A$2,_xlfn.CONCAT("THEME14=",$B76),SCENARIOS!$A$2,SCENARIOS!$B$2,YIELDS_youvert!U$1,0)</f>
        <v>1</v>
      </c>
      <c r="V76" cm="1">
        <f t="array" ref="V76">_xll.VALEURCOURBE($A$2,_xlfn.CONCAT("THEME14=",$B76),SCENARIOS!$A$2,SCENARIOS!$B$2,YIELDS_youvert!V$1,0)</f>
        <v>1</v>
      </c>
      <c r="W76" cm="1">
        <f t="array" ref="W76">_xll.VALEURCOURBE($A$2,_xlfn.CONCAT("THEME14=",$B76),SCENARIOS!$A$2,SCENARIOS!$B$2,YIELDS_youvert!W$1,0)</f>
        <v>1</v>
      </c>
      <c r="X76" cm="1">
        <f t="array" ref="X76">_xll.VALEURCOURBE($A$2,_xlfn.CONCAT("THEME14=",$B76),SCENARIOS!$A$2,SCENARIOS!$B$2,YIELDS_youvert!X$1,0)</f>
        <v>1</v>
      </c>
      <c r="Y76" cm="1">
        <f t="array" ref="Y76">_xll.VALEURCOURBE($A$2,_xlfn.CONCAT("THEME14=",$B76),SCENARIOS!$A$2,SCENARIOS!$B$2,YIELDS_youvert!Y$1,0)</f>
        <v>1</v>
      </c>
      <c r="Z76" cm="1">
        <f t="array" ref="Z76">_xll.VALEURCOURBE($A$2,_xlfn.CONCAT("THEME14=",$B76),SCENARIOS!$A$2,SCENARIOS!$B$2,YIELDS_youvert!Z$1,0)</f>
        <v>1</v>
      </c>
      <c r="AA76" cm="1">
        <f t="array" ref="AA76">_xll.VALEURCOURBE($A$2,_xlfn.CONCAT("THEME14=",$B76),SCENARIOS!$A$2,SCENARIOS!$B$2,YIELDS_youvert!AA$1,0)</f>
        <v>1</v>
      </c>
      <c r="AB76" cm="1">
        <f t="array" ref="AB76">_xll.VALEURCOURBE($A$2,_xlfn.CONCAT("THEME14=",$B76),SCENARIOS!$A$2,SCENARIOS!$B$2,YIELDS_youvert!AB$1,0)</f>
        <v>1</v>
      </c>
      <c r="AC76" cm="1">
        <f t="array" ref="AC76">_xll.VALEURCOURBE($A$2,_xlfn.CONCAT("THEME14=",$B76),SCENARIOS!$A$2,SCENARIOS!$B$2,YIELDS_youvert!AC$1,0)</f>
        <v>1</v>
      </c>
      <c r="AD76" cm="1">
        <f t="array" ref="AD76">_xll.VALEURCOURBE($A$2,_xlfn.CONCAT("THEME14=",$B76),SCENARIOS!$A$2,SCENARIOS!$B$2,YIELDS_youvert!AD$1,0)</f>
        <v>1</v>
      </c>
      <c r="AE76" cm="1">
        <f t="array" ref="AE76">_xll.VALEURCOURBE($A$2,_xlfn.CONCAT("THEME14=",$B76),SCENARIOS!$A$2,SCENARIOS!$B$2,YIELDS_youvert!AE$1,0)</f>
        <v>1</v>
      </c>
    </row>
    <row r="77" spans="3:31" x14ac:dyDescent="0.25">
      <c r="C77" cm="1">
        <f t="array" ref="C77">_xll.VALEURCOURBE($A$2,_xlfn.CONCAT("THEME14=",$B77),SCENARIOS!$A$2,SCENARIOS!$B$2,YIELDS_youvert!C$1,0)</f>
        <v>1</v>
      </c>
      <c r="D77" cm="1">
        <f t="array" ref="D77">_xll.VALEURCOURBE($A$2,_xlfn.CONCAT("THEME14=",$B77),SCENARIOS!$A$2,SCENARIOS!$B$2,YIELDS_youvert!D$1,0)</f>
        <v>1</v>
      </c>
      <c r="E77" cm="1">
        <f t="array" ref="E77">_xll.VALEURCOURBE($A$2,_xlfn.CONCAT("THEME14=",$B77),SCENARIOS!$A$2,SCENARIOS!$B$2,YIELDS_youvert!E$1,0)</f>
        <v>1</v>
      </c>
      <c r="F77" cm="1">
        <f t="array" ref="F77">_xll.VALEURCOURBE($A$2,_xlfn.CONCAT("THEME14=",$B77),SCENARIOS!$A$2,SCENARIOS!$B$2,YIELDS_youvert!F$1,0)</f>
        <v>1</v>
      </c>
      <c r="G77" cm="1">
        <f t="array" ref="G77">_xll.VALEURCOURBE($A$2,_xlfn.CONCAT("THEME14=",$B77),SCENARIOS!$A$2,SCENARIOS!$B$2,YIELDS_youvert!G$1,0)</f>
        <v>1</v>
      </c>
      <c r="H77" cm="1">
        <f t="array" ref="H77">_xll.VALEURCOURBE($A$2,_xlfn.CONCAT("THEME14=",$B77),SCENARIOS!$A$2,SCENARIOS!$B$2,YIELDS_youvert!H$1,0)</f>
        <v>1</v>
      </c>
      <c r="I77" cm="1">
        <f t="array" ref="I77">_xll.VALEURCOURBE($A$2,_xlfn.CONCAT("THEME14=",$B77),SCENARIOS!$A$2,SCENARIOS!$B$2,YIELDS_youvert!I$1,0)</f>
        <v>1</v>
      </c>
      <c r="J77" cm="1">
        <f t="array" ref="J77">_xll.VALEURCOURBE($A$2,_xlfn.CONCAT("THEME14=",$B77),SCENARIOS!$A$2,SCENARIOS!$B$2,YIELDS_youvert!J$1,0)</f>
        <v>1</v>
      </c>
      <c r="K77" cm="1">
        <f t="array" ref="K77">_xll.VALEURCOURBE($A$2,_xlfn.CONCAT("THEME14=",$B77),SCENARIOS!$A$2,SCENARIOS!$B$2,YIELDS_youvert!K$1,0)</f>
        <v>1</v>
      </c>
      <c r="L77" cm="1">
        <f t="array" ref="L77">_xll.VALEURCOURBE($A$2,_xlfn.CONCAT("THEME14=",$B77),SCENARIOS!$A$2,SCENARIOS!$B$2,YIELDS_youvert!L$1,0)</f>
        <v>1</v>
      </c>
      <c r="M77" cm="1">
        <f t="array" ref="M77">_xll.VALEURCOURBE($A$2,_xlfn.CONCAT("THEME14=",$B77),SCENARIOS!$A$2,SCENARIOS!$B$2,YIELDS_youvert!M$1,0)</f>
        <v>1</v>
      </c>
      <c r="N77" cm="1">
        <f t="array" ref="N77">_xll.VALEURCOURBE($A$2,_xlfn.CONCAT("THEME14=",$B77),SCENARIOS!$A$2,SCENARIOS!$B$2,YIELDS_youvert!N$1,0)</f>
        <v>1</v>
      </c>
      <c r="O77" cm="1">
        <f t="array" ref="O77">_xll.VALEURCOURBE($A$2,_xlfn.CONCAT("THEME14=",$B77),SCENARIOS!$A$2,SCENARIOS!$B$2,YIELDS_youvert!O$1,0)</f>
        <v>1</v>
      </c>
      <c r="P77" cm="1">
        <f t="array" ref="P77">_xll.VALEURCOURBE($A$2,_xlfn.CONCAT("THEME14=",$B77),SCENARIOS!$A$2,SCENARIOS!$B$2,YIELDS_youvert!P$1,0)</f>
        <v>1</v>
      </c>
      <c r="Q77" cm="1">
        <f t="array" ref="Q77">_xll.VALEURCOURBE($A$2,_xlfn.CONCAT("THEME14=",$B77),SCENARIOS!$A$2,SCENARIOS!$B$2,YIELDS_youvert!Q$1,0)</f>
        <v>1</v>
      </c>
      <c r="R77" cm="1">
        <f t="array" ref="R77">_xll.VALEURCOURBE($A$2,_xlfn.CONCAT("THEME14=",$B77),SCENARIOS!$A$2,SCENARIOS!$B$2,YIELDS_youvert!R$1,0)</f>
        <v>1</v>
      </c>
      <c r="S77" cm="1">
        <f t="array" ref="S77">_xll.VALEURCOURBE($A$2,_xlfn.CONCAT("THEME14=",$B77),SCENARIOS!$A$2,SCENARIOS!$B$2,YIELDS_youvert!S$1,0)</f>
        <v>1</v>
      </c>
      <c r="T77" cm="1">
        <f t="array" ref="T77">_xll.VALEURCOURBE($A$2,_xlfn.CONCAT("THEME14=",$B77),SCENARIOS!$A$2,SCENARIOS!$B$2,YIELDS_youvert!T$1,0)</f>
        <v>1</v>
      </c>
      <c r="U77" cm="1">
        <f t="array" ref="U77">_xll.VALEURCOURBE($A$2,_xlfn.CONCAT("THEME14=",$B77),SCENARIOS!$A$2,SCENARIOS!$B$2,YIELDS_youvert!U$1,0)</f>
        <v>1</v>
      </c>
      <c r="V77" cm="1">
        <f t="array" ref="V77">_xll.VALEURCOURBE($A$2,_xlfn.CONCAT("THEME14=",$B77),SCENARIOS!$A$2,SCENARIOS!$B$2,YIELDS_youvert!V$1,0)</f>
        <v>1</v>
      </c>
      <c r="W77" cm="1">
        <f t="array" ref="W77">_xll.VALEURCOURBE($A$2,_xlfn.CONCAT("THEME14=",$B77),SCENARIOS!$A$2,SCENARIOS!$B$2,YIELDS_youvert!W$1,0)</f>
        <v>1</v>
      </c>
      <c r="X77" cm="1">
        <f t="array" ref="X77">_xll.VALEURCOURBE($A$2,_xlfn.CONCAT("THEME14=",$B77),SCENARIOS!$A$2,SCENARIOS!$B$2,YIELDS_youvert!X$1,0)</f>
        <v>1</v>
      </c>
      <c r="Y77" cm="1">
        <f t="array" ref="Y77">_xll.VALEURCOURBE($A$2,_xlfn.CONCAT("THEME14=",$B77),SCENARIOS!$A$2,SCENARIOS!$B$2,YIELDS_youvert!Y$1,0)</f>
        <v>1</v>
      </c>
      <c r="Z77" cm="1">
        <f t="array" ref="Z77">_xll.VALEURCOURBE($A$2,_xlfn.CONCAT("THEME14=",$B77),SCENARIOS!$A$2,SCENARIOS!$B$2,YIELDS_youvert!Z$1,0)</f>
        <v>1</v>
      </c>
      <c r="AA77" cm="1">
        <f t="array" ref="AA77">_xll.VALEURCOURBE($A$2,_xlfn.CONCAT("THEME14=",$B77),SCENARIOS!$A$2,SCENARIOS!$B$2,YIELDS_youvert!AA$1,0)</f>
        <v>1</v>
      </c>
      <c r="AB77" cm="1">
        <f t="array" ref="AB77">_xll.VALEURCOURBE($A$2,_xlfn.CONCAT("THEME14=",$B77),SCENARIOS!$A$2,SCENARIOS!$B$2,YIELDS_youvert!AB$1,0)</f>
        <v>1</v>
      </c>
      <c r="AC77" cm="1">
        <f t="array" ref="AC77">_xll.VALEURCOURBE($A$2,_xlfn.CONCAT("THEME14=",$B77),SCENARIOS!$A$2,SCENARIOS!$B$2,YIELDS_youvert!AC$1,0)</f>
        <v>1</v>
      </c>
      <c r="AD77" cm="1">
        <f t="array" ref="AD77">_xll.VALEURCOURBE($A$2,_xlfn.CONCAT("THEME14=",$B77),SCENARIOS!$A$2,SCENARIOS!$B$2,YIELDS_youvert!AD$1,0)</f>
        <v>1</v>
      </c>
      <c r="AE77" cm="1">
        <f t="array" ref="AE77">_xll.VALEURCOURBE($A$2,_xlfn.CONCAT("THEME14=",$B77),SCENARIOS!$A$2,SCENARIOS!$B$2,YIELDS_youvert!AE$1,0)</f>
        <v>1</v>
      </c>
    </row>
    <row r="78" spans="3:31" x14ac:dyDescent="0.25">
      <c r="C78" cm="1">
        <f t="array" ref="C78">_xll.VALEURCOURBE($A$2,_xlfn.CONCAT("THEME14=",$B78),SCENARIOS!$A$2,SCENARIOS!$B$2,YIELDS_youvert!C$1,0)</f>
        <v>1</v>
      </c>
      <c r="D78" cm="1">
        <f t="array" ref="D78">_xll.VALEURCOURBE($A$2,_xlfn.CONCAT("THEME14=",$B78),SCENARIOS!$A$2,SCENARIOS!$B$2,YIELDS_youvert!D$1,0)</f>
        <v>1</v>
      </c>
      <c r="E78" cm="1">
        <f t="array" ref="E78">_xll.VALEURCOURBE($A$2,_xlfn.CONCAT("THEME14=",$B78),SCENARIOS!$A$2,SCENARIOS!$B$2,YIELDS_youvert!E$1,0)</f>
        <v>1</v>
      </c>
      <c r="F78" cm="1">
        <f t="array" ref="F78">_xll.VALEURCOURBE($A$2,_xlfn.CONCAT("THEME14=",$B78),SCENARIOS!$A$2,SCENARIOS!$B$2,YIELDS_youvert!F$1,0)</f>
        <v>1</v>
      </c>
      <c r="G78" cm="1">
        <f t="array" ref="G78">_xll.VALEURCOURBE($A$2,_xlfn.CONCAT("THEME14=",$B78),SCENARIOS!$A$2,SCENARIOS!$B$2,YIELDS_youvert!G$1,0)</f>
        <v>1</v>
      </c>
      <c r="H78" cm="1">
        <f t="array" ref="H78">_xll.VALEURCOURBE($A$2,_xlfn.CONCAT("THEME14=",$B78),SCENARIOS!$A$2,SCENARIOS!$B$2,YIELDS_youvert!H$1,0)</f>
        <v>1</v>
      </c>
      <c r="I78" cm="1">
        <f t="array" ref="I78">_xll.VALEURCOURBE($A$2,_xlfn.CONCAT("THEME14=",$B78),SCENARIOS!$A$2,SCENARIOS!$B$2,YIELDS_youvert!I$1,0)</f>
        <v>1</v>
      </c>
      <c r="J78" cm="1">
        <f t="array" ref="J78">_xll.VALEURCOURBE($A$2,_xlfn.CONCAT("THEME14=",$B78),SCENARIOS!$A$2,SCENARIOS!$B$2,YIELDS_youvert!J$1,0)</f>
        <v>1</v>
      </c>
      <c r="K78" cm="1">
        <f t="array" ref="K78">_xll.VALEURCOURBE($A$2,_xlfn.CONCAT("THEME14=",$B78),SCENARIOS!$A$2,SCENARIOS!$B$2,YIELDS_youvert!K$1,0)</f>
        <v>1</v>
      </c>
      <c r="L78" cm="1">
        <f t="array" ref="L78">_xll.VALEURCOURBE($A$2,_xlfn.CONCAT("THEME14=",$B78),SCENARIOS!$A$2,SCENARIOS!$B$2,YIELDS_youvert!L$1,0)</f>
        <v>1</v>
      </c>
      <c r="M78" cm="1">
        <f t="array" ref="M78">_xll.VALEURCOURBE($A$2,_xlfn.CONCAT("THEME14=",$B78),SCENARIOS!$A$2,SCENARIOS!$B$2,YIELDS_youvert!M$1,0)</f>
        <v>1</v>
      </c>
      <c r="N78" cm="1">
        <f t="array" ref="N78">_xll.VALEURCOURBE($A$2,_xlfn.CONCAT("THEME14=",$B78),SCENARIOS!$A$2,SCENARIOS!$B$2,YIELDS_youvert!N$1,0)</f>
        <v>1</v>
      </c>
      <c r="O78" cm="1">
        <f t="array" ref="O78">_xll.VALEURCOURBE($A$2,_xlfn.CONCAT("THEME14=",$B78),SCENARIOS!$A$2,SCENARIOS!$B$2,YIELDS_youvert!O$1,0)</f>
        <v>1</v>
      </c>
      <c r="P78" cm="1">
        <f t="array" ref="P78">_xll.VALEURCOURBE($A$2,_xlfn.CONCAT("THEME14=",$B78),SCENARIOS!$A$2,SCENARIOS!$B$2,YIELDS_youvert!P$1,0)</f>
        <v>1</v>
      </c>
      <c r="Q78" cm="1">
        <f t="array" ref="Q78">_xll.VALEURCOURBE($A$2,_xlfn.CONCAT("THEME14=",$B78),SCENARIOS!$A$2,SCENARIOS!$B$2,YIELDS_youvert!Q$1,0)</f>
        <v>1</v>
      </c>
      <c r="R78" cm="1">
        <f t="array" ref="R78">_xll.VALEURCOURBE($A$2,_xlfn.CONCAT("THEME14=",$B78),SCENARIOS!$A$2,SCENARIOS!$B$2,YIELDS_youvert!R$1,0)</f>
        <v>1</v>
      </c>
      <c r="S78" cm="1">
        <f t="array" ref="S78">_xll.VALEURCOURBE($A$2,_xlfn.CONCAT("THEME14=",$B78),SCENARIOS!$A$2,SCENARIOS!$B$2,YIELDS_youvert!S$1,0)</f>
        <v>1</v>
      </c>
      <c r="T78" cm="1">
        <f t="array" ref="T78">_xll.VALEURCOURBE($A$2,_xlfn.CONCAT("THEME14=",$B78),SCENARIOS!$A$2,SCENARIOS!$B$2,YIELDS_youvert!T$1,0)</f>
        <v>1</v>
      </c>
      <c r="U78" cm="1">
        <f t="array" ref="U78">_xll.VALEURCOURBE($A$2,_xlfn.CONCAT("THEME14=",$B78),SCENARIOS!$A$2,SCENARIOS!$B$2,YIELDS_youvert!U$1,0)</f>
        <v>1</v>
      </c>
      <c r="V78" cm="1">
        <f t="array" ref="V78">_xll.VALEURCOURBE($A$2,_xlfn.CONCAT("THEME14=",$B78),SCENARIOS!$A$2,SCENARIOS!$B$2,YIELDS_youvert!V$1,0)</f>
        <v>1</v>
      </c>
      <c r="W78" cm="1">
        <f t="array" ref="W78">_xll.VALEURCOURBE($A$2,_xlfn.CONCAT("THEME14=",$B78),SCENARIOS!$A$2,SCENARIOS!$B$2,YIELDS_youvert!W$1,0)</f>
        <v>1</v>
      </c>
      <c r="X78" cm="1">
        <f t="array" ref="X78">_xll.VALEURCOURBE($A$2,_xlfn.CONCAT("THEME14=",$B78),SCENARIOS!$A$2,SCENARIOS!$B$2,YIELDS_youvert!X$1,0)</f>
        <v>1</v>
      </c>
      <c r="Y78" cm="1">
        <f t="array" ref="Y78">_xll.VALEURCOURBE($A$2,_xlfn.CONCAT("THEME14=",$B78),SCENARIOS!$A$2,SCENARIOS!$B$2,YIELDS_youvert!Y$1,0)</f>
        <v>1</v>
      </c>
      <c r="Z78" cm="1">
        <f t="array" ref="Z78">_xll.VALEURCOURBE($A$2,_xlfn.CONCAT("THEME14=",$B78),SCENARIOS!$A$2,SCENARIOS!$B$2,YIELDS_youvert!Z$1,0)</f>
        <v>1</v>
      </c>
      <c r="AA78" cm="1">
        <f t="array" ref="AA78">_xll.VALEURCOURBE($A$2,_xlfn.CONCAT("THEME14=",$B78),SCENARIOS!$A$2,SCENARIOS!$B$2,YIELDS_youvert!AA$1,0)</f>
        <v>1</v>
      </c>
      <c r="AB78" cm="1">
        <f t="array" ref="AB78">_xll.VALEURCOURBE($A$2,_xlfn.CONCAT("THEME14=",$B78),SCENARIOS!$A$2,SCENARIOS!$B$2,YIELDS_youvert!AB$1,0)</f>
        <v>1</v>
      </c>
      <c r="AC78" cm="1">
        <f t="array" ref="AC78">_xll.VALEURCOURBE($A$2,_xlfn.CONCAT("THEME14=",$B78),SCENARIOS!$A$2,SCENARIOS!$B$2,YIELDS_youvert!AC$1,0)</f>
        <v>1</v>
      </c>
      <c r="AD78" cm="1">
        <f t="array" ref="AD78">_xll.VALEURCOURBE($A$2,_xlfn.CONCAT("THEME14=",$B78),SCENARIOS!$A$2,SCENARIOS!$B$2,YIELDS_youvert!AD$1,0)</f>
        <v>1</v>
      </c>
      <c r="AE78" cm="1">
        <f t="array" ref="AE78">_xll.VALEURCOURBE($A$2,_xlfn.CONCAT("THEME14=",$B78),SCENARIOS!$A$2,SCENARIOS!$B$2,YIELDS_youvert!AE$1,0)</f>
        <v>1</v>
      </c>
    </row>
    <row r="79" spans="3:31" x14ac:dyDescent="0.25">
      <c r="C79" cm="1">
        <f t="array" ref="C79">_xll.VALEURCOURBE($A$2,_xlfn.CONCAT("THEME14=",$B79),SCENARIOS!$A$2,SCENARIOS!$B$2,YIELDS_youvert!C$1,0)</f>
        <v>1</v>
      </c>
      <c r="D79" cm="1">
        <f t="array" ref="D79">_xll.VALEURCOURBE($A$2,_xlfn.CONCAT("THEME14=",$B79),SCENARIOS!$A$2,SCENARIOS!$B$2,YIELDS_youvert!D$1,0)</f>
        <v>1</v>
      </c>
      <c r="E79" cm="1">
        <f t="array" ref="E79">_xll.VALEURCOURBE($A$2,_xlfn.CONCAT("THEME14=",$B79),SCENARIOS!$A$2,SCENARIOS!$B$2,YIELDS_youvert!E$1,0)</f>
        <v>1</v>
      </c>
      <c r="F79" cm="1">
        <f t="array" ref="F79">_xll.VALEURCOURBE($A$2,_xlfn.CONCAT("THEME14=",$B79),SCENARIOS!$A$2,SCENARIOS!$B$2,YIELDS_youvert!F$1,0)</f>
        <v>1</v>
      </c>
      <c r="G79" cm="1">
        <f t="array" ref="G79">_xll.VALEURCOURBE($A$2,_xlfn.CONCAT("THEME14=",$B79),SCENARIOS!$A$2,SCENARIOS!$B$2,YIELDS_youvert!G$1,0)</f>
        <v>1</v>
      </c>
      <c r="H79" cm="1">
        <f t="array" ref="H79">_xll.VALEURCOURBE($A$2,_xlfn.CONCAT("THEME14=",$B79),SCENARIOS!$A$2,SCENARIOS!$B$2,YIELDS_youvert!H$1,0)</f>
        <v>1</v>
      </c>
      <c r="I79" cm="1">
        <f t="array" ref="I79">_xll.VALEURCOURBE($A$2,_xlfn.CONCAT("THEME14=",$B79),SCENARIOS!$A$2,SCENARIOS!$B$2,YIELDS_youvert!I$1,0)</f>
        <v>1</v>
      </c>
      <c r="J79" cm="1">
        <f t="array" ref="J79">_xll.VALEURCOURBE($A$2,_xlfn.CONCAT("THEME14=",$B79),SCENARIOS!$A$2,SCENARIOS!$B$2,YIELDS_youvert!J$1,0)</f>
        <v>1</v>
      </c>
      <c r="K79" cm="1">
        <f t="array" ref="K79">_xll.VALEURCOURBE($A$2,_xlfn.CONCAT("THEME14=",$B79),SCENARIOS!$A$2,SCENARIOS!$B$2,YIELDS_youvert!K$1,0)</f>
        <v>1</v>
      </c>
      <c r="L79" cm="1">
        <f t="array" ref="L79">_xll.VALEURCOURBE($A$2,_xlfn.CONCAT("THEME14=",$B79),SCENARIOS!$A$2,SCENARIOS!$B$2,YIELDS_youvert!L$1,0)</f>
        <v>1</v>
      </c>
      <c r="M79" cm="1">
        <f t="array" ref="M79">_xll.VALEURCOURBE($A$2,_xlfn.CONCAT("THEME14=",$B79),SCENARIOS!$A$2,SCENARIOS!$B$2,YIELDS_youvert!M$1,0)</f>
        <v>1</v>
      </c>
      <c r="N79" cm="1">
        <f t="array" ref="N79">_xll.VALEURCOURBE($A$2,_xlfn.CONCAT("THEME14=",$B79),SCENARIOS!$A$2,SCENARIOS!$B$2,YIELDS_youvert!N$1,0)</f>
        <v>1</v>
      </c>
      <c r="O79" cm="1">
        <f t="array" ref="O79">_xll.VALEURCOURBE($A$2,_xlfn.CONCAT("THEME14=",$B79),SCENARIOS!$A$2,SCENARIOS!$B$2,YIELDS_youvert!O$1,0)</f>
        <v>1</v>
      </c>
      <c r="P79" cm="1">
        <f t="array" ref="P79">_xll.VALEURCOURBE($A$2,_xlfn.CONCAT("THEME14=",$B79),SCENARIOS!$A$2,SCENARIOS!$B$2,YIELDS_youvert!P$1,0)</f>
        <v>1</v>
      </c>
      <c r="Q79" cm="1">
        <f t="array" ref="Q79">_xll.VALEURCOURBE($A$2,_xlfn.CONCAT("THEME14=",$B79),SCENARIOS!$A$2,SCENARIOS!$B$2,YIELDS_youvert!Q$1,0)</f>
        <v>1</v>
      </c>
      <c r="R79" cm="1">
        <f t="array" ref="R79">_xll.VALEURCOURBE($A$2,_xlfn.CONCAT("THEME14=",$B79),SCENARIOS!$A$2,SCENARIOS!$B$2,YIELDS_youvert!R$1,0)</f>
        <v>1</v>
      </c>
      <c r="S79" cm="1">
        <f t="array" ref="S79">_xll.VALEURCOURBE($A$2,_xlfn.CONCAT("THEME14=",$B79),SCENARIOS!$A$2,SCENARIOS!$B$2,YIELDS_youvert!S$1,0)</f>
        <v>1</v>
      </c>
      <c r="T79" cm="1">
        <f t="array" ref="T79">_xll.VALEURCOURBE($A$2,_xlfn.CONCAT("THEME14=",$B79),SCENARIOS!$A$2,SCENARIOS!$B$2,YIELDS_youvert!T$1,0)</f>
        <v>1</v>
      </c>
      <c r="U79" cm="1">
        <f t="array" ref="U79">_xll.VALEURCOURBE($A$2,_xlfn.CONCAT("THEME14=",$B79),SCENARIOS!$A$2,SCENARIOS!$B$2,YIELDS_youvert!U$1,0)</f>
        <v>1</v>
      </c>
      <c r="V79" cm="1">
        <f t="array" ref="V79">_xll.VALEURCOURBE($A$2,_xlfn.CONCAT("THEME14=",$B79),SCENARIOS!$A$2,SCENARIOS!$B$2,YIELDS_youvert!V$1,0)</f>
        <v>1</v>
      </c>
      <c r="W79" cm="1">
        <f t="array" ref="W79">_xll.VALEURCOURBE($A$2,_xlfn.CONCAT("THEME14=",$B79),SCENARIOS!$A$2,SCENARIOS!$B$2,YIELDS_youvert!W$1,0)</f>
        <v>1</v>
      </c>
      <c r="X79" cm="1">
        <f t="array" ref="X79">_xll.VALEURCOURBE($A$2,_xlfn.CONCAT("THEME14=",$B79),SCENARIOS!$A$2,SCENARIOS!$B$2,YIELDS_youvert!X$1,0)</f>
        <v>1</v>
      </c>
      <c r="Y79" cm="1">
        <f t="array" ref="Y79">_xll.VALEURCOURBE($A$2,_xlfn.CONCAT("THEME14=",$B79),SCENARIOS!$A$2,SCENARIOS!$B$2,YIELDS_youvert!Y$1,0)</f>
        <v>1</v>
      </c>
      <c r="Z79" cm="1">
        <f t="array" ref="Z79">_xll.VALEURCOURBE($A$2,_xlfn.CONCAT("THEME14=",$B79),SCENARIOS!$A$2,SCENARIOS!$B$2,YIELDS_youvert!Z$1,0)</f>
        <v>1</v>
      </c>
      <c r="AA79" cm="1">
        <f t="array" ref="AA79">_xll.VALEURCOURBE($A$2,_xlfn.CONCAT("THEME14=",$B79),SCENARIOS!$A$2,SCENARIOS!$B$2,YIELDS_youvert!AA$1,0)</f>
        <v>1</v>
      </c>
      <c r="AB79" cm="1">
        <f t="array" ref="AB79">_xll.VALEURCOURBE($A$2,_xlfn.CONCAT("THEME14=",$B79),SCENARIOS!$A$2,SCENARIOS!$B$2,YIELDS_youvert!AB$1,0)</f>
        <v>1</v>
      </c>
      <c r="AC79" cm="1">
        <f t="array" ref="AC79">_xll.VALEURCOURBE($A$2,_xlfn.CONCAT("THEME14=",$B79),SCENARIOS!$A$2,SCENARIOS!$B$2,YIELDS_youvert!AC$1,0)</f>
        <v>1</v>
      </c>
      <c r="AD79" cm="1">
        <f t="array" ref="AD79">_xll.VALEURCOURBE($A$2,_xlfn.CONCAT("THEME14=",$B79),SCENARIOS!$A$2,SCENARIOS!$B$2,YIELDS_youvert!AD$1,0)</f>
        <v>1</v>
      </c>
      <c r="AE79" cm="1">
        <f t="array" ref="AE79">_xll.VALEURCOURBE($A$2,_xlfn.CONCAT("THEME14=",$B79),SCENARIOS!$A$2,SCENARIOS!$B$2,YIELDS_youvert!AE$1,0)</f>
        <v>1</v>
      </c>
    </row>
    <row r="80" spans="3:31" x14ac:dyDescent="0.25">
      <c r="C80" cm="1">
        <f t="array" ref="C80">_xll.VALEURCOURBE($A$2,_xlfn.CONCAT("THEME14=",$B80),SCENARIOS!$A$2,SCENARIOS!$B$2,YIELDS_youvert!C$1,0)</f>
        <v>1</v>
      </c>
      <c r="D80" cm="1">
        <f t="array" ref="D80">_xll.VALEURCOURBE($A$2,_xlfn.CONCAT("THEME14=",$B80),SCENARIOS!$A$2,SCENARIOS!$B$2,YIELDS_youvert!D$1,0)</f>
        <v>1</v>
      </c>
      <c r="E80" cm="1">
        <f t="array" ref="E80">_xll.VALEURCOURBE($A$2,_xlfn.CONCAT("THEME14=",$B80),SCENARIOS!$A$2,SCENARIOS!$B$2,YIELDS_youvert!E$1,0)</f>
        <v>1</v>
      </c>
      <c r="F80" cm="1">
        <f t="array" ref="F80">_xll.VALEURCOURBE($A$2,_xlfn.CONCAT("THEME14=",$B80),SCENARIOS!$A$2,SCENARIOS!$B$2,YIELDS_youvert!F$1,0)</f>
        <v>1</v>
      </c>
      <c r="G80" cm="1">
        <f t="array" ref="G80">_xll.VALEURCOURBE($A$2,_xlfn.CONCAT("THEME14=",$B80),SCENARIOS!$A$2,SCENARIOS!$B$2,YIELDS_youvert!G$1,0)</f>
        <v>1</v>
      </c>
      <c r="H80" cm="1">
        <f t="array" ref="H80">_xll.VALEURCOURBE($A$2,_xlfn.CONCAT("THEME14=",$B80),SCENARIOS!$A$2,SCENARIOS!$B$2,YIELDS_youvert!H$1,0)</f>
        <v>1</v>
      </c>
      <c r="I80" cm="1">
        <f t="array" ref="I80">_xll.VALEURCOURBE($A$2,_xlfn.CONCAT("THEME14=",$B80),SCENARIOS!$A$2,SCENARIOS!$B$2,YIELDS_youvert!I$1,0)</f>
        <v>1</v>
      </c>
      <c r="J80" cm="1">
        <f t="array" ref="J80">_xll.VALEURCOURBE($A$2,_xlfn.CONCAT("THEME14=",$B80),SCENARIOS!$A$2,SCENARIOS!$B$2,YIELDS_youvert!J$1,0)</f>
        <v>1</v>
      </c>
      <c r="K80" cm="1">
        <f t="array" ref="K80">_xll.VALEURCOURBE($A$2,_xlfn.CONCAT("THEME14=",$B80),SCENARIOS!$A$2,SCENARIOS!$B$2,YIELDS_youvert!K$1,0)</f>
        <v>1</v>
      </c>
      <c r="L80" cm="1">
        <f t="array" ref="L80">_xll.VALEURCOURBE($A$2,_xlfn.CONCAT("THEME14=",$B80),SCENARIOS!$A$2,SCENARIOS!$B$2,YIELDS_youvert!L$1,0)</f>
        <v>1</v>
      </c>
      <c r="M80" cm="1">
        <f t="array" ref="M80">_xll.VALEURCOURBE($A$2,_xlfn.CONCAT("THEME14=",$B80),SCENARIOS!$A$2,SCENARIOS!$B$2,YIELDS_youvert!M$1,0)</f>
        <v>1</v>
      </c>
      <c r="N80" cm="1">
        <f t="array" ref="N80">_xll.VALEURCOURBE($A$2,_xlfn.CONCAT("THEME14=",$B80),SCENARIOS!$A$2,SCENARIOS!$B$2,YIELDS_youvert!N$1,0)</f>
        <v>1</v>
      </c>
      <c r="O80" cm="1">
        <f t="array" ref="O80">_xll.VALEURCOURBE($A$2,_xlfn.CONCAT("THEME14=",$B80),SCENARIOS!$A$2,SCENARIOS!$B$2,YIELDS_youvert!O$1,0)</f>
        <v>1</v>
      </c>
      <c r="P80" cm="1">
        <f t="array" ref="P80">_xll.VALEURCOURBE($A$2,_xlfn.CONCAT("THEME14=",$B80),SCENARIOS!$A$2,SCENARIOS!$B$2,YIELDS_youvert!P$1,0)</f>
        <v>1</v>
      </c>
      <c r="Q80" cm="1">
        <f t="array" ref="Q80">_xll.VALEURCOURBE($A$2,_xlfn.CONCAT("THEME14=",$B80),SCENARIOS!$A$2,SCENARIOS!$B$2,YIELDS_youvert!Q$1,0)</f>
        <v>1</v>
      </c>
      <c r="R80" cm="1">
        <f t="array" ref="R80">_xll.VALEURCOURBE($A$2,_xlfn.CONCAT("THEME14=",$B80),SCENARIOS!$A$2,SCENARIOS!$B$2,YIELDS_youvert!R$1,0)</f>
        <v>1</v>
      </c>
      <c r="S80" cm="1">
        <f t="array" ref="S80">_xll.VALEURCOURBE($A$2,_xlfn.CONCAT("THEME14=",$B80),SCENARIOS!$A$2,SCENARIOS!$B$2,YIELDS_youvert!S$1,0)</f>
        <v>1</v>
      </c>
      <c r="T80" cm="1">
        <f t="array" ref="T80">_xll.VALEURCOURBE($A$2,_xlfn.CONCAT("THEME14=",$B80),SCENARIOS!$A$2,SCENARIOS!$B$2,YIELDS_youvert!T$1,0)</f>
        <v>1</v>
      </c>
      <c r="U80" cm="1">
        <f t="array" ref="U80">_xll.VALEURCOURBE($A$2,_xlfn.CONCAT("THEME14=",$B80),SCENARIOS!$A$2,SCENARIOS!$B$2,YIELDS_youvert!U$1,0)</f>
        <v>1</v>
      </c>
      <c r="V80" cm="1">
        <f t="array" ref="V80">_xll.VALEURCOURBE($A$2,_xlfn.CONCAT("THEME14=",$B80),SCENARIOS!$A$2,SCENARIOS!$B$2,YIELDS_youvert!V$1,0)</f>
        <v>1</v>
      </c>
      <c r="W80" cm="1">
        <f t="array" ref="W80">_xll.VALEURCOURBE($A$2,_xlfn.CONCAT("THEME14=",$B80),SCENARIOS!$A$2,SCENARIOS!$B$2,YIELDS_youvert!W$1,0)</f>
        <v>1</v>
      </c>
      <c r="X80" cm="1">
        <f t="array" ref="X80">_xll.VALEURCOURBE($A$2,_xlfn.CONCAT("THEME14=",$B80),SCENARIOS!$A$2,SCENARIOS!$B$2,YIELDS_youvert!X$1,0)</f>
        <v>1</v>
      </c>
      <c r="Y80" cm="1">
        <f t="array" ref="Y80">_xll.VALEURCOURBE($A$2,_xlfn.CONCAT("THEME14=",$B80),SCENARIOS!$A$2,SCENARIOS!$B$2,YIELDS_youvert!Y$1,0)</f>
        <v>1</v>
      </c>
      <c r="Z80" cm="1">
        <f t="array" ref="Z80">_xll.VALEURCOURBE($A$2,_xlfn.CONCAT("THEME14=",$B80),SCENARIOS!$A$2,SCENARIOS!$B$2,YIELDS_youvert!Z$1,0)</f>
        <v>1</v>
      </c>
      <c r="AA80" cm="1">
        <f t="array" ref="AA80">_xll.VALEURCOURBE($A$2,_xlfn.CONCAT("THEME14=",$B80),SCENARIOS!$A$2,SCENARIOS!$B$2,YIELDS_youvert!AA$1,0)</f>
        <v>1</v>
      </c>
      <c r="AB80" cm="1">
        <f t="array" ref="AB80">_xll.VALEURCOURBE($A$2,_xlfn.CONCAT("THEME14=",$B80),SCENARIOS!$A$2,SCENARIOS!$B$2,YIELDS_youvert!AB$1,0)</f>
        <v>1</v>
      </c>
      <c r="AC80" cm="1">
        <f t="array" ref="AC80">_xll.VALEURCOURBE($A$2,_xlfn.CONCAT("THEME14=",$B80),SCENARIOS!$A$2,SCENARIOS!$B$2,YIELDS_youvert!AC$1,0)</f>
        <v>1</v>
      </c>
      <c r="AD80" cm="1">
        <f t="array" ref="AD80">_xll.VALEURCOURBE($A$2,_xlfn.CONCAT("THEME14=",$B80),SCENARIOS!$A$2,SCENARIOS!$B$2,YIELDS_youvert!AD$1,0)</f>
        <v>1</v>
      </c>
      <c r="AE80" cm="1">
        <f t="array" ref="AE80">_xll.VALEURCOURBE($A$2,_xlfn.CONCAT("THEME14=",$B80),SCENARIOS!$A$2,SCENARIOS!$B$2,YIELDS_youvert!AE$1,0)</f>
        <v>1</v>
      </c>
    </row>
    <row r="81" spans="3:31" x14ac:dyDescent="0.25">
      <c r="C81" cm="1">
        <f t="array" ref="C81">_xll.VALEURCOURBE($A$2,_xlfn.CONCAT("THEME14=",$B81),SCENARIOS!$A$2,SCENARIOS!$B$2,YIELDS_youvert!C$1,0)</f>
        <v>1</v>
      </c>
      <c r="D81" cm="1">
        <f t="array" ref="D81">_xll.VALEURCOURBE($A$2,_xlfn.CONCAT("THEME14=",$B81),SCENARIOS!$A$2,SCENARIOS!$B$2,YIELDS_youvert!D$1,0)</f>
        <v>1</v>
      </c>
      <c r="E81" cm="1">
        <f t="array" ref="E81">_xll.VALEURCOURBE($A$2,_xlfn.CONCAT("THEME14=",$B81),SCENARIOS!$A$2,SCENARIOS!$B$2,YIELDS_youvert!E$1,0)</f>
        <v>1</v>
      </c>
      <c r="F81" cm="1">
        <f t="array" ref="F81">_xll.VALEURCOURBE($A$2,_xlfn.CONCAT("THEME14=",$B81),SCENARIOS!$A$2,SCENARIOS!$B$2,YIELDS_youvert!F$1,0)</f>
        <v>1</v>
      </c>
      <c r="G81" cm="1">
        <f t="array" ref="G81">_xll.VALEURCOURBE($A$2,_xlfn.CONCAT("THEME14=",$B81),SCENARIOS!$A$2,SCENARIOS!$B$2,YIELDS_youvert!G$1,0)</f>
        <v>1</v>
      </c>
      <c r="H81" cm="1">
        <f t="array" ref="H81">_xll.VALEURCOURBE($A$2,_xlfn.CONCAT("THEME14=",$B81),SCENARIOS!$A$2,SCENARIOS!$B$2,YIELDS_youvert!H$1,0)</f>
        <v>1</v>
      </c>
      <c r="I81" cm="1">
        <f t="array" ref="I81">_xll.VALEURCOURBE($A$2,_xlfn.CONCAT("THEME14=",$B81),SCENARIOS!$A$2,SCENARIOS!$B$2,YIELDS_youvert!I$1,0)</f>
        <v>1</v>
      </c>
      <c r="J81" cm="1">
        <f t="array" ref="J81">_xll.VALEURCOURBE($A$2,_xlfn.CONCAT("THEME14=",$B81),SCENARIOS!$A$2,SCENARIOS!$B$2,YIELDS_youvert!J$1,0)</f>
        <v>1</v>
      </c>
      <c r="K81" cm="1">
        <f t="array" ref="K81">_xll.VALEURCOURBE($A$2,_xlfn.CONCAT("THEME14=",$B81),SCENARIOS!$A$2,SCENARIOS!$B$2,YIELDS_youvert!K$1,0)</f>
        <v>1</v>
      </c>
      <c r="L81" cm="1">
        <f t="array" ref="L81">_xll.VALEURCOURBE($A$2,_xlfn.CONCAT("THEME14=",$B81),SCENARIOS!$A$2,SCENARIOS!$B$2,YIELDS_youvert!L$1,0)</f>
        <v>1</v>
      </c>
      <c r="M81" cm="1">
        <f t="array" ref="M81">_xll.VALEURCOURBE($A$2,_xlfn.CONCAT("THEME14=",$B81),SCENARIOS!$A$2,SCENARIOS!$B$2,YIELDS_youvert!M$1,0)</f>
        <v>1</v>
      </c>
      <c r="N81" cm="1">
        <f t="array" ref="N81">_xll.VALEURCOURBE($A$2,_xlfn.CONCAT("THEME14=",$B81),SCENARIOS!$A$2,SCENARIOS!$B$2,YIELDS_youvert!N$1,0)</f>
        <v>1</v>
      </c>
      <c r="O81" cm="1">
        <f t="array" ref="O81">_xll.VALEURCOURBE($A$2,_xlfn.CONCAT("THEME14=",$B81),SCENARIOS!$A$2,SCENARIOS!$B$2,YIELDS_youvert!O$1,0)</f>
        <v>1</v>
      </c>
      <c r="P81" cm="1">
        <f t="array" ref="P81">_xll.VALEURCOURBE($A$2,_xlfn.CONCAT("THEME14=",$B81),SCENARIOS!$A$2,SCENARIOS!$B$2,YIELDS_youvert!P$1,0)</f>
        <v>1</v>
      </c>
      <c r="Q81" cm="1">
        <f t="array" ref="Q81">_xll.VALEURCOURBE($A$2,_xlfn.CONCAT("THEME14=",$B81),SCENARIOS!$A$2,SCENARIOS!$B$2,YIELDS_youvert!Q$1,0)</f>
        <v>1</v>
      </c>
      <c r="R81" cm="1">
        <f t="array" ref="R81">_xll.VALEURCOURBE($A$2,_xlfn.CONCAT("THEME14=",$B81),SCENARIOS!$A$2,SCENARIOS!$B$2,YIELDS_youvert!R$1,0)</f>
        <v>1</v>
      </c>
      <c r="S81" cm="1">
        <f t="array" ref="S81">_xll.VALEURCOURBE($A$2,_xlfn.CONCAT("THEME14=",$B81),SCENARIOS!$A$2,SCENARIOS!$B$2,YIELDS_youvert!S$1,0)</f>
        <v>1</v>
      </c>
      <c r="T81" cm="1">
        <f t="array" ref="T81">_xll.VALEURCOURBE($A$2,_xlfn.CONCAT("THEME14=",$B81),SCENARIOS!$A$2,SCENARIOS!$B$2,YIELDS_youvert!T$1,0)</f>
        <v>1</v>
      </c>
      <c r="U81" cm="1">
        <f t="array" ref="U81">_xll.VALEURCOURBE($A$2,_xlfn.CONCAT("THEME14=",$B81),SCENARIOS!$A$2,SCENARIOS!$B$2,YIELDS_youvert!U$1,0)</f>
        <v>1</v>
      </c>
      <c r="V81" cm="1">
        <f t="array" ref="V81">_xll.VALEURCOURBE($A$2,_xlfn.CONCAT("THEME14=",$B81),SCENARIOS!$A$2,SCENARIOS!$B$2,YIELDS_youvert!V$1,0)</f>
        <v>1</v>
      </c>
      <c r="W81" cm="1">
        <f t="array" ref="W81">_xll.VALEURCOURBE($A$2,_xlfn.CONCAT("THEME14=",$B81),SCENARIOS!$A$2,SCENARIOS!$B$2,YIELDS_youvert!W$1,0)</f>
        <v>1</v>
      </c>
      <c r="X81" cm="1">
        <f t="array" ref="X81">_xll.VALEURCOURBE($A$2,_xlfn.CONCAT("THEME14=",$B81),SCENARIOS!$A$2,SCENARIOS!$B$2,YIELDS_youvert!X$1,0)</f>
        <v>1</v>
      </c>
      <c r="Y81" cm="1">
        <f t="array" ref="Y81">_xll.VALEURCOURBE($A$2,_xlfn.CONCAT("THEME14=",$B81),SCENARIOS!$A$2,SCENARIOS!$B$2,YIELDS_youvert!Y$1,0)</f>
        <v>1</v>
      </c>
      <c r="Z81" cm="1">
        <f t="array" ref="Z81">_xll.VALEURCOURBE($A$2,_xlfn.CONCAT("THEME14=",$B81),SCENARIOS!$A$2,SCENARIOS!$B$2,YIELDS_youvert!Z$1,0)</f>
        <v>1</v>
      </c>
      <c r="AA81" cm="1">
        <f t="array" ref="AA81">_xll.VALEURCOURBE($A$2,_xlfn.CONCAT("THEME14=",$B81),SCENARIOS!$A$2,SCENARIOS!$B$2,YIELDS_youvert!AA$1,0)</f>
        <v>1</v>
      </c>
      <c r="AB81" cm="1">
        <f t="array" ref="AB81">_xll.VALEURCOURBE($A$2,_xlfn.CONCAT("THEME14=",$B81),SCENARIOS!$A$2,SCENARIOS!$B$2,YIELDS_youvert!AB$1,0)</f>
        <v>1</v>
      </c>
      <c r="AC81" cm="1">
        <f t="array" ref="AC81">_xll.VALEURCOURBE($A$2,_xlfn.CONCAT("THEME14=",$B81),SCENARIOS!$A$2,SCENARIOS!$B$2,YIELDS_youvert!AC$1,0)</f>
        <v>1</v>
      </c>
      <c r="AD81" cm="1">
        <f t="array" ref="AD81">_xll.VALEURCOURBE($A$2,_xlfn.CONCAT("THEME14=",$B81),SCENARIOS!$A$2,SCENARIOS!$B$2,YIELDS_youvert!AD$1,0)</f>
        <v>1</v>
      </c>
      <c r="AE81" cm="1">
        <f t="array" ref="AE81">_xll.VALEURCOURBE($A$2,_xlfn.CONCAT("THEME14=",$B81),SCENARIOS!$A$2,SCENARIOS!$B$2,YIELDS_youvert!AE$1,0)</f>
        <v>1</v>
      </c>
    </row>
    <row r="82" spans="3:31" x14ac:dyDescent="0.25">
      <c r="C82" cm="1">
        <f t="array" ref="C82">_xll.VALEURCOURBE($A$2,_xlfn.CONCAT("THEME14=",$B82),SCENARIOS!$A$2,SCENARIOS!$B$2,YIELDS_youvert!C$1,0)</f>
        <v>1</v>
      </c>
      <c r="D82" cm="1">
        <f t="array" ref="D82">_xll.VALEURCOURBE($A$2,_xlfn.CONCAT("THEME14=",$B82),SCENARIOS!$A$2,SCENARIOS!$B$2,YIELDS_youvert!D$1,0)</f>
        <v>1</v>
      </c>
      <c r="E82" cm="1">
        <f t="array" ref="E82">_xll.VALEURCOURBE($A$2,_xlfn.CONCAT("THEME14=",$B82),SCENARIOS!$A$2,SCENARIOS!$B$2,YIELDS_youvert!E$1,0)</f>
        <v>1</v>
      </c>
      <c r="F82" cm="1">
        <f t="array" ref="F82">_xll.VALEURCOURBE($A$2,_xlfn.CONCAT("THEME14=",$B82),SCENARIOS!$A$2,SCENARIOS!$B$2,YIELDS_youvert!F$1,0)</f>
        <v>1</v>
      </c>
      <c r="G82" cm="1">
        <f t="array" ref="G82">_xll.VALEURCOURBE($A$2,_xlfn.CONCAT("THEME14=",$B82),SCENARIOS!$A$2,SCENARIOS!$B$2,YIELDS_youvert!G$1,0)</f>
        <v>1</v>
      </c>
      <c r="H82" cm="1">
        <f t="array" ref="H82">_xll.VALEURCOURBE($A$2,_xlfn.CONCAT("THEME14=",$B82),SCENARIOS!$A$2,SCENARIOS!$B$2,YIELDS_youvert!H$1,0)</f>
        <v>1</v>
      </c>
      <c r="I82" cm="1">
        <f t="array" ref="I82">_xll.VALEURCOURBE($A$2,_xlfn.CONCAT("THEME14=",$B82),SCENARIOS!$A$2,SCENARIOS!$B$2,YIELDS_youvert!I$1,0)</f>
        <v>1</v>
      </c>
      <c r="J82" cm="1">
        <f t="array" ref="J82">_xll.VALEURCOURBE($A$2,_xlfn.CONCAT("THEME14=",$B82),SCENARIOS!$A$2,SCENARIOS!$B$2,YIELDS_youvert!J$1,0)</f>
        <v>1</v>
      </c>
      <c r="K82" cm="1">
        <f t="array" ref="K82">_xll.VALEURCOURBE($A$2,_xlfn.CONCAT("THEME14=",$B82),SCENARIOS!$A$2,SCENARIOS!$B$2,YIELDS_youvert!K$1,0)</f>
        <v>1</v>
      </c>
      <c r="L82" cm="1">
        <f t="array" ref="L82">_xll.VALEURCOURBE($A$2,_xlfn.CONCAT("THEME14=",$B82),SCENARIOS!$A$2,SCENARIOS!$B$2,YIELDS_youvert!L$1,0)</f>
        <v>1</v>
      </c>
      <c r="M82" cm="1">
        <f t="array" ref="M82">_xll.VALEURCOURBE($A$2,_xlfn.CONCAT("THEME14=",$B82),SCENARIOS!$A$2,SCENARIOS!$B$2,YIELDS_youvert!M$1,0)</f>
        <v>1</v>
      </c>
      <c r="N82" cm="1">
        <f t="array" ref="N82">_xll.VALEURCOURBE($A$2,_xlfn.CONCAT("THEME14=",$B82),SCENARIOS!$A$2,SCENARIOS!$B$2,YIELDS_youvert!N$1,0)</f>
        <v>1</v>
      </c>
      <c r="O82" cm="1">
        <f t="array" ref="O82">_xll.VALEURCOURBE($A$2,_xlfn.CONCAT("THEME14=",$B82),SCENARIOS!$A$2,SCENARIOS!$B$2,YIELDS_youvert!O$1,0)</f>
        <v>1</v>
      </c>
      <c r="P82" cm="1">
        <f t="array" ref="P82">_xll.VALEURCOURBE($A$2,_xlfn.CONCAT("THEME14=",$B82),SCENARIOS!$A$2,SCENARIOS!$B$2,YIELDS_youvert!P$1,0)</f>
        <v>1</v>
      </c>
      <c r="Q82" cm="1">
        <f t="array" ref="Q82">_xll.VALEURCOURBE($A$2,_xlfn.CONCAT("THEME14=",$B82),SCENARIOS!$A$2,SCENARIOS!$B$2,YIELDS_youvert!Q$1,0)</f>
        <v>1</v>
      </c>
      <c r="R82" cm="1">
        <f t="array" ref="R82">_xll.VALEURCOURBE($A$2,_xlfn.CONCAT("THEME14=",$B82),SCENARIOS!$A$2,SCENARIOS!$B$2,YIELDS_youvert!R$1,0)</f>
        <v>1</v>
      </c>
      <c r="S82" cm="1">
        <f t="array" ref="S82">_xll.VALEURCOURBE($A$2,_xlfn.CONCAT("THEME14=",$B82),SCENARIOS!$A$2,SCENARIOS!$B$2,YIELDS_youvert!S$1,0)</f>
        <v>1</v>
      </c>
      <c r="T82" cm="1">
        <f t="array" ref="T82">_xll.VALEURCOURBE($A$2,_xlfn.CONCAT("THEME14=",$B82),SCENARIOS!$A$2,SCENARIOS!$B$2,YIELDS_youvert!T$1,0)</f>
        <v>1</v>
      </c>
      <c r="U82" cm="1">
        <f t="array" ref="U82">_xll.VALEURCOURBE($A$2,_xlfn.CONCAT("THEME14=",$B82),SCENARIOS!$A$2,SCENARIOS!$B$2,YIELDS_youvert!U$1,0)</f>
        <v>1</v>
      </c>
      <c r="V82" cm="1">
        <f t="array" ref="V82">_xll.VALEURCOURBE($A$2,_xlfn.CONCAT("THEME14=",$B82),SCENARIOS!$A$2,SCENARIOS!$B$2,YIELDS_youvert!V$1,0)</f>
        <v>1</v>
      </c>
      <c r="W82" cm="1">
        <f t="array" ref="W82">_xll.VALEURCOURBE($A$2,_xlfn.CONCAT("THEME14=",$B82),SCENARIOS!$A$2,SCENARIOS!$B$2,YIELDS_youvert!W$1,0)</f>
        <v>1</v>
      </c>
      <c r="X82" cm="1">
        <f t="array" ref="X82">_xll.VALEURCOURBE($A$2,_xlfn.CONCAT("THEME14=",$B82),SCENARIOS!$A$2,SCENARIOS!$B$2,YIELDS_youvert!X$1,0)</f>
        <v>1</v>
      </c>
      <c r="Y82" cm="1">
        <f t="array" ref="Y82">_xll.VALEURCOURBE($A$2,_xlfn.CONCAT("THEME14=",$B82),SCENARIOS!$A$2,SCENARIOS!$B$2,YIELDS_youvert!Y$1,0)</f>
        <v>1</v>
      </c>
      <c r="Z82" cm="1">
        <f t="array" ref="Z82">_xll.VALEURCOURBE($A$2,_xlfn.CONCAT("THEME14=",$B82),SCENARIOS!$A$2,SCENARIOS!$B$2,YIELDS_youvert!Z$1,0)</f>
        <v>1</v>
      </c>
      <c r="AA82" cm="1">
        <f t="array" ref="AA82">_xll.VALEURCOURBE($A$2,_xlfn.CONCAT("THEME14=",$B82),SCENARIOS!$A$2,SCENARIOS!$B$2,YIELDS_youvert!AA$1,0)</f>
        <v>1</v>
      </c>
      <c r="AB82" cm="1">
        <f t="array" ref="AB82">_xll.VALEURCOURBE($A$2,_xlfn.CONCAT("THEME14=",$B82),SCENARIOS!$A$2,SCENARIOS!$B$2,YIELDS_youvert!AB$1,0)</f>
        <v>1</v>
      </c>
      <c r="AC82" cm="1">
        <f t="array" ref="AC82">_xll.VALEURCOURBE($A$2,_xlfn.CONCAT("THEME14=",$B82),SCENARIOS!$A$2,SCENARIOS!$B$2,YIELDS_youvert!AC$1,0)</f>
        <v>1</v>
      </c>
      <c r="AD82" cm="1">
        <f t="array" ref="AD82">_xll.VALEURCOURBE($A$2,_xlfn.CONCAT("THEME14=",$B82),SCENARIOS!$A$2,SCENARIOS!$B$2,YIELDS_youvert!AD$1,0)</f>
        <v>1</v>
      </c>
      <c r="AE82" cm="1">
        <f t="array" ref="AE82">_xll.VALEURCOURBE($A$2,_xlfn.CONCAT("THEME14=",$B82),SCENARIOS!$A$2,SCENARIOS!$B$2,YIELDS_youvert!AE$1,0)</f>
        <v>1</v>
      </c>
    </row>
    <row r="83" spans="3:31" x14ac:dyDescent="0.25">
      <c r="C83" cm="1">
        <f t="array" ref="C83">_xll.VALEURCOURBE($A$2,_xlfn.CONCAT("THEME14=",$B83),SCENARIOS!$A$2,SCENARIOS!$B$2,YIELDS_youvert!C$1,0)</f>
        <v>1</v>
      </c>
      <c r="D83" cm="1">
        <f t="array" ref="D83">_xll.VALEURCOURBE($A$2,_xlfn.CONCAT("THEME14=",$B83),SCENARIOS!$A$2,SCENARIOS!$B$2,YIELDS_youvert!D$1,0)</f>
        <v>1</v>
      </c>
      <c r="E83" cm="1">
        <f t="array" ref="E83">_xll.VALEURCOURBE($A$2,_xlfn.CONCAT("THEME14=",$B83),SCENARIOS!$A$2,SCENARIOS!$B$2,YIELDS_youvert!E$1,0)</f>
        <v>1</v>
      </c>
      <c r="F83" cm="1">
        <f t="array" ref="F83">_xll.VALEURCOURBE($A$2,_xlfn.CONCAT("THEME14=",$B83),SCENARIOS!$A$2,SCENARIOS!$B$2,YIELDS_youvert!F$1,0)</f>
        <v>1</v>
      </c>
      <c r="G83" cm="1">
        <f t="array" ref="G83">_xll.VALEURCOURBE($A$2,_xlfn.CONCAT("THEME14=",$B83),SCENARIOS!$A$2,SCENARIOS!$B$2,YIELDS_youvert!G$1,0)</f>
        <v>1</v>
      </c>
      <c r="H83" cm="1">
        <f t="array" ref="H83">_xll.VALEURCOURBE($A$2,_xlfn.CONCAT("THEME14=",$B83),SCENARIOS!$A$2,SCENARIOS!$B$2,YIELDS_youvert!H$1,0)</f>
        <v>1</v>
      </c>
      <c r="I83" cm="1">
        <f t="array" ref="I83">_xll.VALEURCOURBE($A$2,_xlfn.CONCAT("THEME14=",$B83),SCENARIOS!$A$2,SCENARIOS!$B$2,YIELDS_youvert!I$1,0)</f>
        <v>1</v>
      </c>
      <c r="J83" cm="1">
        <f t="array" ref="J83">_xll.VALEURCOURBE($A$2,_xlfn.CONCAT("THEME14=",$B83),SCENARIOS!$A$2,SCENARIOS!$B$2,YIELDS_youvert!J$1,0)</f>
        <v>1</v>
      </c>
      <c r="K83" cm="1">
        <f t="array" ref="K83">_xll.VALEURCOURBE($A$2,_xlfn.CONCAT("THEME14=",$B83),SCENARIOS!$A$2,SCENARIOS!$B$2,YIELDS_youvert!K$1,0)</f>
        <v>1</v>
      </c>
      <c r="L83" cm="1">
        <f t="array" ref="L83">_xll.VALEURCOURBE($A$2,_xlfn.CONCAT("THEME14=",$B83),SCENARIOS!$A$2,SCENARIOS!$B$2,YIELDS_youvert!L$1,0)</f>
        <v>1</v>
      </c>
      <c r="M83" cm="1">
        <f t="array" ref="M83">_xll.VALEURCOURBE($A$2,_xlfn.CONCAT("THEME14=",$B83),SCENARIOS!$A$2,SCENARIOS!$B$2,YIELDS_youvert!M$1,0)</f>
        <v>1</v>
      </c>
      <c r="N83" cm="1">
        <f t="array" ref="N83">_xll.VALEURCOURBE($A$2,_xlfn.CONCAT("THEME14=",$B83),SCENARIOS!$A$2,SCENARIOS!$B$2,YIELDS_youvert!N$1,0)</f>
        <v>1</v>
      </c>
      <c r="O83" cm="1">
        <f t="array" ref="O83">_xll.VALEURCOURBE($A$2,_xlfn.CONCAT("THEME14=",$B83),SCENARIOS!$A$2,SCENARIOS!$B$2,YIELDS_youvert!O$1,0)</f>
        <v>1</v>
      </c>
      <c r="P83" cm="1">
        <f t="array" ref="P83">_xll.VALEURCOURBE($A$2,_xlfn.CONCAT("THEME14=",$B83),SCENARIOS!$A$2,SCENARIOS!$B$2,YIELDS_youvert!P$1,0)</f>
        <v>1</v>
      </c>
      <c r="Q83" cm="1">
        <f t="array" ref="Q83">_xll.VALEURCOURBE($A$2,_xlfn.CONCAT("THEME14=",$B83),SCENARIOS!$A$2,SCENARIOS!$B$2,YIELDS_youvert!Q$1,0)</f>
        <v>1</v>
      </c>
      <c r="R83" cm="1">
        <f t="array" ref="R83">_xll.VALEURCOURBE($A$2,_xlfn.CONCAT("THEME14=",$B83),SCENARIOS!$A$2,SCENARIOS!$B$2,YIELDS_youvert!R$1,0)</f>
        <v>1</v>
      </c>
      <c r="S83" cm="1">
        <f t="array" ref="S83">_xll.VALEURCOURBE($A$2,_xlfn.CONCAT("THEME14=",$B83),SCENARIOS!$A$2,SCENARIOS!$B$2,YIELDS_youvert!S$1,0)</f>
        <v>1</v>
      </c>
      <c r="T83" cm="1">
        <f t="array" ref="T83">_xll.VALEURCOURBE($A$2,_xlfn.CONCAT("THEME14=",$B83),SCENARIOS!$A$2,SCENARIOS!$B$2,YIELDS_youvert!T$1,0)</f>
        <v>1</v>
      </c>
      <c r="U83" cm="1">
        <f t="array" ref="U83">_xll.VALEURCOURBE($A$2,_xlfn.CONCAT("THEME14=",$B83),SCENARIOS!$A$2,SCENARIOS!$B$2,YIELDS_youvert!U$1,0)</f>
        <v>1</v>
      </c>
      <c r="V83" cm="1">
        <f t="array" ref="V83">_xll.VALEURCOURBE($A$2,_xlfn.CONCAT("THEME14=",$B83),SCENARIOS!$A$2,SCENARIOS!$B$2,YIELDS_youvert!V$1,0)</f>
        <v>1</v>
      </c>
      <c r="W83" cm="1">
        <f t="array" ref="W83">_xll.VALEURCOURBE($A$2,_xlfn.CONCAT("THEME14=",$B83),SCENARIOS!$A$2,SCENARIOS!$B$2,YIELDS_youvert!W$1,0)</f>
        <v>1</v>
      </c>
      <c r="X83" cm="1">
        <f t="array" ref="X83">_xll.VALEURCOURBE($A$2,_xlfn.CONCAT("THEME14=",$B83),SCENARIOS!$A$2,SCENARIOS!$B$2,YIELDS_youvert!X$1,0)</f>
        <v>1</v>
      </c>
      <c r="Y83" cm="1">
        <f t="array" ref="Y83">_xll.VALEURCOURBE($A$2,_xlfn.CONCAT("THEME14=",$B83),SCENARIOS!$A$2,SCENARIOS!$B$2,YIELDS_youvert!Y$1,0)</f>
        <v>1</v>
      </c>
      <c r="Z83" cm="1">
        <f t="array" ref="Z83">_xll.VALEURCOURBE($A$2,_xlfn.CONCAT("THEME14=",$B83),SCENARIOS!$A$2,SCENARIOS!$B$2,YIELDS_youvert!Z$1,0)</f>
        <v>1</v>
      </c>
      <c r="AA83" cm="1">
        <f t="array" ref="AA83">_xll.VALEURCOURBE($A$2,_xlfn.CONCAT("THEME14=",$B83),SCENARIOS!$A$2,SCENARIOS!$B$2,YIELDS_youvert!AA$1,0)</f>
        <v>1</v>
      </c>
      <c r="AB83" cm="1">
        <f t="array" ref="AB83">_xll.VALEURCOURBE($A$2,_xlfn.CONCAT("THEME14=",$B83),SCENARIOS!$A$2,SCENARIOS!$B$2,YIELDS_youvert!AB$1,0)</f>
        <v>1</v>
      </c>
      <c r="AC83" cm="1">
        <f t="array" ref="AC83">_xll.VALEURCOURBE($A$2,_xlfn.CONCAT("THEME14=",$B83),SCENARIOS!$A$2,SCENARIOS!$B$2,YIELDS_youvert!AC$1,0)</f>
        <v>1</v>
      </c>
      <c r="AD83" cm="1">
        <f t="array" ref="AD83">_xll.VALEURCOURBE($A$2,_xlfn.CONCAT("THEME14=",$B83),SCENARIOS!$A$2,SCENARIOS!$B$2,YIELDS_youvert!AD$1,0)</f>
        <v>1</v>
      </c>
      <c r="AE83" cm="1">
        <f t="array" ref="AE83">_xll.VALEURCOURBE($A$2,_xlfn.CONCAT("THEME14=",$B83),SCENARIOS!$A$2,SCENARIOS!$B$2,YIELDS_youvert!AE$1,0)</f>
        <v>1</v>
      </c>
    </row>
    <row r="84" spans="3:31" x14ac:dyDescent="0.25">
      <c r="C84" cm="1">
        <f t="array" ref="C84">_xll.VALEURCOURBE($A$2,_xlfn.CONCAT("THEME14=",$B84),SCENARIOS!$A$2,SCENARIOS!$B$2,YIELDS_youvert!C$1,0)</f>
        <v>1</v>
      </c>
      <c r="D84" cm="1">
        <f t="array" ref="D84">_xll.VALEURCOURBE($A$2,_xlfn.CONCAT("THEME14=",$B84),SCENARIOS!$A$2,SCENARIOS!$B$2,YIELDS_youvert!D$1,0)</f>
        <v>1</v>
      </c>
      <c r="E84" cm="1">
        <f t="array" ref="E84">_xll.VALEURCOURBE($A$2,_xlfn.CONCAT("THEME14=",$B84),SCENARIOS!$A$2,SCENARIOS!$B$2,YIELDS_youvert!E$1,0)</f>
        <v>1</v>
      </c>
      <c r="F84" cm="1">
        <f t="array" ref="F84">_xll.VALEURCOURBE($A$2,_xlfn.CONCAT("THEME14=",$B84),SCENARIOS!$A$2,SCENARIOS!$B$2,YIELDS_youvert!F$1,0)</f>
        <v>1</v>
      </c>
      <c r="G84" cm="1">
        <f t="array" ref="G84">_xll.VALEURCOURBE($A$2,_xlfn.CONCAT("THEME14=",$B84),SCENARIOS!$A$2,SCENARIOS!$B$2,YIELDS_youvert!G$1,0)</f>
        <v>1</v>
      </c>
      <c r="H84" cm="1">
        <f t="array" ref="H84">_xll.VALEURCOURBE($A$2,_xlfn.CONCAT("THEME14=",$B84),SCENARIOS!$A$2,SCENARIOS!$B$2,YIELDS_youvert!H$1,0)</f>
        <v>1</v>
      </c>
      <c r="I84" cm="1">
        <f t="array" ref="I84">_xll.VALEURCOURBE($A$2,_xlfn.CONCAT("THEME14=",$B84),SCENARIOS!$A$2,SCENARIOS!$B$2,YIELDS_youvert!I$1,0)</f>
        <v>1</v>
      </c>
      <c r="J84" cm="1">
        <f t="array" ref="J84">_xll.VALEURCOURBE($A$2,_xlfn.CONCAT("THEME14=",$B84),SCENARIOS!$A$2,SCENARIOS!$B$2,YIELDS_youvert!J$1,0)</f>
        <v>1</v>
      </c>
      <c r="K84" cm="1">
        <f t="array" ref="K84">_xll.VALEURCOURBE($A$2,_xlfn.CONCAT("THEME14=",$B84),SCENARIOS!$A$2,SCENARIOS!$B$2,YIELDS_youvert!K$1,0)</f>
        <v>1</v>
      </c>
      <c r="L84" cm="1">
        <f t="array" ref="L84">_xll.VALEURCOURBE($A$2,_xlfn.CONCAT("THEME14=",$B84),SCENARIOS!$A$2,SCENARIOS!$B$2,YIELDS_youvert!L$1,0)</f>
        <v>1</v>
      </c>
      <c r="M84" cm="1">
        <f t="array" ref="M84">_xll.VALEURCOURBE($A$2,_xlfn.CONCAT("THEME14=",$B84),SCENARIOS!$A$2,SCENARIOS!$B$2,YIELDS_youvert!M$1,0)</f>
        <v>1</v>
      </c>
      <c r="N84" cm="1">
        <f t="array" ref="N84">_xll.VALEURCOURBE($A$2,_xlfn.CONCAT("THEME14=",$B84),SCENARIOS!$A$2,SCENARIOS!$B$2,YIELDS_youvert!N$1,0)</f>
        <v>1</v>
      </c>
      <c r="O84" cm="1">
        <f t="array" ref="O84">_xll.VALEURCOURBE($A$2,_xlfn.CONCAT("THEME14=",$B84),SCENARIOS!$A$2,SCENARIOS!$B$2,YIELDS_youvert!O$1,0)</f>
        <v>1</v>
      </c>
      <c r="P84" cm="1">
        <f t="array" ref="P84">_xll.VALEURCOURBE($A$2,_xlfn.CONCAT("THEME14=",$B84),SCENARIOS!$A$2,SCENARIOS!$B$2,YIELDS_youvert!P$1,0)</f>
        <v>1</v>
      </c>
      <c r="Q84" cm="1">
        <f t="array" ref="Q84">_xll.VALEURCOURBE($A$2,_xlfn.CONCAT("THEME14=",$B84),SCENARIOS!$A$2,SCENARIOS!$B$2,YIELDS_youvert!Q$1,0)</f>
        <v>1</v>
      </c>
      <c r="R84" cm="1">
        <f t="array" ref="R84">_xll.VALEURCOURBE($A$2,_xlfn.CONCAT("THEME14=",$B84),SCENARIOS!$A$2,SCENARIOS!$B$2,YIELDS_youvert!R$1,0)</f>
        <v>1</v>
      </c>
      <c r="S84" cm="1">
        <f t="array" ref="S84">_xll.VALEURCOURBE($A$2,_xlfn.CONCAT("THEME14=",$B84),SCENARIOS!$A$2,SCENARIOS!$B$2,YIELDS_youvert!S$1,0)</f>
        <v>1</v>
      </c>
      <c r="T84" cm="1">
        <f t="array" ref="T84">_xll.VALEURCOURBE($A$2,_xlfn.CONCAT("THEME14=",$B84),SCENARIOS!$A$2,SCENARIOS!$B$2,YIELDS_youvert!T$1,0)</f>
        <v>1</v>
      </c>
      <c r="U84" cm="1">
        <f t="array" ref="U84">_xll.VALEURCOURBE($A$2,_xlfn.CONCAT("THEME14=",$B84),SCENARIOS!$A$2,SCENARIOS!$B$2,YIELDS_youvert!U$1,0)</f>
        <v>1</v>
      </c>
      <c r="V84" cm="1">
        <f t="array" ref="V84">_xll.VALEURCOURBE($A$2,_xlfn.CONCAT("THEME14=",$B84),SCENARIOS!$A$2,SCENARIOS!$B$2,YIELDS_youvert!V$1,0)</f>
        <v>1</v>
      </c>
      <c r="W84" cm="1">
        <f t="array" ref="W84">_xll.VALEURCOURBE($A$2,_xlfn.CONCAT("THEME14=",$B84),SCENARIOS!$A$2,SCENARIOS!$B$2,YIELDS_youvert!W$1,0)</f>
        <v>1</v>
      </c>
      <c r="X84" cm="1">
        <f t="array" ref="X84">_xll.VALEURCOURBE($A$2,_xlfn.CONCAT("THEME14=",$B84),SCENARIOS!$A$2,SCENARIOS!$B$2,YIELDS_youvert!X$1,0)</f>
        <v>1</v>
      </c>
      <c r="Y84" cm="1">
        <f t="array" ref="Y84">_xll.VALEURCOURBE($A$2,_xlfn.CONCAT("THEME14=",$B84),SCENARIOS!$A$2,SCENARIOS!$B$2,YIELDS_youvert!Y$1,0)</f>
        <v>1</v>
      </c>
      <c r="Z84" cm="1">
        <f t="array" ref="Z84">_xll.VALEURCOURBE($A$2,_xlfn.CONCAT("THEME14=",$B84),SCENARIOS!$A$2,SCENARIOS!$B$2,YIELDS_youvert!Z$1,0)</f>
        <v>1</v>
      </c>
      <c r="AA84" cm="1">
        <f t="array" ref="AA84">_xll.VALEURCOURBE($A$2,_xlfn.CONCAT("THEME14=",$B84),SCENARIOS!$A$2,SCENARIOS!$B$2,YIELDS_youvert!AA$1,0)</f>
        <v>1</v>
      </c>
      <c r="AB84" cm="1">
        <f t="array" ref="AB84">_xll.VALEURCOURBE($A$2,_xlfn.CONCAT("THEME14=",$B84),SCENARIOS!$A$2,SCENARIOS!$B$2,YIELDS_youvert!AB$1,0)</f>
        <v>1</v>
      </c>
      <c r="AC84" cm="1">
        <f t="array" ref="AC84">_xll.VALEURCOURBE($A$2,_xlfn.CONCAT("THEME14=",$B84),SCENARIOS!$A$2,SCENARIOS!$B$2,YIELDS_youvert!AC$1,0)</f>
        <v>1</v>
      </c>
      <c r="AD84" cm="1">
        <f t="array" ref="AD84">_xll.VALEURCOURBE($A$2,_xlfn.CONCAT("THEME14=",$B84),SCENARIOS!$A$2,SCENARIOS!$B$2,YIELDS_youvert!AD$1,0)</f>
        <v>1</v>
      </c>
      <c r="AE84" cm="1">
        <f t="array" ref="AE84">_xll.VALEURCOURBE($A$2,_xlfn.CONCAT("THEME14=",$B84),SCENARIOS!$A$2,SCENARIOS!$B$2,YIELDS_youvert!AE$1,0)</f>
        <v>1</v>
      </c>
    </row>
    <row r="85" spans="3:31" x14ac:dyDescent="0.25">
      <c r="C85" cm="1">
        <f t="array" ref="C85">_xll.VALEURCOURBE($A$2,_xlfn.CONCAT("THEME14=",$B85),SCENARIOS!$A$2,SCENARIOS!$B$2,YIELDS_youvert!C$1,0)</f>
        <v>1</v>
      </c>
      <c r="D85" cm="1">
        <f t="array" ref="D85">_xll.VALEURCOURBE($A$2,_xlfn.CONCAT("THEME14=",$B85),SCENARIOS!$A$2,SCENARIOS!$B$2,YIELDS_youvert!D$1,0)</f>
        <v>1</v>
      </c>
      <c r="E85" cm="1">
        <f t="array" ref="E85">_xll.VALEURCOURBE($A$2,_xlfn.CONCAT("THEME14=",$B85),SCENARIOS!$A$2,SCENARIOS!$B$2,YIELDS_youvert!E$1,0)</f>
        <v>1</v>
      </c>
      <c r="F85" cm="1">
        <f t="array" ref="F85">_xll.VALEURCOURBE($A$2,_xlfn.CONCAT("THEME14=",$B85),SCENARIOS!$A$2,SCENARIOS!$B$2,YIELDS_youvert!F$1,0)</f>
        <v>1</v>
      </c>
      <c r="G85" cm="1">
        <f t="array" ref="G85">_xll.VALEURCOURBE($A$2,_xlfn.CONCAT("THEME14=",$B85),SCENARIOS!$A$2,SCENARIOS!$B$2,YIELDS_youvert!G$1,0)</f>
        <v>1</v>
      </c>
      <c r="H85" cm="1">
        <f t="array" ref="H85">_xll.VALEURCOURBE($A$2,_xlfn.CONCAT("THEME14=",$B85),SCENARIOS!$A$2,SCENARIOS!$B$2,YIELDS_youvert!H$1,0)</f>
        <v>1</v>
      </c>
      <c r="I85" cm="1">
        <f t="array" ref="I85">_xll.VALEURCOURBE($A$2,_xlfn.CONCAT("THEME14=",$B85),SCENARIOS!$A$2,SCENARIOS!$B$2,YIELDS_youvert!I$1,0)</f>
        <v>1</v>
      </c>
      <c r="J85" cm="1">
        <f t="array" ref="J85">_xll.VALEURCOURBE($A$2,_xlfn.CONCAT("THEME14=",$B85),SCENARIOS!$A$2,SCENARIOS!$B$2,YIELDS_youvert!J$1,0)</f>
        <v>1</v>
      </c>
      <c r="K85" cm="1">
        <f t="array" ref="K85">_xll.VALEURCOURBE($A$2,_xlfn.CONCAT("THEME14=",$B85),SCENARIOS!$A$2,SCENARIOS!$B$2,YIELDS_youvert!K$1,0)</f>
        <v>1</v>
      </c>
      <c r="L85" cm="1">
        <f t="array" ref="L85">_xll.VALEURCOURBE($A$2,_xlfn.CONCAT("THEME14=",$B85),SCENARIOS!$A$2,SCENARIOS!$B$2,YIELDS_youvert!L$1,0)</f>
        <v>1</v>
      </c>
      <c r="M85" cm="1">
        <f t="array" ref="M85">_xll.VALEURCOURBE($A$2,_xlfn.CONCAT("THEME14=",$B85),SCENARIOS!$A$2,SCENARIOS!$B$2,YIELDS_youvert!M$1,0)</f>
        <v>1</v>
      </c>
      <c r="N85" cm="1">
        <f t="array" ref="N85">_xll.VALEURCOURBE($A$2,_xlfn.CONCAT("THEME14=",$B85),SCENARIOS!$A$2,SCENARIOS!$B$2,YIELDS_youvert!N$1,0)</f>
        <v>1</v>
      </c>
      <c r="O85" cm="1">
        <f t="array" ref="O85">_xll.VALEURCOURBE($A$2,_xlfn.CONCAT("THEME14=",$B85),SCENARIOS!$A$2,SCENARIOS!$B$2,YIELDS_youvert!O$1,0)</f>
        <v>1</v>
      </c>
      <c r="P85" cm="1">
        <f t="array" ref="P85">_xll.VALEURCOURBE($A$2,_xlfn.CONCAT("THEME14=",$B85),SCENARIOS!$A$2,SCENARIOS!$B$2,YIELDS_youvert!P$1,0)</f>
        <v>1</v>
      </c>
      <c r="Q85" cm="1">
        <f t="array" ref="Q85">_xll.VALEURCOURBE($A$2,_xlfn.CONCAT("THEME14=",$B85),SCENARIOS!$A$2,SCENARIOS!$B$2,YIELDS_youvert!Q$1,0)</f>
        <v>1</v>
      </c>
      <c r="R85" cm="1">
        <f t="array" ref="R85">_xll.VALEURCOURBE($A$2,_xlfn.CONCAT("THEME14=",$B85),SCENARIOS!$A$2,SCENARIOS!$B$2,YIELDS_youvert!R$1,0)</f>
        <v>1</v>
      </c>
      <c r="S85" cm="1">
        <f t="array" ref="S85">_xll.VALEURCOURBE($A$2,_xlfn.CONCAT("THEME14=",$B85),SCENARIOS!$A$2,SCENARIOS!$B$2,YIELDS_youvert!S$1,0)</f>
        <v>1</v>
      </c>
      <c r="T85" cm="1">
        <f t="array" ref="T85">_xll.VALEURCOURBE($A$2,_xlfn.CONCAT("THEME14=",$B85),SCENARIOS!$A$2,SCENARIOS!$B$2,YIELDS_youvert!T$1,0)</f>
        <v>1</v>
      </c>
      <c r="U85" cm="1">
        <f t="array" ref="U85">_xll.VALEURCOURBE($A$2,_xlfn.CONCAT("THEME14=",$B85),SCENARIOS!$A$2,SCENARIOS!$B$2,YIELDS_youvert!U$1,0)</f>
        <v>1</v>
      </c>
      <c r="V85" cm="1">
        <f t="array" ref="V85">_xll.VALEURCOURBE($A$2,_xlfn.CONCAT("THEME14=",$B85),SCENARIOS!$A$2,SCENARIOS!$B$2,YIELDS_youvert!V$1,0)</f>
        <v>1</v>
      </c>
      <c r="W85" cm="1">
        <f t="array" ref="W85">_xll.VALEURCOURBE($A$2,_xlfn.CONCAT("THEME14=",$B85),SCENARIOS!$A$2,SCENARIOS!$B$2,YIELDS_youvert!W$1,0)</f>
        <v>1</v>
      </c>
      <c r="X85" cm="1">
        <f t="array" ref="X85">_xll.VALEURCOURBE($A$2,_xlfn.CONCAT("THEME14=",$B85),SCENARIOS!$A$2,SCENARIOS!$B$2,YIELDS_youvert!X$1,0)</f>
        <v>1</v>
      </c>
      <c r="Y85" cm="1">
        <f t="array" ref="Y85">_xll.VALEURCOURBE($A$2,_xlfn.CONCAT("THEME14=",$B85),SCENARIOS!$A$2,SCENARIOS!$B$2,YIELDS_youvert!Y$1,0)</f>
        <v>1</v>
      </c>
      <c r="Z85" cm="1">
        <f t="array" ref="Z85">_xll.VALEURCOURBE($A$2,_xlfn.CONCAT("THEME14=",$B85),SCENARIOS!$A$2,SCENARIOS!$B$2,YIELDS_youvert!Z$1,0)</f>
        <v>1</v>
      </c>
      <c r="AA85" cm="1">
        <f t="array" ref="AA85">_xll.VALEURCOURBE($A$2,_xlfn.CONCAT("THEME14=",$B85),SCENARIOS!$A$2,SCENARIOS!$B$2,YIELDS_youvert!AA$1,0)</f>
        <v>1</v>
      </c>
      <c r="AB85" cm="1">
        <f t="array" ref="AB85">_xll.VALEURCOURBE($A$2,_xlfn.CONCAT("THEME14=",$B85),SCENARIOS!$A$2,SCENARIOS!$B$2,YIELDS_youvert!AB$1,0)</f>
        <v>1</v>
      </c>
      <c r="AC85" cm="1">
        <f t="array" ref="AC85">_xll.VALEURCOURBE($A$2,_xlfn.CONCAT("THEME14=",$B85),SCENARIOS!$A$2,SCENARIOS!$B$2,YIELDS_youvert!AC$1,0)</f>
        <v>1</v>
      </c>
      <c r="AD85" cm="1">
        <f t="array" ref="AD85">_xll.VALEURCOURBE($A$2,_xlfn.CONCAT("THEME14=",$B85),SCENARIOS!$A$2,SCENARIOS!$B$2,YIELDS_youvert!AD$1,0)</f>
        <v>1</v>
      </c>
      <c r="AE85" cm="1">
        <f t="array" ref="AE85">_xll.VALEURCOURBE($A$2,_xlfn.CONCAT("THEME14=",$B85),SCENARIOS!$A$2,SCENARIOS!$B$2,YIELDS_youvert!AE$1,0)</f>
        <v>1</v>
      </c>
    </row>
    <row r="86" spans="3:31" x14ac:dyDescent="0.25">
      <c r="C86" cm="1">
        <f t="array" ref="C86">_xll.VALEURCOURBE($A$2,_xlfn.CONCAT("THEME14=",$B86),SCENARIOS!$A$2,SCENARIOS!$B$2,YIELDS_youvert!C$1,0)</f>
        <v>1</v>
      </c>
      <c r="D86" cm="1">
        <f t="array" ref="D86">_xll.VALEURCOURBE($A$2,_xlfn.CONCAT("THEME14=",$B86),SCENARIOS!$A$2,SCENARIOS!$B$2,YIELDS_youvert!D$1,0)</f>
        <v>1</v>
      </c>
      <c r="E86" cm="1">
        <f t="array" ref="E86">_xll.VALEURCOURBE($A$2,_xlfn.CONCAT("THEME14=",$B86),SCENARIOS!$A$2,SCENARIOS!$B$2,YIELDS_youvert!E$1,0)</f>
        <v>1</v>
      </c>
      <c r="F86" cm="1">
        <f t="array" ref="F86">_xll.VALEURCOURBE($A$2,_xlfn.CONCAT("THEME14=",$B86),SCENARIOS!$A$2,SCENARIOS!$B$2,YIELDS_youvert!F$1,0)</f>
        <v>1</v>
      </c>
      <c r="G86" cm="1">
        <f t="array" ref="G86">_xll.VALEURCOURBE($A$2,_xlfn.CONCAT("THEME14=",$B86),SCENARIOS!$A$2,SCENARIOS!$B$2,YIELDS_youvert!G$1,0)</f>
        <v>1</v>
      </c>
      <c r="H86" cm="1">
        <f t="array" ref="H86">_xll.VALEURCOURBE($A$2,_xlfn.CONCAT("THEME14=",$B86),SCENARIOS!$A$2,SCENARIOS!$B$2,YIELDS_youvert!H$1,0)</f>
        <v>1</v>
      </c>
      <c r="I86" cm="1">
        <f t="array" ref="I86">_xll.VALEURCOURBE($A$2,_xlfn.CONCAT("THEME14=",$B86),SCENARIOS!$A$2,SCENARIOS!$B$2,YIELDS_youvert!I$1,0)</f>
        <v>1</v>
      </c>
      <c r="J86" cm="1">
        <f t="array" ref="J86">_xll.VALEURCOURBE($A$2,_xlfn.CONCAT("THEME14=",$B86),SCENARIOS!$A$2,SCENARIOS!$B$2,YIELDS_youvert!J$1,0)</f>
        <v>1</v>
      </c>
      <c r="K86" cm="1">
        <f t="array" ref="K86">_xll.VALEURCOURBE($A$2,_xlfn.CONCAT("THEME14=",$B86),SCENARIOS!$A$2,SCENARIOS!$B$2,YIELDS_youvert!K$1,0)</f>
        <v>1</v>
      </c>
      <c r="L86" cm="1">
        <f t="array" ref="L86">_xll.VALEURCOURBE($A$2,_xlfn.CONCAT("THEME14=",$B86),SCENARIOS!$A$2,SCENARIOS!$B$2,YIELDS_youvert!L$1,0)</f>
        <v>1</v>
      </c>
      <c r="M86" cm="1">
        <f t="array" ref="M86">_xll.VALEURCOURBE($A$2,_xlfn.CONCAT("THEME14=",$B86),SCENARIOS!$A$2,SCENARIOS!$B$2,YIELDS_youvert!M$1,0)</f>
        <v>1</v>
      </c>
      <c r="N86" cm="1">
        <f t="array" ref="N86">_xll.VALEURCOURBE($A$2,_xlfn.CONCAT("THEME14=",$B86),SCENARIOS!$A$2,SCENARIOS!$B$2,YIELDS_youvert!N$1,0)</f>
        <v>1</v>
      </c>
      <c r="O86" cm="1">
        <f t="array" ref="O86">_xll.VALEURCOURBE($A$2,_xlfn.CONCAT("THEME14=",$B86),SCENARIOS!$A$2,SCENARIOS!$B$2,YIELDS_youvert!O$1,0)</f>
        <v>1</v>
      </c>
      <c r="P86" cm="1">
        <f t="array" ref="P86">_xll.VALEURCOURBE($A$2,_xlfn.CONCAT("THEME14=",$B86),SCENARIOS!$A$2,SCENARIOS!$B$2,YIELDS_youvert!P$1,0)</f>
        <v>1</v>
      </c>
      <c r="Q86" cm="1">
        <f t="array" ref="Q86">_xll.VALEURCOURBE($A$2,_xlfn.CONCAT("THEME14=",$B86),SCENARIOS!$A$2,SCENARIOS!$B$2,YIELDS_youvert!Q$1,0)</f>
        <v>1</v>
      </c>
      <c r="R86" cm="1">
        <f t="array" ref="R86">_xll.VALEURCOURBE($A$2,_xlfn.CONCAT("THEME14=",$B86),SCENARIOS!$A$2,SCENARIOS!$B$2,YIELDS_youvert!R$1,0)</f>
        <v>1</v>
      </c>
      <c r="S86" cm="1">
        <f t="array" ref="S86">_xll.VALEURCOURBE($A$2,_xlfn.CONCAT("THEME14=",$B86),SCENARIOS!$A$2,SCENARIOS!$B$2,YIELDS_youvert!S$1,0)</f>
        <v>1</v>
      </c>
      <c r="T86" cm="1">
        <f t="array" ref="T86">_xll.VALEURCOURBE($A$2,_xlfn.CONCAT("THEME14=",$B86),SCENARIOS!$A$2,SCENARIOS!$B$2,YIELDS_youvert!T$1,0)</f>
        <v>1</v>
      </c>
      <c r="U86" cm="1">
        <f t="array" ref="U86">_xll.VALEURCOURBE($A$2,_xlfn.CONCAT("THEME14=",$B86),SCENARIOS!$A$2,SCENARIOS!$B$2,YIELDS_youvert!U$1,0)</f>
        <v>1</v>
      </c>
      <c r="V86" cm="1">
        <f t="array" ref="V86">_xll.VALEURCOURBE($A$2,_xlfn.CONCAT("THEME14=",$B86),SCENARIOS!$A$2,SCENARIOS!$B$2,YIELDS_youvert!V$1,0)</f>
        <v>1</v>
      </c>
      <c r="W86" cm="1">
        <f t="array" ref="W86">_xll.VALEURCOURBE($A$2,_xlfn.CONCAT("THEME14=",$B86),SCENARIOS!$A$2,SCENARIOS!$B$2,YIELDS_youvert!W$1,0)</f>
        <v>1</v>
      </c>
      <c r="X86" cm="1">
        <f t="array" ref="X86">_xll.VALEURCOURBE($A$2,_xlfn.CONCAT("THEME14=",$B86),SCENARIOS!$A$2,SCENARIOS!$B$2,YIELDS_youvert!X$1,0)</f>
        <v>1</v>
      </c>
      <c r="Y86" cm="1">
        <f t="array" ref="Y86">_xll.VALEURCOURBE($A$2,_xlfn.CONCAT("THEME14=",$B86),SCENARIOS!$A$2,SCENARIOS!$B$2,YIELDS_youvert!Y$1,0)</f>
        <v>1</v>
      </c>
      <c r="Z86" cm="1">
        <f t="array" ref="Z86">_xll.VALEURCOURBE($A$2,_xlfn.CONCAT("THEME14=",$B86),SCENARIOS!$A$2,SCENARIOS!$B$2,YIELDS_youvert!Z$1,0)</f>
        <v>1</v>
      </c>
      <c r="AA86" cm="1">
        <f t="array" ref="AA86">_xll.VALEURCOURBE($A$2,_xlfn.CONCAT("THEME14=",$B86),SCENARIOS!$A$2,SCENARIOS!$B$2,YIELDS_youvert!AA$1,0)</f>
        <v>1</v>
      </c>
      <c r="AB86" cm="1">
        <f t="array" ref="AB86">_xll.VALEURCOURBE($A$2,_xlfn.CONCAT("THEME14=",$B86),SCENARIOS!$A$2,SCENARIOS!$B$2,YIELDS_youvert!AB$1,0)</f>
        <v>1</v>
      </c>
      <c r="AC86" cm="1">
        <f t="array" ref="AC86">_xll.VALEURCOURBE($A$2,_xlfn.CONCAT("THEME14=",$B86),SCENARIOS!$A$2,SCENARIOS!$B$2,YIELDS_youvert!AC$1,0)</f>
        <v>1</v>
      </c>
      <c r="AD86" cm="1">
        <f t="array" ref="AD86">_xll.VALEURCOURBE($A$2,_xlfn.CONCAT("THEME14=",$B86),SCENARIOS!$A$2,SCENARIOS!$B$2,YIELDS_youvert!AD$1,0)</f>
        <v>1</v>
      </c>
      <c r="AE86" cm="1">
        <f t="array" ref="AE86">_xll.VALEURCOURBE($A$2,_xlfn.CONCAT("THEME14=",$B86),SCENARIOS!$A$2,SCENARIOS!$B$2,YIELDS_youvert!AE$1,0)</f>
        <v>1</v>
      </c>
    </row>
    <row r="87" spans="3:31" x14ac:dyDescent="0.25">
      <c r="C87" cm="1">
        <f t="array" ref="C87">_xll.VALEURCOURBE($A$2,_xlfn.CONCAT("THEME14=",$B87),SCENARIOS!$A$2,SCENARIOS!$B$2,YIELDS_youvert!C$1,0)</f>
        <v>1</v>
      </c>
      <c r="D87" cm="1">
        <f t="array" ref="D87">_xll.VALEURCOURBE($A$2,_xlfn.CONCAT("THEME14=",$B87),SCENARIOS!$A$2,SCENARIOS!$B$2,YIELDS_youvert!D$1,0)</f>
        <v>1</v>
      </c>
      <c r="E87" cm="1">
        <f t="array" ref="E87">_xll.VALEURCOURBE($A$2,_xlfn.CONCAT("THEME14=",$B87),SCENARIOS!$A$2,SCENARIOS!$B$2,YIELDS_youvert!E$1,0)</f>
        <v>1</v>
      </c>
      <c r="F87" cm="1">
        <f t="array" ref="F87">_xll.VALEURCOURBE($A$2,_xlfn.CONCAT("THEME14=",$B87),SCENARIOS!$A$2,SCENARIOS!$B$2,YIELDS_youvert!F$1,0)</f>
        <v>1</v>
      </c>
      <c r="G87" cm="1">
        <f t="array" ref="G87">_xll.VALEURCOURBE($A$2,_xlfn.CONCAT("THEME14=",$B87),SCENARIOS!$A$2,SCENARIOS!$B$2,YIELDS_youvert!G$1,0)</f>
        <v>1</v>
      </c>
      <c r="H87" cm="1">
        <f t="array" ref="H87">_xll.VALEURCOURBE($A$2,_xlfn.CONCAT("THEME14=",$B87),SCENARIOS!$A$2,SCENARIOS!$B$2,YIELDS_youvert!H$1,0)</f>
        <v>1</v>
      </c>
      <c r="I87" cm="1">
        <f t="array" ref="I87">_xll.VALEURCOURBE($A$2,_xlfn.CONCAT("THEME14=",$B87),SCENARIOS!$A$2,SCENARIOS!$B$2,YIELDS_youvert!I$1,0)</f>
        <v>1</v>
      </c>
      <c r="J87" cm="1">
        <f t="array" ref="J87">_xll.VALEURCOURBE($A$2,_xlfn.CONCAT("THEME14=",$B87),SCENARIOS!$A$2,SCENARIOS!$B$2,YIELDS_youvert!J$1,0)</f>
        <v>1</v>
      </c>
      <c r="K87" cm="1">
        <f t="array" ref="K87">_xll.VALEURCOURBE($A$2,_xlfn.CONCAT("THEME14=",$B87),SCENARIOS!$A$2,SCENARIOS!$B$2,YIELDS_youvert!K$1,0)</f>
        <v>1</v>
      </c>
      <c r="L87" cm="1">
        <f t="array" ref="L87">_xll.VALEURCOURBE($A$2,_xlfn.CONCAT("THEME14=",$B87),SCENARIOS!$A$2,SCENARIOS!$B$2,YIELDS_youvert!L$1,0)</f>
        <v>1</v>
      </c>
      <c r="M87" cm="1">
        <f t="array" ref="M87">_xll.VALEURCOURBE($A$2,_xlfn.CONCAT("THEME14=",$B87),SCENARIOS!$A$2,SCENARIOS!$B$2,YIELDS_youvert!M$1,0)</f>
        <v>1</v>
      </c>
      <c r="N87" cm="1">
        <f t="array" ref="N87">_xll.VALEURCOURBE($A$2,_xlfn.CONCAT("THEME14=",$B87),SCENARIOS!$A$2,SCENARIOS!$B$2,YIELDS_youvert!N$1,0)</f>
        <v>1</v>
      </c>
      <c r="O87" cm="1">
        <f t="array" ref="O87">_xll.VALEURCOURBE($A$2,_xlfn.CONCAT("THEME14=",$B87),SCENARIOS!$A$2,SCENARIOS!$B$2,YIELDS_youvert!O$1,0)</f>
        <v>1</v>
      </c>
      <c r="P87" cm="1">
        <f t="array" ref="P87">_xll.VALEURCOURBE($A$2,_xlfn.CONCAT("THEME14=",$B87),SCENARIOS!$A$2,SCENARIOS!$B$2,YIELDS_youvert!P$1,0)</f>
        <v>1</v>
      </c>
      <c r="Q87" cm="1">
        <f t="array" ref="Q87">_xll.VALEURCOURBE($A$2,_xlfn.CONCAT("THEME14=",$B87),SCENARIOS!$A$2,SCENARIOS!$B$2,YIELDS_youvert!Q$1,0)</f>
        <v>1</v>
      </c>
      <c r="R87" cm="1">
        <f t="array" ref="R87">_xll.VALEURCOURBE($A$2,_xlfn.CONCAT("THEME14=",$B87),SCENARIOS!$A$2,SCENARIOS!$B$2,YIELDS_youvert!R$1,0)</f>
        <v>1</v>
      </c>
      <c r="S87" cm="1">
        <f t="array" ref="S87">_xll.VALEURCOURBE($A$2,_xlfn.CONCAT("THEME14=",$B87),SCENARIOS!$A$2,SCENARIOS!$B$2,YIELDS_youvert!S$1,0)</f>
        <v>1</v>
      </c>
      <c r="T87" cm="1">
        <f t="array" ref="T87">_xll.VALEURCOURBE($A$2,_xlfn.CONCAT("THEME14=",$B87),SCENARIOS!$A$2,SCENARIOS!$B$2,YIELDS_youvert!T$1,0)</f>
        <v>1</v>
      </c>
      <c r="U87" cm="1">
        <f t="array" ref="U87">_xll.VALEURCOURBE($A$2,_xlfn.CONCAT("THEME14=",$B87),SCENARIOS!$A$2,SCENARIOS!$B$2,YIELDS_youvert!U$1,0)</f>
        <v>1</v>
      </c>
      <c r="V87" cm="1">
        <f t="array" ref="V87">_xll.VALEURCOURBE($A$2,_xlfn.CONCAT("THEME14=",$B87),SCENARIOS!$A$2,SCENARIOS!$B$2,YIELDS_youvert!V$1,0)</f>
        <v>1</v>
      </c>
      <c r="W87" cm="1">
        <f t="array" ref="W87">_xll.VALEURCOURBE($A$2,_xlfn.CONCAT("THEME14=",$B87),SCENARIOS!$A$2,SCENARIOS!$B$2,YIELDS_youvert!W$1,0)</f>
        <v>1</v>
      </c>
      <c r="X87" cm="1">
        <f t="array" ref="X87">_xll.VALEURCOURBE($A$2,_xlfn.CONCAT("THEME14=",$B87),SCENARIOS!$A$2,SCENARIOS!$B$2,YIELDS_youvert!X$1,0)</f>
        <v>1</v>
      </c>
      <c r="Y87" cm="1">
        <f t="array" ref="Y87">_xll.VALEURCOURBE($A$2,_xlfn.CONCAT("THEME14=",$B87),SCENARIOS!$A$2,SCENARIOS!$B$2,YIELDS_youvert!Y$1,0)</f>
        <v>1</v>
      </c>
      <c r="Z87" cm="1">
        <f t="array" ref="Z87">_xll.VALEURCOURBE($A$2,_xlfn.CONCAT("THEME14=",$B87),SCENARIOS!$A$2,SCENARIOS!$B$2,YIELDS_youvert!Z$1,0)</f>
        <v>1</v>
      </c>
      <c r="AA87" cm="1">
        <f t="array" ref="AA87">_xll.VALEURCOURBE($A$2,_xlfn.CONCAT("THEME14=",$B87),SCENARIOS!$A$2,SCENARIOS!$B$2,YIELDS_youvert!AA$1,0)</f>
        <v>1</v>
      </c>
      <c r="AB87" cm="1">
        <f t="array" ref="AB87">_xll.VALEURCOURBE($A$2,_xlfn.CONCAT("THEME14=",$B87),SCENARIOS!$A$2,SCENARIOS!$B$2,YIELDS_youvert!AB$1,0)</f>
        <v>1</v>
      </c>
      <c r="AC87" cm="1">
        <f t="array" ref="AC87">_xll.VALEURCOURBE($A$2,_xlfn.CONCAT("THEME14=",$B87),SCENARIOS!$A$2,SCENARIOS!$B$2,YIELDS_youvert!AC$1,0)</f>
        <v>1</v>
      </c>
      <c r="AD87" cm="1">
        <f t="array" ref="AD87">_xll.VALEURCOURBE($A$2,_xlfn.CONCAT("THEME14=",$B87),SCENARIOS!$A$2,SCENARIOS!$B$2,YIELDS_youvert!AD$1,0)</f>
        <v>1</v>
      </c>
      <c r="AE87" cm="1">
        <f t="array" ref="AE87">_xll.VALEURCOURBE($A$2,_xlfn.CONCAT("THEME14=",$B87),SCENARIOS!$A$2,SCENARIOS!$B$2,YIELDS_youvert!AE$1,0)</f>
        <v>1</v>
      </c>
    </row>
    <row r="88" spans="3:31" x14ac:dyDescent="0.25">
      <c r="C88" cm="1">
        <f t="array" ref="C88">_xll.VALEURCOURBE($A$2,_xlfn.CONCAT("THEME14=",$B88),SCENARIOS!$A$2,SCENARIOS!$B$2,YIELDS_youvert!C$1,0)</f>
        <v>1</v>
      </c>
      <c r="D88" cm="1">
        <f t="array" ref="D88">_xll.VALEURCOURBE($A$2,_xlfn.CONCAT("THEME14=",$B88),SCENARIOS!$A$2,SCENARIOS!$B$2,YIELDS_youvert!D$1,0)</f>
        <v>1</v>
      </c>
      <c r="E88" cm="1">
        <f t="array" ref="E88">_xll.VALEURCOURBE($A$2,_xlfn.CONCAT("THEME14=",$B88),SCENARIOS!$A$2,SCENARIOS!$B$2,YIELDS_youvert!E$1,0)</f>
        <v>1</v>
      </c>
      <c r="F88" cm="1">
        <f t="array" ref="F88">_xll.VALEURCOURBE($A$2,_xlfn.CONCAT("THEME14=",$B88),SCENARIOS!$A$2,SCENARIOS!$B$2,YIELDS_youvert!F$1,0)</f>
        <v>1</v>
      </c>
      <c r="G88" cm="1">
        <f t="array" ref="G88">_xll.VALEURCOURBE($A$2,_xlfn.CONCAT("THEME14=",$B88),SCENARIOS!$A$2,SCENARIOS!$B$2,YIELDS_youvert!G$1,0)</f>
        <v>1</v>
      </c>
      <c r="H88" cm="1">
        <f t="array" ref="H88">_xll.VALEURCOURBE($A$2,_xlfn.CONCAT("THEME14=",$B88),SCENARIOS!$A$2,SCENARIOS!$B$2,YIELDS_youvert!H$1,0)</f>
        <v>1</v>
      </c>
      <c r="I88" cm="1">
        <f t="array" ref="I88">_xll.VALEURCOURBE($A$2,_xlfn.CONCAT("THEME14=",$B88),SCENARIOS!$A$2,SCENARIOS!$B$2,YIELDS_youvert!I$1,0)</f>
        <v>1</v>
      </c>
      <c r="J88" cm="1">
        <f t="array" ref="J88">_xll.VALEURCOURBE($A$2,_xlfn.CONCAT("THEME14=",$B88),SCENARIOS!$A$2,SCENARIOS!$B$2,YIELDS_youvert!J$1,0)</f>
        <v>1</v>
      </c>
      <c r="K88" cm="1">
        <f t="array" ref="K88">_xll.VALEURCOURBE($A$2,_xlfn.CONCAT("THEME14=",$B88),SCENARIOS!$A$2,SCENARIOS!$B$2,YIELDS_youvert!K$1,0)</f>
        <v>1</v>
      </c>
      <c r="L88" cm="1">
        <f t="array" ref="L88">_xll.VALEURCOURBE($A$2,_xlfn.CONCAT("THEME14=",$B88),SCENARIOS!$A$2,SCENARIOS!$B$2,YIELDS_youvert!L$1,0)</f>
        <v>1</v>
      </c>
      <c r="M88" cm="1">
        <f t="array" ref="M88">_xll.VALEURCOURBE($A$2,_xlfn.CONCAT("THEME14=",$B88),SCENARIOS!$A$2,SCENARIOS!$B$2,YIELDS_youvert!M$1,0)</f>
        <v>1</v>
      </c>
      <c r="N88" cm="1">
        <f t="array" ref="N88">_xll.VALEURCOURBE($A$2,_xlfn.CONCAT("THEME14=",$B88),SCENARIOS!$A$2,SCENARIOS!$B$2,YIELDS_youvert!N$1,0)</f>
        <v>1</v>
      </c>
      <c r="O88" cm="1">
        <f t="array" ref="O88">_xll.VALEURCOURBE($A$2,_xlfn.CONCAT("THEME14=",$B88),SCENARIOS!$A$2,SCENARIOS!$B$2,YIELDS_youvert!O$1,0)</f>
        <v>1</v>
      </c>
      <c r="P88" cm="1">
        <f t="array" ref="P88">_xll.VALEURCOURBE($A$2,_xlfn.CONCAT("THEME14=",$B88),SCENARIOS!$A$2,SCENARIOS!$B$2,YIELDS_youvert!P$1,0)</f>
        <v>1</v>
      </c>
      <c r="Q88" cm="1">
        <f t="array" ref="Q88">_xll.VALEURCOURBE($A$2,_xlfn.CONCAT("THEME14=",$B88),SCENARIOS!$A$2,SCENARIOS!$B$2,YIELDS_youvert!Q$1,0)</f>
        <v>1</v>
      </c>
      <c r="R88" cm="1">
        <f t="array" ref="R88">_xll.VALEURCOURBE($A$2,_xlfn.CONCAT("THEME14=",$B88),SCENARIOS!$A$2,SCENARIOS!$B$2,YIELDS_youvert!R$1,0)</f>
        <v>1</v>
      </c>
      <c r="S88" cm="1">
        <f t="array" ref="S88">_xll.VALEURCOURBE($A$2,_xlfn.CONCAT("THEME14=",$B88),SCENARIOS!$A$2,SCENARIOS!$B$2,YIELDS_youvert!S$1,0)</f>
        <v>1</v>
      </c>
      <c r="T88" cm="1">
        <f t="array" ref="T88">_xll.VALEURCOURBE($A$2,_xlfn.CONCAT("THEME14=",$B88),SCENARIOS!$A$2,SCENARIOS!$B$2,YIELDS_youvert!T$1,0)</f>
        <v>1</v>
      </c>
      <c r="U88" cm="1">
        <f t="array" ref="U88">_xll.VALEURCOURBE($A$2,_xlfn.CONCAT("THEME14=",$B88),SCENARIOS!$A$2,SCENARIOS!$B$2,YIELDS_youvert!U$1,0)</f>
        <v>1</v>
      </c>
      <c r="V88" cm="1">
        <f t="array" ref="V88">_xll.VALEURCOURBE($A$2,_xlfn.CONCAT("THEME14=",$B88),SCENARIOS!$A$2,SCENARIOS!$B$2,YIELDS_youvert!V$1,0)</f>
        <v>1</v>
      </c>
      <c r="W88" cm="1">
        <f t="array" ref="W88">_xll.VALEURCOURBE($A$2,_xlfn.CONCAT("THEME14=",$B88),SCENARIOS!$A$2,SCENARIOS!$B$2,YIELDS_youvert!W$1,0)</f>
        <v>1</v>
      </c>
      <c r="X88" cm="1">
        <f t="array" ref="X88">_xll.VALEURCOURBE($A$2,_xlfn.CONCAT("THEME14=",$B88),SCENARIOS!$A$2,SCENARIOS!$B$2,YIELDS_youvert!X$1,0)</f>
        <v>1</v>
      </c>
      <c r="Y88" cm="1">
        <f t="array" ref="Y88">_xll.VALEURCOURBE($A$2,_xlfn.CONCAT("THEME14=",$B88),SCENARIOS!$A$2,SCENARIOS!$B$2,YIELDS_youvert!Y$1,0)</f>
        <v>1</v>
      </c>
      <c r="Z88" cm="1">
        <f t="array" ref="Z88">_xll.VALEURCOURBE($A$2,_xlfn.CONCAT("THEME14=",$B88),SCENARIOS!$A$2,SCENARIOS!$B$2,YIELDS_youvert!Z$1,0)</f>
        <v>1</v>
      </c>
      <c r="AA88" cm="1">
        <f t="array" ref="AA88">_xll.VALEURCOURBE($A$2,_xlfn.CONCAT("THEME14=",$B88),SCENARIOS!$A$2,SCENARIOS!$B$2,YIELDS_youvert!AA$1,0)</f>
        <v>1</v>
      </c>
      <c r="AB88" cm="1">
        <f t="array" ref="AB88">_xll.VALEURCOURBE($A$2,_xlfn.CONCAT("THEME14=",$B88),SCENARIOS!$A$2,SCENARIOS!$B$2,YIELDS_youvert!AB$1,0)</f>
        <v>1</v>
      </c>
      <c r="AC88" cm="1">
        <f t="array" ref="AC88">_xll.VALEURCOURBE($A$2,_xlfn.CONCAT("THEME14=",$B88),SCENARIOS!$A$2,SCENARIOS!$B$2,YIELDS_youvert!AC$1,0)</f>
        <v>1</v>
      </c>
      <c r="AD88" cm="1">
        <f t="array" ref="AD88">_xll.VALEURCOURBE($A$2,_xlfn.CONCAT("THEME14=",$B88),SCENARIOS!$A$2,SCENARIOS!$B$2,YIELDS_youvert!AD$1,0)</f>
        <v>1</v>
      </c>
      <c r="AE88" cm="1">
        <f t="array" ref="AE88">_xll.VALEURCOURBE($A$2,_xlfn.CONCAT("THEME14=",$B88),SCENARIOS!$A$2,SCENARIOS!$B$2,YIELDS_youvert!AE$1,0)</f>
        <v>1</v>
      </c>
    </row>
    <row r="89" spans="3:31" x14ac:dyDescent="0.25">
      <c r="C89" cm="1">
        <f t="array" ref="C89">_xll.VALEURCOURBE($A$2,_xlfn.CONCAT("THEME14=",$B89),SCENARIOS!$A$2,SCENARIOS!$B$2,YIELDS_youvert!C$1,0)</f>
        <v>1</v>
      </c>
      <c r="D89" cm="1">
        <f t="array" ref="D89">_xll.VALEURCOURBE($A$2,_xlfn.CONCAT("THEME14=",$B89),SCENARIOS!$A$2,SCENARIOS!$B$2,YIELDS_youvert!D$1,0)</f>
        <v>1</v>
      </c>
      <c r="E89" cm="1">
        <f t="array" ref="E89">_xll.VALEURCOURBE($A$2,_xlfn.CONCAT("THEME14=",$B89),SCENARIOS!$A$2,SCENARIOS!$B$2,YIELDS_youvert!E$1,0)</f>
        <v>1</v>
      </c>
      <c r="F89" cm="1">
        <f t="array" ref="F89">_xll.VALEURCOURBE($A$2,_xlfn.CONCAT("THEME14=",$B89),SCENARIOS!$A$2,SCENARIOS!$B$2,YIELDS_youvert!F$1,0)</f>
        <v>1</v>
      </c>
      <c r="G89" cm="1">
        <f t="array" ref="G89">_xll.VALEURCOURBE($A$2,_xlfn.CONCAT("THEME14=",$B89),SCENARIOS!$A$2,SCENARIOS!$B$2,YIELDS_youvert!G$1,0)</f>
        <v>1</v>
      </c>
      <c r="H89" cm="1">
        <f t="array" ref="H89">_xll.VALEURCOURBE($A$2,_xlfn.CONCAT("THEME14=",$B89),SCENARIOS!$A$2,SCENARIOS!$B$2,YIELDS_youvert!H$1,0)</f>
        <v>1</v>
      </c>
      <c r="I89" cm="1">
        <f t="array" ref="I89">_xll.VALEURCOURBE($A$2,_xlfn.CONCAT("THEME14=",$B89),SCENARIOS!$A$2,SCENARIOS!$B$2,YIELDS_youvert!I$1,0)</f>
        <v>1</v>
      </c>
      <c r="J89" cm="1">
        <f t="array" ref="J89">_xll.VALEURCOURBE($A$2,_xlfn.CONCAT("THEME14=",$B89),SCENARIOS!$A$2,SCENARIOS!$B$2,YIELDS_youvert!J$1,0)</f>
        <v>1</v>
      </c>
      <c r="K89" cm="1">
        <f t="array" ref="K89">_xll.VALEURCOURBE($A$2,_xlfn.CONCAT("THEME14=",$B89),SCENARIOS!$A$2,SCENARIOS!$B$2,YIELDS_youvert!K$1,0)</f>
        <v>1</v>
      </c>
      <c r="L89" cm="1">
        <f t="array" ref="L89">_xll.VALEURCOURBE($A$2,_xlfn.CONCAT("THEME14=",$B89),SCENARIOS!$A$2,SCENARIOS!$B$2,YIELDS_youvert!L$1,0)</f>
        <v>1</v>
      </c>
      <c r="M89" cm="1">
        <f t="array" ref="M89">_xll.VALEURCOURBE($A$2,_xlfn.CONCAT("THEME14=",$B89),SCENARIOS!$A$2,SCENARIOS!$B$2,YIELDS_youvert!M$1,0)</f>
        <v>1</v>
      </c>
      <c r="N89" cm="1">
        <f t="array" ref="N89">_xll.VALEURCOURBE($A$2,_xlfn.CONCAT("THEME14=",$B89),SCENARIOS!$A$2,SCENARIOS!$B$2,YIELDS_youvert!N$1,0)</f>
        <v>1</v>
      </c>
      <c r="O89" cm="1">
        <f t="array" ref="O89">_xll.VALEURCOURBE($A$2,_xlfn.CONCAT("THEME14=",$B89),SCENARIOS!$A$2,SCENARIOS!$B$2,YIELDS_youvert!O$1,0)</f>
        <v>1</v>
      </c>
      <c r="P89" cm="1">
        <f t="array" ref="P89">_xll.VALEURCOURBE($A$2,_xlfn.CONCAT("THEME14=",$B89),SCENARIOS!$A$2,SCENARIOS!$B$2,YIELDS_youvert!P$1,0)</f>
        <v>1</v>
      </c>
      <c r="Q89" cm="1">
        <f t="array" ref="Q89">_xll.VALEURCOURBE($A$2,_xlfn.CONCAT("THEME14=",$B89),SCENARIOS!$A$2,SCENARIOS!$B$2,YIELDS_youvert!Q$1,0)</f>
        <v>1</v>
      </c>
      <c r="R89" cm="1">
        <f t="array" ref="R89">_xll.VALEURCOURBE($A$2,_xlfn.CONCAT("THEME14=",$B89),SCENARIOS!$A$2,SCENARIOS!$B$2,YIELDS_youvert!R$1,0)</f>
        <v>1</v>
      </c>
      <c r="S89" cm="1">
        <f t="array" ref="S89">_xll.VALEURCOURBE($A$2,_xlfn.CONCAT("THEME14=",$B89),SCENARIOS!$A$2,SCENARIOS!$B$2,YIELDS_youvert!S$1,0)</f>
        <v>1</v>
      </c>
      <c r="T89" cm="1">
        <f t="array" ref="T89">_xll.VALEURCOURBE($A$2,_xlfn.CONCAT("THEME14=",$B89),SCENARIOS!$A$2,SCENARIOS!$B$2,YIELDS_youvert!T$1,0)</f>
        <v>1</v>
      </c>
      <c r="U89" cm="1">
        <f t="array" ref="U89">_xll.VALEURCOURBE($A$2,_xlfn.CONCAT("THEME14=",$B89),SCENARIOS!$A$2,SCENARIOS!$B$2,YIELDS_youvert!U$1,0)</f>
        <v>1</v>
      </c>
      <c r="V89" cm="1">
        <f t="array" ref="V89">_xll.VALEURCOURBE($A$2,_xlfn.CONCAT("THEME14=",$B89),SCENARIOS!$A$2,SCENARIOS!$B$2,YIELDS_youvert!V$1,0)</f>
        <v>1</v>
      </c>
      <c r="W89" cm="1">
        <f t="array" ref="W89">_xll.VALEURCOURBE($A$2,_xlfn.CONCAT("THEME14=",$B89),SCENARIOS!$A$2,SCENARIOS!$B$2,YIELDS_youvert!W$1,0)</f>
        <v>1</v>
      </c>
      <c r="X89" cm="1">
        <f t="array" ref="X89">_xll.VALEURCOURBE($A$2,_xlfn.CONCAT("THEME14=",$B89),SCENARIOS!$A$2,SCENARIOS!$B$2,YIELDS_youvert!X$1,0)</f>
        <v>1</v>
      </c>
      <c r="Y89" cm="1">
        <f t="array" ref="Y89">_xll.VALEURCOURBE($A$2,_xlfn.CONCAT("THEME14=",$B89),SCENARIOS!$A$2,SCENARIOS!$B$2,YIELDS_youvert!Y$1,0)</f>
        <v>1</v>
      </c>
      <c r="Z89" cm="1">
        <f t="array" ref="Z89">_xll.VALEURCOURBE($A$2,_xlfn.CONCAT("THEME14=",$B89),SCENARIOS!$A$2,SCENARIOS!$B$2,YIELDS_youvert!Z$1,0)</f>
        <v>1</v>
      </c>
      <c r="AA89" cm="1">
        <f t="array" ref="AA89">_xll.VALEURCOURBE($A$2,_xlfn.CONCAT("THEME14=",$B89),SCENARIOS!$A$2,SCENARIOS!$B$2,YIELDS_youvert!AA$1,0)</f>
        <v>1</v>
      </c>
      <c r="AB89" cm="1">
        <f t="array" ref="AB89">_xll.VALEURCOURBE($A$2,_xlfn.CONCAT("THEME14=",$B89),SCENARIOS!$A$2,SCENARIOS!$B$2,YIELDS_youvert!AB$1,0)</f>
        <v>1</v>
      </c>
      <c r="AC89" cm="1">
        <f t="array" ref="AC89">_xll.VALEURCOURBE($A$2,_xlfn.CONCAT("THEME14=",$B89),SCENARIOS!$A$2,SCENARIOS!$B$2,YIELDS_youvert!AC$1,0)</f>
        <v>1</v>
      </c>
      <c r="AD89" cm="1">
        <f t="array" ref="AD89">_xll.VALEURCOURBE($A$2,_xlfn.CONCAT("THEME14=",$B89),SCENARIOS!$A$2,SCENARIOS!$B$2,YIELDS_youvert!AD$1,0)</f>
        <v>1</v>
      </c>
      <c r="AE89" cm="1">
        <f t="array" ref="AE89">_xll.VALEURCOURBE($A$2,_xlfn.CONCAT("THEME14=",$B89),SCENARIOS!$A$2,SCENARIOS!$B$2,YIELDS_youvert!AE$1,0)</f>
        <v>1</v>
      </c>
    </row>
    <row r="90" spans="3:31" x14ac:dyDescent="0.25">
      <c r="C90" cm="1">
        <f t="array" ref="C90">_xll.VALEURCOURBE($A$2,_xlfn.CONCAT("THEME14=",$B90),SCENARIOS!$A$2,SCENARIOS!$B$2,YIELDS_youvert!C$1,0)</f>
        <v>1</v>
      </c>
      <c r="D90" cm="1">
        <f t="array" ref="D90">_xll.VALEURCOURBE($A$2,_xlfn.CONCAT("THEME14=",$B90),SCENARIOS!$A$2,SCENARIOS!$B$2,YIELDS_youvert!D$1,0)</f>
        <v>1</v>
      </c>
      <c r="E90" cm="1">
        <f t="array" ref="E90">_xll.VALEURCOURBE($A$2,_xlfn.CONCAT("THEME14=",$B90),SCENARIOS!$A$2,SCENARIOS!$B$2,YIELDS_youvert!E$1,0)</f>
        <v>1</v>
      </c>
      <c r="F90" cm="1">
        <f t="array" ref="F90">_xll.VALEURCOURBE($A$2,_xlfn.CONCAT("THEME14=",$B90),SCENARIOS!$A$2,SCENARIOS!$B$2,YIELDS_youvert!F$1,0)</f>
        <v>1</v>
      </c>
      <c r="G90" cm="1">
        <f t="array" ref="G90">_xll.VALEURCOURBE($A$2,_xlfn.CONCAT("THEME14=",$B90),SCENARIOS!$A$2,SCENARIOS!$B$2,YIELDS_youvert!G$1,0)</f>
        <v>1</v>
      </c>
      <c r="H90" cm="1">
        <f t="array" ref="H90">_xll.VALEURCOURBE($A$2,_xlfn.CONCAT("THEME14=",$B90),SCENARIOS!$A$2,SCENARIOS!$B$2,YIELDS_youvert!H$1,0)</f>
        <v>1</v>
      </c>
      <c r="I90" cm="1">
        <f t="array" ref="I90">_xll.VALEURCOURBE($A$2,_xlfn.CONCAT("THEME14=",$B90),SCENARIOS!$A$2,SCENARIOS!$B$2,YIELDS_youvert!I$1,0)</f>
        <v>1</v>
      </c>
      <c r="J90" cm="1">
        <f t="array" ref="J90">_xll.VALEURCOURBE($A$2,_xlfn.CONCAT("THEME14=",$B90),SCENARIOS!$A$2,SCENARIOS!$B$2,YIELDS_youvert!J$1,0)</f>
        <v>1</v>
      </c>
      <c r="K90" cm="1">
        <f t="array" ref="K90">_xll.VALEURCOURBE($A$2,_xlfn.CONCAT("THEME14=",$B90),SCENARIOS!$A$2,SCENARIOS!$B$2,YIELDS_youvert!K$1,0)</f>
        <v>1</v>
      </c>
      <c r="L90" cm="1">
        <f t="array" ref="L90">_xll.VALEURCOURBE($A$2,_xlfn.CONCAT("THEME14=",$B90),SCENARIOS!$A$2,SCENARIOS!$B$2,YIELDS_youvert!L$1,0)</f>
        <v>1</v>
      </c>
      <c r="M90" cm="1">
        <f t="array" ref="M90">_xll.VALEURCOURBE($A$2,_xlfn.CONCAT("THEME14=",$B90),SCENARIOS!$A$2,SCENARIOS!$B$2,YIELDS_youvert!M$1,0)</f>
        <v>1</v>
      </c>
      <c r="N90" cm="1">
        <f t="array" ref="N90">_xll.VALEURCOURBE($A$2,_xlfn.CONCAT("THEME14=",$B90),SCENARIOS!$A$2,SCENARIOS!$B$2,YIELDS_youvert!N$1,0)</f>
        <v>1</v>
      </c>
      <c r="O90" cm="1">
        <f t="array" ref="O90">_xll.VALEURCOURBE($A$2,_xlfn.CONCAT("THEME14=",$B90),SCENARIOS!$A$2,SCENARIOS!$B$2,YIELDS_youvert!O$1,0)</f>
        <v>1</v>
      </c>
      <c r="P90" cm="1">
        <f t="array" ref="P90">_xll.VALEURCOURBE($A$2,_xlfn.CONCAT("THEME14=",$B90),SCENARIOS!$A$2,SCENARIOS!$B$2,YIELDS_youvert!P$1,0)</f>
        <v>1</v>
      </c>
      <c r="Q90" cm="1">
        <f t="array" ref="Q90">_xll.VALEURCOURBE($A$2,_xlfn.CONCAT("THEME14=",$B90),SCENARIOS!$A$2,SCENARIOS!$B$2,YIELDS_youvert!Q$1,0)</f>
        <v>1</v>
      </c>
      <c r="R90" cm="1">
        <f t="array" ref="R90">_xll.VALEURCOURBE($A$2,_xlfn.CONCAT("THEME14=",$B90),SCENARIOS!$A$2,SCENARIOS!$B$2,YIELDS_youvert!R$1,0)</f>
        <v>1</v>
      </c>
      <c r="S90" cm="1">
        <f t="array" ref="S90">_xll.VALEURCOURBE($A$2,_xlfn.CONCAT("THEME14=",$B90),SCENARIOS!$A$2,SCENARIOS!$B$2,YIELDS_youvert!S$1,0)</f>
        <v>1</v>
      </c>
      <c r="T90" cm="1">
        <f t="array" ref="T90">_xll.VALEURCOURBE($A$2,_xlfn.CONCAT("THEME14=",$B90),SCENARIOS!$A$2,SCENARIOS!$B$2,YIELDS_youvert!T$1,0)</f>
        <v>1</v>
      </c>
      <c r="U90" cm="1">
        <f t="array" ref="U90">_xll.VALEURCOURBE($A$2,_xlfn.CONCAT("THEME14=",$B90),SCENARIOS!$A$2,SCENARIOS!$B$2,YIELDS_youvert!U$1,0)</f>
        <v>1</v>
      </c>
      <c r="V90" cm="1">
        <f t="array" ref="V90">_xll.VALEURCOURBE($A$2,_xlfn.CONCAT("THEME14=",$B90),SCENARIOS!$A$2,SCENARIOS!$B$2,YIELDS_youvert!V$1,0)</f>
        <v>1</v>
      </c>
      <c r="W90" cm="1">
        <f t="array" ref="W90">_xll.VALEURCOURBE($A$2,_xlfn.CONCAT("THEME14=",$B90),SCENARIOS!$A$2,SCENARIOS!$B$2,YIELDS_youvert!W$1,0)</f>
        <v>1</v>
      </c>
      <c r="X90" cm="1">
        <f t="array" ref="X90">_xll.VALEURCOURBE($A$2,_xlfn.CONCAT("THEME14=",$B90),SCENARIOS!$A$2,SCENARIOS!$B$2,YIELDS_youvert!X$1,0)</f>
        <v>1</v>
      </c>
      <c r="Y90" cm="1">
        <f t="array" ref="Y90">_xll.VALEURCOURBE($A$2,_xlfn.CONCAT("THEME14=",$B90),SCENARIOS!$A$2,SCENARIOS!$B$2,YIELDS_youvert!Y$1,0)</f>
        <v>1</v>
      </c>
      <c r="Z90" cm="1">
        <f t="array" ref="Z90">_xll.VALEURCOURBE($A$2,_xlfn.CONCAT("THEME14=",$B90),SCENARIOS!$A$2,SCENARIOS!$B$2,YIELDS_youvert!Z$1,0)</f>
        <v>1</v>
      </c>
      <c r="AA90" cm="1">
        <f t="array" ref="AA90">_xll.VALEURCOURBE($A$2,_xlfn.CONCAT("THEME14=",$B90),SCENARIOS!$A$2,SCENARIOS!$B$2,YIELDS_youvert!AA$1,0)</f>
        <v>1</v>
      </c>
      <c r="AB90" cm="1">
        <f t="array" ref="AB90">_xll.VALEURCOURBE($A$2,_xlfn.CONCAT("THEME14=",$B90),SCENARIOS!$A$2,SCENARIOS!$B$2,YIELDS_youvert!AB$1,0)</f>
        <v>1</v>
      </c>
      <c r="AC90" cm="1">
        <f t="array" ref="AC90">_xll.VALEURCOURBE($A$2,_xlfn.CONCAT("THEME14=",$B90),SCENARIOS!$A$2,SCENARIOS!$B$2,YIELDS_youvert!AC$1,0)</f>
        <v>1</v>
      </c>
      <c r="AD90" cm="1">
        <f t="array" ref="AD90">_xll.VALEURCOURBE($A$2,_xlfn.CONCAT("THEME14=",$B90),SCENARIOS!$A$2,SCENARIOS!$B$2,YIELDS_youvert!AD$1,0)</f>
        <v>1</v>
      </c>
      <c r="AE90" cm="1">
        <f t="array" ref="AE90">_xll.VALEURCOURBE($A$2,_xlfn.CONCAT("THEME14=",$B90),SCENARIOS!$A$2,SCENARIOS!$B$2,YIELDS_youvert!AE$1,0)</f>
        <v>1</v>
      </c>
    </row>
    <row r="91" spans="3:31" x14ac:dyDescent="0.25">
      <c r="C91" cm="1">
        <f t="array" ref="C91">_xll.VALEURCOURBE($A$2,_xlfn.CONCAT("THEME14=",$B91),SCENARIOS!$A$2,SCENARIOS!$B$2,YIELDS_youvert!C$1,0)</f>
        <v>1</v>
      </c>
      <c r="D91" cm="1">
        <f t="array" ref="D91">_xll.VALEURCOURBE($A$2,_xlfn.CONCAT("THEME14=",$B91),SCENARIOS!$A$2,SCENARIOS!$B$2,YIELDS_youvert!D$1,0)</f>
        <v>1</v>
      </c>
      <c r="E91" cm="1">
        <f t="array" ref="E91">_xll.VALEURCOURBE($A$2,_xlfn.CONCAT("THEME14=",$B91),SCENARIOS!$A$2,SCENARIOS!$B$2,YIELDS_youvert!E$1,0)</f>
        <v>1</v>
      </c>
      <c r="F91" cm="1">
        <f t="array" ref="F91">_xll.VALEURCOURBE($A$2,_xlfn.CONCAT("THEME14=",$B91),SCENARIOS!$A$2,SCENARIOS!$B$2,YIELDS_youvert!F$1,0)</f>
        <v>1</v>
      </c>
      <c r="G91" cm="1">
        <f t="array" ref="G91">_xll.VALEURCOURBE($A$2,_xlfn.CONCAT("THEME14=",$B91),SCENARIOS!$A$2,SCENARIOS!$B$2,YIELDS_youvert!G$1,0)</f>
        <v>1</v>
      </c>
      <c r="H91" cm="1">
        <f t="array" ref="H91">_xll.VALEURCOURBE($A$2,_xlfn.CONCAT("THEME14=",$B91),SCENARIOS!$A$2,SCENARIOS!$B$2,YIELDS_youvert!H$1,0)</f>
        <v>1</v>
      </c>
      <c r="I91" cm="1">
        <f t="array" ref="I91">_xll.VALEURCOURBE($A$2,_xlfn.CONCAT("THEME14=",$B91),SCENARIOS!$A$2,SCENARIOS!$B$2,YIELDS_youvert!I$1,0)</f>
        <v>1</v>
      </c>
      <c r="J91" cm="1">
        <f t="array" ref="J91">_xll.VALEURCOURBE($A$2,_xlfn.CONCAT("THEME14=",$B91),SCENARIOS!$A$2,SCENARIOS!$B$2,YIELDS_youvert!J$1,0)</f>
        <v>1</v>
      </c>
      <c r="K91" cm="1">
        <f t="array" ref="K91">_xll.VALEURCOURBE($A$2,_xlfn.CONCAT("THEME14=",$B91),SCENARIOS!$A$2,SCENARIOS!$B$2,YIELDS_youvert!K$1,0)</f>
        <v>1</v>
      </c>
      <c r="L91" cm="1">
        <f t="array" ref="L91">_xll.VALEURCOURBE($A$2,_xlfn.CONCAT("THEME14=",$B91),SCENARIOS!$A$2,SCENARIOS!$B$2,YIELDS_youvert!L$1,0)</f>
        <v>1</v>
      </c>
      <c r="M91" cm="1">
        <f t="array" ref="M91">_xll.VALEURCOURBE($A$2,_xlfn.CONCAT("THEME14=",$B91),SCENARIOS!$A$2,SCENARIOS!$B$2,YIELDS_youvert!M$1,0)</f>
        <v>1</v>
      </c>
      <c r="N91" cm="1">
        <f t="array" ref="N91">_xll.VALEURCOURBE($A$2,_xlfn.CONCAT("THEME14=",$B91),SCENARIOS!$A$2,SCENARIOS!$B$2,YIELDS_youvert!N$1,0)</f>
        <v>1</v>
      </c>
      <c r="O91" cm="1">
        <f t="array" ref="O91">_xll.VALEURCOURBE($A$2,_xlfn.CONCAT("THEME14=",$B91),SCENARIOS!$A$2,SCENARIOS!$B$2,YIELDS_youvert!O$1,0)</f>
        <v>1</v>
      </c>
      <c r="P91" cm="1">
        <f t="array" ref="P91">_xll.VALEURCOURBE($A$2,_xlfn.CONCAT("THEME14=",$B91),SCENARIOS!$A$2,SCENARIOS!$B$2,YIELDS_youvert!P$1,0)</f>
        <v>1</v>
      </c>
      <c r="Q91" cm="1">
        <f t="array" ref="Q91">_xll.VALEURCOURBE($A$2,_xlfn.CONCAT("THEME14=",$B91),SCENARIOS!$A$2,SCENARIOS!$B$2,YIELDS_youvert!Q$1,0)</f>
        <v>1</v>
      </c>
      <c r="R91" cm="1">
        <f t="array" ref="R91">_xll.VALEURCOURBE($A$2,_xlfn.CONCAT("THEME14=",$B91),SCENARIOS!$A$2,SCENARIOS!$B$2,YIELDS_youvert!R$1,0)</f>
        <v>1</v>
      </c>
      <c r="S91" cm="1">
        <f t="array" ref="S91">_xll.VALEURCOURBE($A$2,_xlfn.CONCAT("THEME14=",$B91),SCENARIOS!$A$2,SCENARIOS!$B$2,YIELDS_youvert!S$1,0)</f>
        <v>1</v>
      </c>
      <c r="T91" cm="1">
        <f t="array" ref="T91">_xll.VALEURCOURBE($A$2,_xlfn.CONCAT("THEME14=",$B91),SCENARIOS!$A$2,SCENARIOS!$B$2,YIELDS_youvert!T$1,0)</f>
        <v>1</v>
      </c>
      <c r="U91" cm="1">
        <f t="array" ref="U91">_xll.VALEURCOURBE($A$2,_xlfn.CONCAT("THEME14=",$B91),SCENARIOS!$A$2,SCENARIOS!$B$2,YIELDS_youvert!U$1,0)</f>
        <v>1</v>
      </c>
      <c r="V91" cm="1">
        <f t="array" ref="V91">_xll.VALEURCOURBE($A$2,_xlfn.CONCAT("THEME14=",$B91),SCENARIOS!$A$2,SCENARIOS!$B$2,YIELDS_youvert!V$1,0)</f>
        <v>1</v>
      </c>
      <c r="W91" cm="1">
        <f t="array" ref="W91">_xll.VALEURCOURBE($A$2,_xlfn.CONCAT("THEME14=",$B91),SCENARIOS!$A$2,SCENARIOS!$B$2,YIELDS_youvert!W$1,0)</f>
        <v>1</v>
      </c>
      <c r="X91" cm="1">
        <f t="array" ref="X91">_xll.VALEURCOURBE($A$2,_xlfn.CONCAT("THEME14=",$B91),SCENARIOS!$A$2,SCENARIOS!$B$2,YIELDS_youvert!X$1,0)</f>
        <v>1</v>
      </c>
      <c r="Y91" cm="1">
        <f t="array" ref="Y91">_xll.VALEURCOURBE($A$2,_xlfn.CONCAT("THEME14=",$B91),SCENARIOS!$A$2,SCENARIOS!$B$2,YIELDS_youvert!Y$1,0)</f>
        <v>1</v>
      </c>
      <c r="Z91" cm="1">
        <f t="array" ref="Z91">_xll.VALEURCOURBE($A$2,_xlfn.CONCAT("THEME14=",$B91),SCENARIOS!$A$2,SCENARIOS!$B$2,YIELDS_youvert!Z$1,0)</f>
        <v>1</v>
      </c>
      <c r="AA91" cm="1">
        <f t="array" ref="AA91">_xll.VALEURCOURBE($A$2,_xlfn.CONCAT("THEME14=",$B91),SCENARIOS!$A$2,SCENARIOS!$B$2,YIELDS_youvert!AA$1,0)</f>
        <v>1</v>
      </c>
      <c r="AB91" cm="1">
        <f t="array" ref="AB91">_xll.VALEURCOURBE($A$2,_xlfn.CONCAT("THEME14=",$B91),SCENARIOS!$A$2,SCENARIOS!$B$2,YIELDS_youvert!AB$1,0)</f>
        <v>1</v>
      </c>
      <c r="AC91" cm="1">
        <f t="array" ref="AC91">_xll.VALEURCOURBE($A$2,_xlfn.CONCAT("THEME14=",$B91),SCENARIOS!$A$2,SCENARIOS!$B$2,YIELDS_youvert!AC$1,0)</f>
        <v>1</v>
      </c>
      <c r="AD91" cm="1">
        <f t="array" ref="AD91">_xll.VALEURCOURBE($A$2,_xlfn.CONCAT("THEME14=",$B91),SCENARIOS!$A$2,SCENARIOS!$B$2,YIELDS_youvert!AD$1,0)</f>
        <v>1</v>
      </c>
      <c r="AE91" cm="1">
        <f t="array" ref="AE91">_xll.VALEURCOURBE($A$2,_xlfn.CONCAT("THEME14=",$B91),SCENARIOS!$A$2,SCENARIOS!$B$2,YIELDS_youvert!AE$1,0)</f>
        <v>1</v>
      </c>
    </row>
    <row r="92" spans="3:31" x14ac:dyDescent="0.25">
      <c r="C92" cm="1">
        <f t="array" ref="C92">_xll.VALEURCOURBE($A$2,_xlfn.CONCAT("THEME14=",$B92),SCENARIOS!$A$2,SCENARIOS!$B$2,YIELDS_youvert!C$1,0)</f>
        <v>1</v>
      </c>
      <c r="D92" cm="1">
        <f t="array" ref="D92">_xll.VALEURCOURBE($A$2,_xlfn.CONCAT("THEME14=",$B92),SCENARIOS!$A$2,SCENARIOS!$B$2,YIELDS_youvert!D$1,0)</f>
        <v>1</v>
      </c>
      <c r="E92" cm="1">
        <f t="array" ref="E92">_xll.VALEURCOURBE($A$2,_xlfn.CONCAT("THEME14=",$B92),SCENARIOS!$A$2,SCENARIOS!$B$2,YIELDS_youvert!E$1,0)</f>
        <v>1</v>
      </c>
      <c r="F92" cm="1">
        <f t="array" ref="F92">_xll.VALEURCOURBE($A$2,_xlfn.CONCAT("THEME14=",$B92),SCENARIOS!$A$2,SCENARIOS!$B$2,YIELDS_youvert!F$1,0)</f>
        <v>1</v>
      </c>
      <c r="G92" cm="1">
        <f t="array" ref="G92">_xll.VALEURCOURBE($A$2,_xlfn.CONCAT("THEME14=",$B92),SCENARIOS!$A$2,SCENARIOS!$B$2,YIELDS_youvert!G$1,0)</f>
        <v>1</v>
      </c>
      <c r="H92" cm="1">
        <f t="array" ref="H92">_xll.VALEURCOURBE($A$2,_xlfn.CONCAT("THEME14=",$B92),SCENARIOS!$A$2,SCENARIOS!$B$2,YIELDS_youvert!H$1,0)</f>
        <v>1</v>
      </c>
      <c r="I92" cm="1">
        <f t="array" ref="I92">_xll.VALEURCOURBE($A$2,_xlfn.CONCAT("THEME14=",$B92),SCENARIOS!$A$2,SCENARIOS!$B$2,YIELDS_youvert!I$1,0)</f>
        <v>1</v>
      </c>
      <c r="J92" cm="1">
        <f t="array" ref="J92">_xll.VALEURCOURBE($A$2,_xlfn.CONCAT("THEME14=",$B92),SCENARIOS!$A$2,SCENARIOS!$B$2,YIELDS_youvert!J$1,0)</f>
        <v>1</v>
      </c>
      <c r="K92" cm="1">
        <f t="array" ref="K92">_xll.VALEURCOURBE($A$2,_xlfn.CONCAT("THEME14=",$B92),SCENARIOS!$A$2,SCENARIOS!$B$2,YIELDS_youvert!K$1,0)</f>
        <v>1</v>
      </c>
      <c r="L92" cm="1">
        <f t="array" ref="L92">_xll.VALEURCOURBE($A$2,_xlfn.CONCAT("THEME14=",$B92),SCENARIOS!$A$2,SCENARIOS!$B$2,YIELDS_youvert!L$1,0)</f>
        <v>1</v>
      </c>
      <c r="M92" cm="1">
        <f t="array" ref="M92">_xll.VALEURCOURBE($A$2,_xlfn.CONCAT("THEME14=",$B92),SCENARIOS!$A$2,SCENARIOS!$B$2,YIELDS_youvert!M$1,0)</f>
        <v>1</v>
      </c>
      <c r="N92" cm="1">
        <f t="array" ref="N92">_xll.VALEURCOURBE($A$2,_xlfn.CONCAT("THEME14=",$B92),SCENARIOS!$A$2,SCENARIOS!$B$2,YIELDS_youvert!N$1,0)</f>
        <v>1</v>
      </c>
      <c r="O92" cm="1">
        <f t="array" ref="O92">_xll.VALEURCOURBE($A$2,_xlfn.CONCAT("THEME14=",$B92),SCENARIOS!$A$2,SCENARIOS!$B$2,YIELDS_youvert!O$1,0)</f>
        <v>1</v>
      </c>
      <c r="P92" cm="1">
        <f t="array" ref="P92">_xll.VALEURCOURBE($A$2,_xlfn.CONCAT("THEME14=",$B92),SCENARIOS!$A$2,SCENARIOS!$B$2,YIELDS_youvert!P$1,0)</f>
        <v>1</v>
      </c>
      <c r="Q92" cm="1">
        <f t="array" ref="Q92">_xll.VALEURCOURBE($A$2,_xlfn.CONCAT("THEME14=",$B92),SCENARIOS!$A$2,SCENARIOS!$B$2,YIELDS_youvert!Q$1,0)</f>
        <v>1</v>
      </c>
      <c r="R92" cm="1">
        <f t="array" ref="R92">_xll.VALEURCOURBE($A$2,_xlfn.CONCAT("THEME14=",$B92),SCENARIOS!$A$2,SCENARIOS!$B$2,YIELDS_youvert!R$1,0)</f>
        <v>1</v>
      </c>
      <c r="S92" cm="1">
        <f t="array" ref="S92">_xll.VALEURCOURBE($A$2,_xlfn.CONCAT("THEME14=",$B92),SCENARIOS!$A$2,SCENARIOS!$B$2,YIELDS_youvert!S$1,0)</f>
        <v>1</v>
      </c>
      <c r="T92" cm="1">
        <f t="array" ref="T92">_xll.VALEURCOURBE($A$2,_xlfn.CONCAT("THEME14=",$B92),SCENARIOS!$A$2,SCENARIOS!$B$2,YIELDS_youvert!T$1,0)</f>
        <v>1</v>
      </c>
      <c r="U92" cm="1">
        <f t="array" ref="U92">_xll.VALEURCOURBE($A$2,_xlfn.CONCAT("THEME14=",$B92),SCENARIOS!$A$2,SCENARIOS!$B$2,YIELDS_youvert!U$1,0)</f>
        <v>1</v>
      </c>
      <c r="V92" cm="1">
        <f t="array" ref="V92">_xll.VALEURCOURBE($A$2,_xlfn.CONCAT("THEME14=",$B92),SCENARIOS!$A$2,SCENARIOS!$B$2,YIELDS_youvert!V$1,0)</f>
        <v>1</v>
      </c>
      <c r="W92" cm="1">
        <f t="array" ref="W92">_xll.VALEURCOURBE($A$2,_xlfn.CONCAT("THEME14=",$B92),SCENARIOS!$A$2,SCENARIOS!$B$2,YIELDS_youvert!W$1,0)</f>
        <v>1</v>
      </c>
      <c r="X92" cm="1">
        <f t="array" ref="X92">_xll.VALEURCOURBE($A$2,_xlfn.CONCAT("THEME14=",$B92),SCENARIOS!$A$2,SCENARIOS!$B$2,YIELDS_youvert!X$1,0)</f>
        <v>1</v>
      </c>
      <c r="Y92" cm="1">
        <f t="array" ref="Y92">_xll.VALEURCOURBE($A$2,_xlfn.CONCAT("THEME14=",$B92),SCENARIOS!$A$2,SCENARIOS!$B$2,YIELDS_youvert!Y$1,0)</f>
        <v>1</v>
      </c>
      <c r="Z92" cm="1">
        <f t="array" ref="Z92">_xll.VALEURCOURBE($A$2,_xlfn.CONCAT("THEME14=",$B92),SCENARIOS!$A$2,SCENARIOS!$B$2,YIELDS_youvert!Z$1,0)</f>
        <v>1</v>
      </c>
      <c r="AA92" cm="1">
        <f t="array" ref="AA92">_xll.VALEURCOURBE($A$2,_xlfn.CONCAT("THEME14=",$B92),SCENARIOS!$A$2,SCENARIOS!$B$2,YIELDS_youvert!AA$1,0)</f>
        <v>1</v>
      </c>
      <c r="AB92" cm="1">
        <f t="array" ref="AB92">_xll.VALEURCOURBE($A$2,_xlfn.CONCAT("THEME14=",$B92),SCENARIOS!$A$2,SCENARIOS!$B$2,YIELDS_youvert!AB$1,0)</f>
        <v>1</v>
      </c>
      <c r="AC92" cm="1">
        <f t="array" ref="AC92">_xll.VALEURCOURBE($A$2,_xlfn.CONCAT("THEME14=",$B92),SCENARIOS!$A$2,SCENARIOS!$B$2,YIELDS_youvert!AC$1,0)</f>
        <v>1</v>
      </c>
      <c r="AD92" cm="1">
        <f t="array" ref="AD92">_xll.VALEURCOURBE($A$2,_xlfn.CONCAT("THEME14=",$B92),SCENARIOS!$A$2,SCENARIOS!$B$2,YIELDS_youvert!AD$1,0)</f>
        <v>1</v>
      </c>
      <c r="AE92" cm="1">
        <f t="array" ref="AE92">_xll.VALEURCOURBE($A$2,_xlfn.CONCAT("THEME14=",$B92),SCENARIOS!$A$2,SCENARIOS!$B$2,YIELDS_youvert!AE$1,0)</f>
        <v>1</v>
      </c>
    </row>
    <row r="93" spans="3:31" x14ac:dyDescent="0.25">
      <c r="C93" cm="1">
        <f t="array" ref="C93">_xll.VALEURCOURBE($A$2,_xlfn.CONCAT("THEME14=",$B93),SCENARIOS!$A$2,SCENARIOS!$B$2,YIELDS_youvert!C$1,0)</f>
        <v>1</v>
      </c>
      <c r="D93" cm="1">
        <f t="array" ref="D93">_xll.VALEURCOURBE($A$2,_xlfn.CONCAT("THEME14=",$B93),SCENARIOS!$A$2,SCENARIOS!$B$2,YIELDS_youvert!D$1,0)</f>
        <v>1</v>
      </c>
      <c r="E93" cm="1">
        <f t="array" ref="E93">_xll.VALEURCOURBE($A$2,_xlfn.CONCAT("THEME14=",$B93),SCENARIOS!$A$2,SCENARIOS!$B$2,YIELDS_youvert!E$1,0)</f>
        <v>1</v>
      </c>
      <c r="F93" cm="1">
        <f t="array" ref="F93">_xll.VALEURCOURBE($A$2,_xlfn.CONCAT("THEME14=",$B93),SCENARIOS!$A$2,SCENARIOS!$B$2,YIELDS_youvert!F$1,0)</f>
        <v>1</v>
      </c>
      <c r="G93" cm="1">
        <f t="array" ref="G93">_xll.VALEURCOURBE($A$2,_xlfn.CONCAT("THEME14=",$B93),SCENARIOS!$A$2,SCENARIOS!$B$2,YIELDS_youvert!G$1,0)</f>
        <v>1</v>
      </c>
      <c r="H93" cm="1">
        <f t="array" ref="H93">_xll.VALEURCOURBE($A$2,_xlfn.CONCAT("THEME14=",$B93),SCENARIOS!$A$2,SCENARIOS!$B$2,YIELDS_youvert!H$1,0)</f>
        <v>1</v>
      </c>
      <c r="I93" cm="1">
        <f t="array" ref="I93">_xll.VALEURCOURBE($A$2,_xlfn.CONCAT("THEME14=",$B93),SCENARIOS!$A$2,SCENARIOS!$B$2,YIELDS_youvert!I$1,0)</f>
        <v>1</v>
      </c>
      <c r="J93" cm="1">
        <f t="array" ref="J93">_xll.VALEURCOURBE($A$2,_xlfn.CONCAT("THEME14=",$B93),SCENARIOS!$A$2,SCENARIOS!$B$2,YIELDS_youvert!J$1,0)</f>
        <v>1</v>
      </c>
      <c r="K93" cm="1">
        <f t="array" ref="K93">_xll.VALEURCOURBE($A$2,_xlfn.CONCAT("THEME14=",$B93),SCENARIOS!$A$2,SCENARIOS!$B$2,YIELDS_youvert!K$1,0)</f>
        <v>1</v>
      </c>
      <c r="L93" cm="1">
        <f t="array" ref="L93">_xll.VALEURCOURBE($A$2,_xlfn.CONCAT("THEME14=",$B93),SCENARIOS!$A$2,SCENARIOS!$B$2,YIELDS_youvert!L$1,0)</f>
        <v>1</v>
      </c>
      <c r="M93" cm="1">
        <f t="array" ref="M93">_xll.VALEURCOURBE($A$2,_xlfn.CONCAT("THEME14=",$B93),SCENARIOS!$A$2,SCENARIOS!$B$2,YIELDS_youvert!M$1,0)</f>
        <v>1</v>
      </c>
      <c r="N93" cm="1">
        <f t="array" ref="N93">_xll.VALEURCOURBE($A$2,_xlfn.CONCAT("THEME14=",$B93),SCENARIOS!$A$2,SCENARIOS!$B$2,YIELDS_youvert!N$1,0)</f>
        <v>1</v>
      </c>
      <c r="O93" cm="1">
        <f t="array" ref="O93">_xll.VALEURCOURBE($A$2,_xlfn.CONCAT("THEME14=",$B93),SCENARIOS!$A$2,SCENARIOS!$B$2,YIELDS_youvert!O$1,0)</f>
        <v>1</v>
      </c>
      <c r="P93" cm="1">
        <f t="array" ref="P93">_xll.VALEURCOURBE($A$2,_xlfn.CONCAT("THEME14=",$B93),SCENARIOS!$A$2,SCENARIOS!$B$2,YIELDS_youvert!P$1,0)</f>
        <v>1</v>
      </c>
      <c r="Q93" cm="1">
        <f t="array" ref="Q93">_xll.VALEURCOURBE($A$2,_xlfn.CONCAT("THEME14=",$B93),SCENARIOS!$A$2,SCENARIOS!$B$2,YIELDS_youvert!Q$1,0)</f>
        <v>1</v>
      </c>
      <c r="R93" cm="1">
        <f t="array" ref="R93">_xll.VALEURCOURBE($A$2,_xlfn.CONCAT("THEME14=",$B93),SCENARIOS!$A$2,SCENARIOS!$B$2,YIELDS_youvert!R$1,0)</f>
        <v>1</v>
      </c>
      <c r="S93" cm="1">
        <f t="array" ref="S93">_xll.VALEURCOURBE($A$2,_xlfn.CONCAT("THEME14=",$B93),SCENARIOS!$A$2,SCENARIOS!$B$2,YIELDS_youvert!S$1,0)</f>
        <v>1</v>
      </c>
      <c r="T93" cm="1">
        <f t="array" ref="T93">_xll.VALEURCOURBE($A$2,_xlfn.CONCAT("THEME14=",$B93),SCENARIOS!$A$2,SCENARIOS!$B$2,YIELDS_youvert!T$1,0)</f>
        <v>1</v>
      </c>
      <c r="U93" cm="1">
        <f t="array" ref="U93">_xll.VALEURCOURBE($A$2,_xlfn.CONCAT("THEME14=",$B93),SCENARIOS!$A$2,SCENARIOS!$B$2,YIELDS_youvert!U$1,0)</f>
        <v>1</v>
      </c>
      <c r="V93" cm="1">
        <f t="array" ref="V93">_xll.VALEURCOURBE($A$2,_xlfn.CONCAT("THEME14=",$B93),SCENARIOS!$A$2,SCENARIOS!$B$2,YIELDS_youvert!V$1,0)</f>
        <v>1</v>
      </c>
      <c r="W93" cm="1">
        <f t="array" ref="W93">_xll.VALEURCOURBE($A$2,_xlfn.CONCAT("THEME14=",$B93),SCENARIOS!$A$2,SCENARIOS!$B$2,YIELDS_youvert!W$1,0)</f>
        <v>1</v>
      </c>
      <c r="X93" cm="1">
        <f t="array" ref="X93">_xll.VALEURCOURBE($A$2,_xlfn.CONCAT("THEME14=",$B93),SCENARIOS!$A$2,SCENARIOS!$B$2,YIELDS_youvert!X$1,0)</f>
        <v>1</v>
      </c>
      <c r="Y93" cm="1">
        <f t="array" ref="Y93">_xll.VALEURCOURBE($A$2,_xlfn.CONCAT("THEME14=",$B93),SCENARIOS!$A$2,SCENARIOS!$B$2,YIELDS_youvert!Y$1,0)</f>
        <v>1</v>
      </c>
      <c r="Z93" cm="1">
        <f t="array" ref="Z93">_xll.VALEURCOURBE($A$2,_xlfn.CONCAT("THEME14=",$B93),SCENARIOS!$A$2,SCENARIOS!$B$2,YIELDS_youvert!Z$1,0)</f>
        <v>1</v>
      </c>
      <c r="AA93" cm="1">
        <f t="array" ref="AA93">_xll.VALEURCOURBE($A$2,_xlfn.CONCAT("THEME14=",$B93),SCENARIOS!$A$2,SCENARIOS!$B$2,YIELDS_youvert!AA$1,0)</f>
        <v>1</v>
      </c>
      <c r="AB93" cm="1">
        <f t="array" ref="AB93">_xll.VALEURCOURBE($A$2,_xlfn.CONCAT("THEME14=",$B93),SCENARIOS!$A$2,SCENARIOS!$B$2,YIELDS_youvert!AB$1,0)</f>
        <v>1</v>
      </c>
      <c r="AC93" cm="1">
        <f t="array" ref="AC93">_xll.VALEURCOURBE($A$2,_xlfn.CONCAT("THEME14=",$B93),SCENARIOS!$A$2,SCENARIOS!$B$2,YIELDS_youvert!AC$1,0)</f>
        <v>1</v>
      </c>
      <c r="AD93" cm="1">
        <f t="array" ref="AD93">_xll.VALEURCOURBE($A$2,_xlfn.CONCAT("THEME14=",$B93),SCENARIOS!$A$2,SCENARIOS!$B$2,YIELDS_youvert!AD$1,0)</f>
        <v>1</v>
      </c>
      <c r="AE93" cm="1">
        <f t="array" ref="AE93">_xll.VALEURCOURBE($A$2,_xlfn.CONCAT("THEME14=",$B93),SCENARIOS!$A$2,SCENARIOS!$B$2,YIELDS_youvert!AE$1,0)</f>
        <v>1</v>
      </c>
    </row>
    <row r="94" spans="3:31" x14ac:dyDescent="0.25">
      <c r="C94" cm="1">
        <f t="array" ref="C94">_xll.VALEURCOURBE($A$2,_xlfn.CONCAT("THEME14=",$B94),SCENARIOS!$A$2,SCENARIOS!$B$2,YIELDS_youvert!C$1,0)</f>
        <v>1</v>
      </c>
      <c r="D94" cm="1">
        <f t="array" ref="D94">_xll.VALEURCOURBE($A$2,_xlfn.CONCAT("THEME14=",$B94),SCENARIOS!$A$2,SCENARIOS!$B$2,YIELDS_youvert!D$1,0)</f>
        <v>1</v>
      </c>
      <c r="E94" cm="1">
        <f t="array" ref="E94">_xll.VALEURCOURBE($A$2,_xlfn.CONCAT("THEME14=",$B94),SCENARIOS!$A$2,SCENARIOS!$B$2,YIELDS_youvert!E$1,0)</f>
        <v>1</v>
      </c>
      <c r="F94" cm="1">
        <f t="array" ref="F94">_xll.VALEURCOURBE($A$2,_xlfn.CONCAT("THEME14=",$B94),SCENARIOS!$A$2,SCENARIOS!$B$2,YIELDS_youvert!F$1,0)</f>
        <v>1</v>
      </c>
      <c r="G94" cm="1">
        <f t="array" ref="G94">_xll.VALEURCOURBE($A$2,_xlfn.CONCAT("THEME14=",$B94),SCENARIOS!$A$2,SCENARIOS!$B$2,YIELDS_youvert!G$1,0)</f>
        <v>1</v>
      </c>
      <c r="H94" cm="1">
        <f t="array" ref="H94">_xll.VALEURCOURBE($A$2,_xlfn.CONCAT("THEME14=",$B94),SCENARIOS!$A$2,SCENARIOS!$B$2,YIELDS_youvert!H$1,0)</f>
        <v>1</v>
      </c>
      <c r="I94" cm="1">
        <f t="array" ref="I94">_xll.VALEURCOURBE($A$2,_xlfn.CONCAT("THEME14=",$B94),SCENARIOS!$A$2,SCENARIOS!$B$2,YIELDS_youvert!I$1,0)</f>
        <v>1</v>
      </c>
      <c r="J94" cm="1">
        <f t="array" ref="J94">_xll.VALEURCOURBE($A$2,_xlfn.CONCAT("THEME14=",$B94),SCENARIOS!$A$2,SCENARIOS!$B$2,YIELDS_youvert!J$1,0)</f>
        <v>1</v>
      </c>
      <c r="K94" cm="1">
        <f t="array" ref="K94">_xll.VALEURCOURBE($A$2,_xlfn.CONCAT("THEME14=",$B94),SCENARIOS!$A$2,SCENARIOS!$B$2,YIELDS_youvert!K$1,0)</f>
        <v>1</v>
      </c>
      <c r="L94" cm="1">
        <f t="array" ref="L94">_xll.VALEURCOURBE($A$2,_xlfn.CONCAT("THEME14=",$B94),SCENARIOS!$A$2,SCENARIOS!$B$2,YIELDS_youvert!L$1,0)</f>
        <v>1</v>
      </c>
      <c r="M94" cm="1">
        <f t="array" ref="M94">_xll.VALEURCOURBE($A$2,_xlfn.CONCAT("THEME14=",$B94),SCENARIOS!$A$2,SCENARIOS!$B$2,YIELDS_youvert!M$1,0)</f>
        <v>1</v>
      </c>
      <c r="N94" cm="1">
        <f t="array" ref="N94">_xll.VALEURCOURBE($A$2,_xlfn.CONCAT("THEME14=",$B94),SCENARIOS!$A$2,SCENARIOS!$B$2,YIELDS_youvert!N$1,0)</f>
        <v>1</v>
      </c>
      <c r="O94" cm="1">
        <f t="array" ref="O94">_xll.VALEURCOURBE($A$2,_xlfn.CONCAT("THEME14=",$B94),SCENARIOS!$A$2,SCENARIOS!$B$2,YIELDS_youvert!O$1,0)</f>
        <v>1</v>
      </c>
      <c r="P94" cm="1">
        <f t="array" ref="P94">_xll.VALEURCOURBE($A$2,_xlfn.CONCAT("THEME14=",$B94),SCENARIOS!$A$2,SCENARIOS!$B$2,YIELDS_youvert!P$1,0)</f>
        <v>1</v>
      </c>
      <c r="Q94" cm="1">
        <f t="array" ref="Q94">_xll.VALEURCOURBE($A$2,_xlfn.CONCAT("THEME14=",$B94),SCENARIOS!$A$2,SCENARIOS!$B$2,YIELDS_youvert!Q$1,0)</f>
        <v>1</v>
      </c>
      <c r="R94" cm="1">
        <f t="array" ref="R94">_xll.VALEURCOURBE($A$2,_xlfn.CONCAT("THEME14=",$B94),SCENARIOS!$A$2,SCENARIOS!$B$2,YIELDS_youvert!R$1,0)</f>
        <v>1</v>
      </c>
      <c r="S94" cm="1">
        <f t="array" ref="S94">_xll.VALEURCOURBE($A$2,_xlfn.CONCAT("THEME14=",$B94),SCENARIOS!$A$2,SCENARIOS!$B$2,YIELDS_youvert!S$1,0)</f>
        <v>1</v>
      </c>
      <c r="T94" cm="1">
        <f t="array" ref="T94">_xll.VALEURCOURBE($A$2,_xlfn.CONCAT("THEME14=",$B94),SCENARIOS!$A$2,SCENARIOS!$B$2,YIELDS_youvert!T$1,0)</f>
        <v>1</v>
      </c>
      <c r="U94" cm="1">
        <f t="array" ref="U94">_xll.VALEURCOURBE($A$2,_xlfn.CONCAT("THEME14=",$B94),SCENARIOS!$A$2,SCENARIOS!$B$2,YIELDS_youvert!U$1,0)</f>
        <v>1</v>
      </c>
      <c r="V94" cm="1">
        <f t="array" ref="V94">_xll.VALEURCOURBE($A$2,_xlfn.CONCAT("THEME14=",$B94),SCENARIOS!$A$2,SCENARIOS!$B$2,YIELDS_youvert!V$1,0)</f>
        <v>1</v>
      </c>
      <c r="W94" cm="1">
        <f t="array" ref="W94">_xll.VALEURCOURBE($A$2,_xlfn.CONCAT("THEME14=",$B94),SCENARIOS!$A$2,SCENARIOS!$B$2,YIELDS_youvert!W$1,0)</f>
        <v>1</v>
      </c>
      <c r="X94" cm="1">
        <f t="array" ref="X94">_xll.VALEURCOURBE($A$2,_xlfn.CONCAT("THEME14=",$B94),SCENARIOS!$A$2,SCENARIOS!$B$2,YIELDS_youvert!X$1,0)</f>
        <v>1</v>
      </c>
      <c r="Y94" cm="1">
        <f t="array" ref="Y94">_xll.VALEURCOURBE($A$2,_xlfn.CONCAT("THEME14=",$B94),SCENARIOS!$A$2,SCENARIOS!$B$2,YIELDS_youvert!Y$1,0)</f>
        <v>1</v>
      </c>
      <c r="Z94" cm="1">
        <f t="array" ref="Z94">_xll.VALEURCOURBE($A$2,_xlfn.CONCAT("THEME14=",$B94),SCENARIOS!$A$2,SCENARIOS!$B$2,YIELDS_youvert!Z$1,0)</f>
        <v>1</v>
      </c>
      <c r="AA94" cm="1">
        <f t="array" ref="AA94">_xll.VALEURCOURBE($A$2,_xlfn.CONCAT("THEME14=",$B94),SCENARIOS!$A$2,SCENARIOS!$B$2,YIELDS_youvert!AA$1,0)</f>
        <v>1</v>
      </c>
      <c r="AB94" cm="1">
        <f t="array" ref="AB94">_xll.VALEURCOURBE($A$2,_xlfn.CONCAT("THEME14=",$B94),SCENARIOS!$A$2,SCENARIOS!$B$2,YIELDS_youvert!AB$1,0)</f>
        <v>1</v>
      </c>
      <c r="AC94" cm="1">
        <f t="array" ref="AC94">_xll.VALEURCOURBE($A$2,_xlfn.CONCAT("THEME14=",$B94),SCENARIOS!$A$2,SCENARIOS!$B$2,YIELDS_youvert!AC$1,0)</f>
        <v>1</v>
      </c>
      <c r="AD94" cm="1">
        <f t="array" ref="AD94">_xll.VALEURCOURBE($A$2,_xlfn.CONCAT("THEME14=",$B94),SCENARIOS!$A$2,SCENARIOS!$B$2,YIELDS_youvert!AD$1,0)</f>
        <v>1</v>
      </c>
      <c r="AE94" cm="1">
        <f t="array" ref="AE94">_xll.VALEURCOURBE($A$2,_xlfn.CONCAT("THEME14=",$B94),SCENARIOS!$A$2,SCENARIOS!$B$2,YIELDS_youvert!AE$1,0)</f>
        <v>1</v>
      </c>
    </row>
    <row r="95" spans="3:31" x14ac:dyDescent="0.25">
      <c r="C95" cm="1">
        <f t="array" ref="C95">_xll.VALEURCOURBE($A$2,_xlfn.CONCAT("THEME14=",$B95),SCENARIOS!$A$2,SCENARIOS!$B$2,YIELDS_youvert!C$1,0)</f>
        <v>1</v>
      </c>
      <c r="D95" cm="1">
        <f t="array" ref="D95">_xll.VALEURCOURBE($A$2,_xlfn.CONCAT("THEME14=",$B95),SCENARIOS!$A$2,SCENARIOS!$B$2,YIELDS_youvert!D$1,0)</f>
        <v>1</v>
      </c>
      <c r="E95" cm="1">
        <f t="array" ref="E95">_xll.VALEURCOURBE($A$2,_xlfn.CONCAT("THEME14=",$B95),SCENARIOS!$A$2,SCENARIOS!$B$2,YIELDS_youvert!E$1,0)</f>
        <v>1</v>
      </c>
      <c r="F95" cm="1">
        <f t="array" ref="F95">_xll.VALEURCOURBE($A$2,_xlfn.CONCAT("THEME14=",$B95),SCENARIOS!$A$2,SCENARIOS!$B$2,YIELDS_youvert!F$1,0)</f>
        <v>1</v>
      </c>
      <c r="G95" cm="1">
        <f t="array" ref="G95">_xll.VALEURCOURBE($A$2,_xlfn.CONCAT("THEME14=",$B95),SCENARIOS!$A$2,SCENARIOS!$B$2,YIELDS_youvert!G$1,0)</f>
        <v>1</v>
      </c>
      <c r="H95" cm="1">
        <f t="array" ref="H95">_xll.VALEURCOURBE($A$2,_xlfn.CONCAT("THEME14=",$B95),SCENARIOS!$A$2,SCENARIOS!$B$2,YIELDS_youvert!H$1,0)</f>
        <v>1</v>
      </c>
      <c r="I95" cm="1">
        <f t="array" ref="I95">_xll.VALEURCOURBE($A$2,_xlfn.CONCAT("THEME14=",$B95),SCENARIOS!$A$2,SCENARIOS!$B$2,YIELDS_youvert!I$1,0)</f>
        <v>1</v>
      </c>
      <c r="J95" cm="1">
        <f t="array" ref="J95">_xll.VALEURCOURBE($A$2,_xlfn.CONCAT("THEME14=",$B95),SCENARIOS!$A$2,SCENARIOS!$B$2,YIELDS_youvert!J$1,0)</f>
        <v>1</v>
      </c>
      <c r="K95" cm="1">
        <f t="array" ref="K95">_xll.VALEURCOURBE($A$2,_xlfn.CONCAT("THEME14=",$B95),SCENARIOS!$A$2,SCENARIOS!$B$2,YIELDS_youvert!K$1,0)</f>
        <v>1</v>
      </c>
      <c r="L95" cm="1">
        <f t="array" ref="L95">_xll.VALEURCOURBE($A$2,_xlfn.CONCAT("THEME14=",$B95),SCENARIOS!$A$2,SCENARIOS!$B$2,YIELDS_youvert!L$1,0)</f>
        <v>1</v>
      </c>
      <c r="M95" cm="1">
        <f t="array" ref="M95">_xll.VALEURCOURBE($A$2,_xlfn.CONCAT("THEME14=",$B95),SCENARIOS!$A$2,SCENARIOS!$B$2,YIELDS_youvert!M$1,0)</f>
        <v>1</v>
      </c>
      <c r="N95" cm="1">
        <f t="array" ref="N95">_xll.VALEURCOURBE($A$2,_xlfn.CONCAT("THEME14=",$B95),SCENARIOS!$A$2,SCENARIOS!$B$2,YIELDS_youvert!N$1,0)</f>
        <v>1</v>
      </c>
      <c r="O95" cm="1">
        <f t="array" ref="O95">_xll.VALEURCOURBE($A$2,_xlfn.CONCAT("THEME14=",$B95),SCENARIOS!$A$2,SCENARIOS!$B$2,YIELDS_youvert!O$1,0)</f>
        <v>1</v>
      </c>
      <c r="P95" cm="1">
        <f t="array" ref="P95">_xll.VALEURCOURBE($A$2,_xlfn.CONCAT("THEME14=",$B95),SCENARIOS!$A$2,SCENARIOS!$B$2,YIELDS_youvert!P$1,0)</f>
        <v>1</v>
      </c>
      <c r="Q95" cm="1">
        <f t="array" ref="Q95">_xll.VALEURCOURBE($A$2,_xlfn.CONCAT("THEME14=",$B95),SCENARIOS!$A$2,SCENARIOS!$B$2,YIELDS_youvert!Q$1,0)</f>
        <v>1</v>
      </c>
      <c r="R95" cm="1">
        <f t="array" ref="R95">_xll.VALEURCOURBE($A$2,_xlfn.CONCAT("THEME14=",$B95),SCENARIOS!$A$2,SCENARIOS!$B$2,YIELDS_youvert!R$1,0)</f>
        <v>1</v>
      </c>
      <c r="S95" cm="1">
        <f t="array" ref="S95">_xll.VALEURCOURBE($A$2,_xlfn.CONCAT("THEME14=",$B95),SCENARIOS!$A$2,SCENARIOS!$B$2,YIELDS_youvert!S$1,0)</f>
        <v>1</v>
      </c>
      <c r="T95" cm="1">
        <f t="array" ref="T95">_xll.VALEURCOURBE($A$2,_xlfn.CONCAT("THEME14=",$B95),SCENARIOS!$A$2,SCENARIOS!$B$2,YIELDS_youvert!T$1,0)</f>
        <v>1</v>
      </c>
      <c r="U95" cm="1">
        <f t="array" ref="U95">_xll.VALEURCOURBE($A$2,_xlfn.CONCAT("THEME14=",$B95),SCENARIOS!$A$2,SCENARIOS!$B$2,YIELDS_youvert!U$1,0)</f>
        <v>1</v>
      </c>
      <c r="V95" cm="1">
        <f t="array" ref="V95">_xll.VALEURCOURBE($A$2,_xlfn.CONCAT("THEME14=",$B95),SCENARIOS!$A$2,SCENARIOS!$B$2,YIELDS_youvert!V$1,0)</f>
        <v>1</v>
      </c>
      <c r="W95" cm="1">
        <f t="array" ref="W95">_xll.VALEURCOURBE($A$2,_xlfn.CONCAT("THEME14=",$B95),SCENARIOS!$A$2,SCENARIOS!$B$2,YIELDS_youvert!W$1,0)</f>
        <v>1</v>
      </c>
      <c r="X95" cm="1">
        <f t="array" ref="X95">_xll.VALEURCOURBE($A$2,_xlfn.CONCAT("THEME14=",$B95),SCENARIOS!$A$2,SCENARIOS!$B$2,YIELDS_youvert!X$1,0)</f>
        <v>1</v>
      </c>
      <c r="Y95" cm="1">
        <f t="array" ref="Y95">_xll.VALEURCOURBE($A$2,_xlfn.CONCAT("THEME14=",$B95),SCENARIOS!$A$2,SCENARIOS!$B$2,YIELDS_youvert!Y$1,0)</f>
        <v>1</v>
      </c>
      <c r="Z95" cm="1">
        <f t="array" ref="Z95">_xll.VALEURCOURBE($A$2,_xlfn.CONCAT("THEME14=",$B95),SCENARIOS!$A$2,SCENARIOS!$B$2,YIELDS_youvert!Z$1,0)</f>
        <v>1</v>
      </c>
      <c r="AA95" cm="1">
        <f t="array" ref="AA95">_xll.VALEURCOURBE($A$2,_xlfn.CONCAT("THEME14=",$B95),SCENARIOS!$A$2,SCENARIOS!$B$2,YIELDS_youvert!AA$1,0)</f>
        <v>1</v>
      </c>
      <c r="AB95" cm="1">
        <f t="array" ref="AB95">_xll.VALEURCOURBE($A$2,_xlfn.CONCAT("THEME14=",$B95),SCENARIOS!$A$2,SCENARIOS!$B$2,YIELDS_youvert!AB$1,0)</f>
        <v>1</v>
      </c>
      <c r="AC95" cm="1">
        <f t="array" ref="AC95">_xll.VALEURCOURBE($A$2,_xlfn.CONCAT("THEME14=",$B95),SCENARIOS!$A$2,SCENARIOS!$B$2,YIELDS_youvert!AC$1,0)</f>
        <v>1</v>
      </c>
      <c r="AD95" cm="1">
        <f t="array" ref="AD95">_xll.VALEURCOURBE($A$2,_xlfn.CONCAT("THEME14=",$B95),SCENARIOS!$A$2,SCENARIOS!$B$2,YIELDS_youvert!AD$1,0)</f>
        <v>1</v>
      </c>
      <c r="AE95" cm="1">
        <f t="array" ref="AE95">_xll.VALEURCOURBE($A$2,_xlfn.CONCAT("THEME14=",$B95),SCENARIOS!$A$2,SCENARIOS!$B$2,YIELDS_youvert!AE$1,0)</f>
        <v>1</v>
      </c>
    </row>
    <row r="96" spans="3:31" x14ac:dyDescent="0.25">
      <c r="C96" cm="1">
        <f t="array" ref="C96">_xll.VALEURCOURBE($A$2,_xlfn.CONCAT("THEME14=",$B96),SCENARIOS!$A$2,SCENARIOS!$B$2,YIELDS_youvert!C$1,0)</f>
        <v>1</v>
      </c>
      <c r="D96" cm="1">
        <f t="array" ref="D96">_xll.VALEURCOURBE($A$2,_xlfn.CONCAT("THEME14=",$B96),SCENARIOS!$A$2,SCENARIOS!$B$2,YIELDS_youvert!D$1,0)</f>
        <v>1</v>
      </c>
      <c r="E96" cm="1">
        <f t="array" ref="E96">_xll.VALEURCOURBE($A$2,_xlfn.CONCAT("THEME14=",$B96),SCENARIOS!$A$2,SCENARIOS!$B$2,YIELDS_youvert!E$1,0)</f>
        <v>1</v>
      </c>
      <c r="F96" cm="1">
        <f t="array" ref="F96">_xll.VALEURCOURBE($A$2,_xlfn.CONCAT("THEME14=",$B96),SCENARIOS!$A$2,SCENARIOS!$B$2,YIELDS_youvert!F$1,0)</f>
        <v>1</v>
      </c>
      <c r="G96" cm="1">
        <f t="array" ref="G96">_xll.VALEURCOURBE($A$2,_xlfn.CONCAT("THEME14=",$B96),SCENARIOS!$A$2,SCENARIOS!$B$2,YIELDS_youvert!G$1,0)</f>
        <v>1</v>
      </c>
      <c r="H96" cm="1">
        <f t="array" ref="H96">_xll.VALEURCOURBE($A$2,_xlfn.CONCAT("THEME14=",$B96),SCENARIOS!$A$2,SCENARIOS!$B$2,YIELDS_youvert!H$1,0)</f>
        <v>1</v>
      </c>
      <c r="I96" cm="1">
        <f t="array" ref="I96">_xll.VALEURCOURBE($A$2,_xlfn.CONCAT("THEME14=",$B96),SCENARIOS!$A$2,SCENARIOS!$B$2,YIELDS_youvert!I$1,0)</f>
        <v>1</v>
      </c>
      <c r="J96" cm="1">
        <f t="array" ref="J96">_xll.VALEURCOURBE($A$2,_xlfn.CONCAT("THEME14=",$B96),SCENARIOS!$A$2,SCENARIOS!$B$2,YIELDS_youvert!J$1,0)</f>
        <v>1</v>
      </c>
      <c r="K96" cm="1">
        <f t="array" ref="K96">_xll.VALEURCOURBE($A$2,_xlfn.CONCAT("THEME14=",$B96),SCENARIOS!$A$2,SCENARIOS!$B$2,YIELDS_youvert!K$1,0)</f>
        <v>1</v>
      </c>
      <c r="L96" cm="1">
        <f t="array" ref="L96">_xll.VALEURCOURBE($A$2,_xlfn.CONCAT("THEME14=",$B96),SCENARIOS!$A$2,SCENARIOS!$B$2,YIELDS_youvert!L$1,0)</f>
        <v>1</v>
      </c>
      <c r="M96" cm="1">
        <f t="array" ref="M96">_xll.VALEURCOURBE($A$2,_xlfn.CONCAT("THEME14=",$B96),SCENARIOS!$A$2,SCENARIOS!$B$2,YIELDS_youvert!M$1,0)</f>
        <v>1</v>
      </c>
      <c r="N96" cm="1">
        <f t="array" ref="N96">_xll.VALEURCOURBE($A$2,_xlfn.CONCAT("THEME14=",$B96),SCENARIOS!$A$2,SCENARIOS!$B$2,YIELDS_youvert!N$1,0)</f>
        <v>1</v>
      </c>
      <c r="O96" cm="1">
        <f t="array" ref="O96">_xll.VALEURCOURBE($A$2,_xlfn.CONCAT("THEME14=",$B96),SCENARIOS!$A$2,SCENARIOS!$B$2,YIELDS_youvert!O$1,0)</f>
        <v>1</v>
      </c>
      <c r="P96" cm="1">
        <f t="array" ref="P96">_xll.VALEURCOURBE($A$2,_xlfn.CONCAT("THEME14=",$B96),SCENARIOS!$A$2,SCENARIOS!$B$2,YIELDS_youvert!P$1,0)</f>
        <v>1</v>
      </c>
      <c r="Q96" cm="1">
        <f t="array" ref="Q96">_xll.VALEURCOURBE($A$2,_xlfn.CONCAT("THEME14=",$B96),SCENARIOS!$A$2,SCENARIOS!$B$2,YIELDS_youvert!Q$1,0)</f>
        <v>1</v>
      </c>
      <c r="R96" cm="1">
        <f t="array" ref="R96">_xll.VALEURCOURBE($A$2,_xlfn.CONCAT("THEME14=",$B96),SCENARIOS!$A$2,SCENARIOS!$B$2,YIELDS_youvert!R$1,0)</f>
        <v>1</v>
      </c>
      <c r="S96" cm="1">
        <f t="array" ref="S96">_xll.VALEURCOURBE($A$2,_xlfn.CONCAT("THEME14=",$B96),SCENARIOS!$A$2,SCENARIOS!$B$2,YIELDS_youvert!S$1,0)</f>
        <v>1</v>
      </c>
      <c r="T96" cm="1">
        <f t="array" ref="T96">_xll.VALEURCOURBE($A$2,_xlfn.CONCAT("THEME14=",$B96),SCENARIOS!$A$2,SCENARIOS!$B$2,YIELDS_youvert!T$1,0)</f>
        <v>1</v>
      </c>
      <c r="U96" cm="1">
        <f t="array" ref="U96">_xll.VALEURCOURBE($A$2,_xlfn.CONCAT("THEME14=",$B96),SCENARIOS!$A$2,SCENARIOS!$B$2,YIELDS_youvert!U$1,0)</f>
        <v>1</v>
      </c>
      <c r="V96" cm="1">
        <f t="array" ref="V96">_xll.VALEURCOURBE($A$2,_xlfn.CONCAT("THEME14=",$B96),SCENARIOS!$A$2,SCENARIOS!$B$2,YIELDS_youvert!V$1,0)</f>
        <v>1</v>
      </c>
      <c r="W96" cm="1">
        <f t="array" ref="W96">_xll.VALEURCOURBE($A$2,_xlfn.CONCAT("THEME14=",$B96),SCENARIOS!$A$2,SCENARIOS!$B$2,YIELDS_youvert!W$1,0)</f>
        <v>1</v>
      </c>
      <c r="X96" cm="1">
        <f t="array" ref="X96">_xll.VALEURCOURBE($A$2,_xlfn.CONCAT("THEME14=",$B96),SCENARIOS!$A$2,SCENARIOS!$B$2,YIELDS_youvert!X$1,0)</f>
        <v>1</v>
      </c>
      <c r="Y96" cm="1">
        <f t="array" ref="Y96">_xll.VALEURCOURBE($A$2,_xlfn.CONCAT("THEME14=",$B96),SCENARIOS!$A$2,SCENARIOS!$B$2,YIELDS_youvert!Y$1,0)</f>
        <v>1</v>
      </c>
      <c r="Z96" cm="1">
        <f t="array" ref="Z96">_xll.VALEURCOURBE($A$2,_xlfn.CONCAT("THEME14=",$B96),SCENARIOS!$A$2,SCENARIOS!$B$2,YIELDS_youvert!Z$1,0)</f>
        <v>1</v>
      </c>
      <c r="AA96" cm="1">
        <f t="array" ref="AA96">_xll.VALEURCOURBE($A$2,_xlfn.CONCAT("THEME14=",$B96),SCENARIOS!$A$2,SCENARIOS!$B$2,YIELDS_youvert!AA$1,0)</f>
        <v>1</v>
      </c>
      <c r="AB96" cm="1">
        <f t="array" ref="AB96">_xll.VALEURCOURBE($A$2,_xlfn.CONCAT("THEME14=",$B96),SCENARIOS!$A$2,SCENARIOS!$B$2,YIELDS_youvert!AB$1,0)</f>
        <v>1</v>
      </c>
      <c r="AC96" cm="1">
        <f t="array" ref="AC96">_xll.VALEURCOURBE($A$2,_xlfn.CONCAT("THEME14=",$B96),SCENARIOS!$A$2,SCENARIOS!$B$2,YIELDS_youvert!AC$1,0)</f>
        <v>1</v>
      </c>
      <c r="AD96" cm="1">
        <f t="array" ref="AD96">_xll.VALEURCOURBE($A$2,_xlfn.CONCAT("THEME14=",$B96),SCENARIOS!$A$2,SCENARIOS!$B$2,YIELDS_youvert!AD$1,0)</f>
        <v>1</v>
      </c>
      <c r="AE96" cm="1">
        <f t="array" ref="AE96">_xll.VALEURCOURBE($A$2,_xlfn.CONCAT("THEME14=",$B96),SCENARIOS!$A$2,SCENARIOS!$B$2,YIELDS_youvert!AE$1,0)</f>
        <v>1</v>
      </c>
    </row>
    <row r="97" spans="3:31" x14ac:dyDescent="0.25">
      <c r="C97" cm="1">
        <f t="array" ref="C97">_xll.VALEURCOURBE($A$2,_xlfn.CONCAT("THEME14=",$B97),SCENARIOS!$A$2,SCENARIOS!$B$2,YIELDS_youvert!C$1,0)</f>
        <v>1</v>
      </c>
      <c r="D97" cm="1">
        <f t="array" ref="D97">_xll.VALEURCOURBE($A$2,_xlfn.CONCAT("THEME14=",$B97),SCENARIOS!$A$2,SCENARIOS!$B$2,YIELDS_youvert!D$1,0)</f>
        <v>1</v>
      </c>
      <c r="E97" cm="1">
        <f t="array" ref="E97">_xll.VALEURCOURBE($A$2,_xlfn.CONCAT("THEME14=",$B97),SCENARIOS!$A$2,SCENARIOS!$B$2,YIELDS_youvert!E$1,0)</f>
        <v>1</v>
      </c>
      <c r="F97" cm="1">
        <f t="array" ref="F97">_xll.VALEURCOURBE($A$2,_xlfn.CONCAT("THEME14=",$B97),SCENARIOS!$A$2,SCENARIOS!$B$2,YIELDS_youvert!F$1,0)</f>
        <v>1</v>
      </c>
      <c r="G97" cm="1">
        <f t="array" ref="G97">_xll.VALEURCOURBE($A$2,_xlfn.CONCAT("THEME14=",$B97),SCENARIOS!$A$2,SCENARIOS!$B$2,YIELDS_youvert!G$1,0)</f>
        <v>1</v>
      </c>
      <c r="H97" cm="1">
        <f t="array" ref="H97">_xll.VALEURCOURBE($A$2,_xlfn.CONCAT("THEME14=",$B97),SCENARIOS!$A$2,SCENARIOS!$B$2,YIELDS_youvert!H$1,0)</f>
        <v>1</v>
      </c>
      <c r="I97" cm="1">
        <f t="array" ref="I97">_xll.VALEURCOURBE($A$2,_xlfn.CONCAT("THEME14=",$B97),SCENARIOS!$A$2,SCENARIOS!$B$2,YIELDS_youvert!I$1,0)</f>
        <v>1</v>
      </c>
      <c r="J97" cm="1">
        <f t="array" ref="J97">_xll.VALEURCOURBE($A$2,_xlfn.CONCAT("THEME14=",$B97),SCENARIOS!$A$2,SCENARIOS!$B$2,YIELDS_youvert!J$1,0)</f>
        <v>1</v>
      </c>
      <c r="K97" cm="1">
        <f t="array" ref="K97">_xll.VALEURCOURBE($A$2,_xlfn.CONCAT("THEME14=",$B97),SCENARIOS!$A$2,SCENARIOS!$B$2,YIELDS_youvert!K$1,0)</f>
        <v>1</v>
      </c>
      <c r="L97" cm="1">
        <f t="array" ref="L97">_xll.VALEURCOURBE($A$2,_xlfn.CONCAT("THEME14=",$B97),SCENARIOS!$A$2,SCENARIOS!$B$2,YIELDS_youvert!L$1,0)</f>
        <v>1</v>
      </c>
      <c r="M97" cm="1">
        <f t="array" ref="M97">_xll.VALEURCOURBE($A$2,_xlfn.CONCAT("THEME14=",$B97),SCENARIOS!$A$2,SCENARIOS!$B$2,YIELDS_youvert!M$1,0)</f>
        <v>1</v>
      </c>
      <c r="N97" cm="1">
        <f t="array" ref="N97">_xll.VALEURCOURBE($A$2,_xlfn.CONCAT("THEME14=",$B97),SCENARIOS!$A$2,SCENARIOS!$B$2,YIELDS_youvert!N$1,0)</f>
        <v>1</v>
      </c>
      <c r="O97" cm="1">
        <f t="array" ref="O97">_xll.VALEURCOURBE($A$2,_xlfn.CONCAT("THEME14=",$B97),SCENARIOS!$A$2,SCENARIOS!$B$2,YIELDS_youvert!O$1,0)</f>
        <v>1</v>
      </c>
      <c r="P97" cm="1">
        <f t="array" ref="P97">_xll.VALEURCOURBE($A$2,_xlfn.CONCAT("THEME14=",$B97),SCENARIOS!$A$2,SCENARIOS!$B$2,YIELDS_youvert!P$1,0)</f>
        <v>1</v>
      </c>
      <c r="Q97" cm="1">
        <f t="array" ref="Q97">_xll.VALEURCOURBE($A$2,_xlfn.CONCAT("THEME14=",$B97),SCENARIOS!$A$2,SCENARIOS!$B$2,YIELDS_youvert!Q$1,0)</f>
        <v>1</v>
      </c>
      <c r="R97" cm="1">
        <f t="array" ref="R97">_xll.VALEURCOURBE($A$2,_xlfn.CONCAT("THEME14=",$B97),SCENARIOS!$A$2,SCENARIOS!$B$2,YIELDS_youvert!R$1,0)</f>
        <v>1</v>
      </c>
      <c r="S97" cm="1">
        <f t="array" ref="S97">_xll.VALEURCOURBE($A$2,_xlfn.CONCAT("THEME14=",$B97),SCENARIOS!$A$2,SCENARIOS!$B$2,YIELDS_youvert!S$1,0)</f>
        <v>1</v>
      </c>
      <c r="T97" cm="1">
        <f t="array" ref="T97">_xll.VALEURCOURBE($A$2,_xlfn.CONCAT("THEME14=",$B97),SCENARIOS!$A$2,SCENARIOS!$B$2,YIELDS_youvert!T$1,0)</f>
        <v>1</v>
      </c>
      <c r="U97" cm="1">
        <f t="array" ref="U97">_xll.VALEURCOURBE($A$2,_xlfn.CONCAT("THEME14=",$B97),SCENARIOS!$A$2,SCENARIOS!$B$2,YIELDS_youvert!U$1,0)</f>
        <v>1</v>
      </c>
      <c r="V97" cm="1">
        <f t="array" ref="V97">_xll.VALEURCOURBE($A$2,_xlfn.CONCAT("THEME14=",$B97),SCENARIOS!$A$2,SCENARIOS!$B$2,YIELDS_youvert!V$1,0)</f>
        <v>1</v>
      </c>
      <c r="W97" cm="1">
        <f t="array" ref="W97">_xll.VALEURCOURBE($A$2,_xlfn.CONCAT("THEME14=",$B97),SCENARIOS!$A$2,SCENARIOS!$B$2,YIELDS_youvert!W$1,0)</f>
        <v>1</v>
      </c>
      <c r="X97" cm="1">
        <f t="array" ref="X97">_xll.VALEURCOURBE($A$2,_xlfn.CONCAT("THEME14=",$B97),SCENARIOS!$A$2,SCENARIOS!$B$2,YIELDS_youvert!X$1,0)</f>
        <v>1</v>
      </c>
      <c r="Y97" cm="1">
        <f t="array" ref="Y97">_xll.VALEURCOURBE($A$2,_xlfn.CONCAT("THEME14=",$B97),SCENARIOS!$A$2,SCENARIOS!$B$2,YIELDS_youvert!Y$1,0)</f>
        <v>1</v>
      </c>
      <c r="Z97" cm="1">
        <f t="array" ref="Z97">_xll.VALEURCOURBE($A$2,_xlfn.CONCAT("THEME14=",$B97),SCENARIOS!$A$2,SCENARIOS!$B$2,YIELDS_youvert!Z$1,0)</f>
        <v>1</v>
      </c>
      <c r="AA97" cm="1">
        <f t="array" ref="AA97">_xll.VALEURCOURBE($A$2,_xlfn.CONCAT("THEME14=",$B97),SCENARIOS!$A$2,SCENARIOS!$B$2,YIELDS_youvert!AA$1,0)</f>
        <v>1</v>
      </c>
      <c r="AB97" cm="1">
        <f t="array" ref="AB97">_xll.VALEURCOURBE($A$2,_xlfn.CONCAT("THEME14=",$B97),SCENARIOS!$A$2,SCENARIOS!$B$2,YIELDS_youvert!AB$1,0)</f>
        <v>1</v>
      </c>
      <c r="AC97" cm="1">
        <f t="array" ref="AC97">_xll.VALEURCOURBE($A$2,_xlfn.CONCAT("THEME14=",$B97),SCENARIOS!$A$2,SCENARIOS!$B$2,YIELDS_youvert!AC$1,0)</f>
        <v>1</v>
      </c>
      <c r="AD97" cm="1">
        <f t="array" ref="AD97">_xll.VALEURCOURBE($A$2,_xlfn.CONCAT("THEME14=",$B97),SCENARIOS!$A$2,SCENARIOS!$B$2,YIELDS_youvert!AD$1,0)</f>
        <v>1</v>
      </c>
      <c r="AE97" cm="1">
        <f t="array" ref="AE97">_xll.VALEURCOURBE($A$2,_xlfn.CONCAT("THEME14=",$B97),SCENARIOS!$A$2,SCENARIOS!$B$2,YIELDS_youvert!AE$1,0)</f>
        <v>1</v>
      </c>
    </row>
    <row r="98" spans="3:31" x14ac:dyDescent="0.25">
      <c r="C98" cm="1">
        <f t="array" ref="C98">_xll.VALEURCOURBE($A$2,_xlfn.CONCAT("THEME14=",$B98),SCENARIOS!$A$2,SCENARIOS!$B$2,YIELDS_youvert!C$1,0)</f>
        <v>1</v>
      </c>
      <c r="D98" cm="1">
        <f t="array" ref="D98">_xll.VALEURCOURBE($A$2,_xlfn.CONCAT("THEME14=",$B98),SCENARIOS!$A$2,SCENARIOS!$B$2,YIELDS_youvert!D$1,0)</f>
        <v>1</v>
      </c>
      <c r="E98" cm="1">
        <f t="array" ref="E98">_xll.VALEURCOURBE($A$2,_xlfn.CONCAT("THEME14=",$B98),SCENARIOS!$A$2,SCENARIOS!$B$2,YIELDS_youvert!E$1,0)</f>
        <v>1</v>
      </c>
      <c r="F98" cm="1">
        <f t="array" ref="F98">_xll.VALEURCOURBE($A$2,_xlfn.CONCAT("THEME14=",$B98),SCENARIOS!$A$2,SCENARIOS!$B$2,YIELDS_youvert!F$1,0)</f>
        <v>1</v>
      </c>
      <c r="G98" cm="1">
        <f t="array" ref="G98">_xll.VALEURCOURBE($A$2,_xlfn.CONCAT("THEME14=",$B98),SCENARIOS!$A$2,SCENARIOS!$B$2,YIELDS_youvert!G$1,0)</f>
        <v>1</v>
      </c>
      <c r="H98" cm="1">
        <f t="array" ref="H98">_xll.VALEURCOURBE($A$2,_xlfn.CONCAT("THEME14=",$B98),SCENARIOS!$A$2,SCENARIOS!$B$2,YIELDS_youvert!H$1,0)</f>
        <v>1</v>
      </c>
      <c r="I98" cm="1">
        <f t="array" ref="I98">_xll.VALEURCOURBE($A$2,_xlfn.CONCAT("THEME14=",$B98),SCENARIOS!$A$2,SCENARIOS!$B$2,YIELDS_youvert!I$1,0)</f>
        <v>1</v>
      </c>
      <c r="J98" cm="1">
        <f t="array" ref="J98">_xll.VALEURCOURBE($A$2,_xlfn.CONCAT("THEME14=",$B98),SCENARIOS!$A$2,SCENARIOS!$B$2,YIELDS_youvert!J$1,0)</f>
        <v>1</v>
      </c>
      <c r="K98" cm="1">
        <f t="array" ref="K98">_xll.VALEURCOURBE($A$2,_xlfn.CONCAT("THEME14=",$B98),SCENARIOS!$A$2,SCENARIOS!$B$2,YIELDS_youvert!K$1,0)</f>
        <v>1</v>
      </c>
      <c r="L98" cm="1">
        <f t="array" ref="L98">_xll.VALEURCOURBE($A$2,_xlfn.CONCAT("THEME14=",$B98),SCENARIOS!$A$2,SCENARIOS!$B$2,YIELDS_youvert!L$1,0)</f>
        <v>1</v>
      </c>
      <c r="M98" cm="1">
        <f t="array" ref="M98">_xll.VALEURCOURBE($A$2,_xlfn.CONCAT("THEME14=",$B98),SCENARIOS!$A$2,SCENARIOS!$B$2,YIELDS_youvert!M$1,0)</f>
        <v>1</v>
      </c>
      <c r="N98" cm="1">
        <f t="array" ref="N98">_xll.VALEURCOURBE($A$2,_xlfn.CONCAT("THEME14=",$B98),SCENARIOS!$A$2,SCENARIOS!$B$2,YIELDS_youvert!N$1,0)</f>
        <v>1</v>
      </c>
      <c r="O98" cm="1">
        <f t="array" ref="O98">_xll.VALEURCOURBE($A$2,_xlfn.CONCAT("THEME14=",$B98),SCENARIOS!$A$2,SCENARIOS!$B$2,YIELDS_youvert!O$1,0)</f>
        <v>1</v>
      </c>
      <c r="P98" cm="1">
        <f t="array" ref="P98">_xll.VALEURCOURBE($A$2,_xlfn.CONCAT("THEME14=",$B98),SCENARIOS!$A$2,SCENARIOS!$B$2,YIELDS_youvert!P$1,0)</f>
        <v>1</v>
      </c>
      <c r="Q98" cm="1">
        <f t="array" ref="Q98">_xll.VALEURCOURBE($A$2,_xlfn.CONCAT("THEME14=",$B98),SCENARIOS!$A$2,SCENARIOS!$B$2,YIELDS_youvert!Q$1,0)</f>
        <v>1</v>
      </c>
      <c r="R98" cm="1">
        <f t="array" ref="R98">_xll.VALEURCOURBE($A$2,_xlfn.CONCAT("THEME14=",$B98),SCENARIOS!$A$2,SCENARIOS!$B$2,YIELDS_youvert!R$1,0)</f>
        <v>1</v>
      </c>
      <c r="S98" cm="1">
        <f t="array" ref="S98">_xll.VALEURCOURBE($A$2,_xlfn.CONCAT("THEME14=",$B98),SCENARIOS!$A$2,SCENARIOS!$B$2,YIELDS_youvert!S$1,0)</f>
        <v>1</v>
      </c>
      <c r="T98" cm="1">
        <f t="array" ref="T98">_xll.VALEURCOURBE($A$2,_xlfn.CONCAT("THEME14=",$B98),SCENARIOS!$A$2,SCENARIOS!$B$2,YIELDS_youvert!T$1,0)</f>
        <v>1</v>
      </c>
      <c r="U98" cm="1">
        <f t="array" ref="U98">_xll.VALEURCOURBE($A$2,_xlfn.CONCAT("THEME14=",$B98),SCENARIOS!$A$2,SCENARIOS!$B$2,YIELDS_youvert!U$1,0)</f>
        <v>1</v>
      </c>
      <c r="V98" cm="1">
        <f t="array" ref="V98">_xll.VALEURCOURBE($A$2,_xlfn.CONCAT("THEME14=",$B98),SCENARIOS!$A$2,SCENARIOS!$B$2,YIELDS_youvert!V$1,0)</f>
        <v>1</v>
      </c>
      <c r="W98" cm="1">
        <f t="array" ref="W98">_xll.VALEURCOURBE($A$2,_xlfn.CONCAT("THEME14=",$B98),SCENARIOS!$A$2,SCENARIOS!$B$2,YIELDS_youvert!W$1,0)</f>
        <v>1</v>
      </c>
      <c r="X98" cm="1">
        <f t="array" ref="X98">_xll.VALEURCOURBE($A$2,_xlfn.CONCAT("THEME14=",$B98),SCENARIOS!$A$2,SCENARIOS!$B$2,YIELDS_youvert!X$1,0)</f>
        <v>1</v>
      </c>
      <c r="Y98" cm="1">
        <f t="array" ref="Y98">_xll.VALEURCOURBE($A$2,_xlfn.CONCAT("THEME14=",$B98),SCENARIOS!$A$2,SCENARIOS!$B$2,YIELDS_youvert!Y$1,0)</f>
        <v>1</v>
      </c>
      <c r="Z98" cm="1">
        <f t="array" ref="Z98">_xll.VALEURCOURBE($A$2,_xlfn.CONCAT("THEME14=",$B98),SCENARIOS!$A$2,SCENARIOS!$B$2,YIELDS_youvert!Z$1,0)</f>
        <v>1</v>
      </c>
      <c r="AA98" cm="1">
        <f t="array" ref="AA98">_xll.VALEURCOURBE($A$2,_xlfn.CONCAT("THEME14=",$B98),SCENARIOS!$A$2,SCENARIOS!$B$2,YIELDS_youvert!AA$1,0)</f>
        <v>1</v>
      </c>
      <c r="AB98" cm="1">
        <f t="array" ref="AB98">_xll.VALEURCOURBE($A$2,_xlfn.CONCAT("THEME14=",$B98),SCENARIOS!$A$2,SCENARIOS!$B$2,YIELDS_youvert!AB$1,0)</f>
        <v>1</v>
      </c>
      <c r="AC98" cm="1">
        <f t="array" ref="AC98">_xll.VALEURCOURBE($A$2,_xlfn.CONCAT("THEME14=",$B98),SCENARIOS!$A$2,SCENARIOS!$B$2,YIELDS_youvert!AC$1,0)</f>
        <v>1</v>
      </c>
      <c r="AD98" cm="1">
        <f t="array" ref="AD98">_xll.VALEURCOURBE($A$2,_xlfn.CONCAT("THEME14=",$B98),SCENARIOS!$A$2,SCENARIOS!$B$2,YIELDS_youvert!AD$1,0)</f>
        <v>1</v>
      </c>
      <c r="AE98" cm="1">
        <f t="array" ref="AE98">_xll.VALEURCOURBE($A$2,_xlfn.CONCAT("THEME14=",$B98),SCENARIOS!$A$2,SCENARIOS!$B$2,YIELDS_youvert!AE$1,0)</f>
        <v>1</v>
      </c>
    </row>
    <row r="99" spans="3:31" x14ac:dyDescent="0.25">
      <c r="C99" cm="1">
        <f t="array" ref="C99">_xll.VALEURCOURBE($A$2,_xlfn.CONCAT("THEME14=",$B99),SCENARIOS!$A$2,SCENARIOS!$B$2,YIELDS_youvert!C$1,0)</f>
        <v>1</v>
      </c>
      <c r="D99" cm="1">
        <f t="array" ref="D99">_xll.VALEURCOURBE($A$2,_xlfn.CONCAT("THEME14=",$B99),SCENARIOS!$A$2,SCENARIOS!$B$2,YIELDS_youvert!D$1,0)</f>
        <v>1</v>
      </c>
      <c r="E99" cm="1">
        <f t="array" ref="E99">_xll.VALEURCOURBE($A$2,_xlfn.CONCAT("THEME14=",$B99),SCENARIOS!$A$2,SCENARIOS!$B$2,YIELDS_youvert!E$1,0)</f>
        <v>1</v>
      </c>
      <c r="F99" cm="1">
        <f t="array" ref="F99">_xll.VALEURCOURBE($A$2,_xlfn.CONCAT("THEME14=",$B99),SCENARIOS!$A$2,SCENARIOS!$B$2,YIELDS_youvert!F$1,0)</f>
        <v>1</v>
      </c>
      <c r="G99" cm="1">
        <f t="array" ref="G99">_xll.VALEURCOURBE($A$2,_xlfn.CONCAT("THEME14=",$B99),SCENARIOS!$A$2,SCENARIOS!$B$2,YIELDS_youvert!G$1,0)</f>
        <v>1</v>
      </c>
      <c r="H99" cm="1">
        <f t="array" ref="H99">_xll.VALEURCOURBE($A$2,_xlfn.CONCAT("THEME14=",$B99),SCENARIOS!$A$2,SCENARIOS!$B$2,YIELDS_youvert!H$1,0)</f>
        <v>1</v>
      </c>
      <c r="I99" cm="1">
        <f t="array" ref="I99">_xll.VALEURCOURBE($A$2,_xlfn.CONCAT("THEME14=",$B99),SCENARIOS!$A$2,SCENARIOS!$B$2,YIELDS_youvert!I$1,0)</f>
        <v>1</v>
      </c>
      <c r="J99" cm="1">
        <f t="array" ref="J99">_xll.VALEURCOURBE($A$2,_xlfn.CONCAT("THEME14=",$B99),SCENARIOS!$A$2,SCENARIOS!$B$2,YIELDS_youvert!J$1,0)</f>
        <v>1</v>
      </c>
      <c r="K99" cm="1">
        <f t="array" ref="K99">_xll.VALEURCOURBE($A$2,_xlfn.CONCAT("THEME14=",$B99),SCENARIOS!$A$2,SCENARIOS!$B$2,YIELDS_youvert!K$1,0)</f>
        <v>1</v>
      </c>
      <c r="L99" cm="1">
        <f t="array" ref="L99">_xll.VALEURCOURBE($A$2,_xlfn.CONCAT("THEME14=",$B99),SCENARIOS!$A$2,SCENARIOS!$B$2,YIELDS_youvert!L$1,0)</f>
        <v>1</v>
      </c>
      <c r="M99" cm="1">
        <f t="array" ref="M99">_xll.VALEURCOURBE($A$2,_xlfn.CONCAT("THEME14=",$B99),SCENARIOS!$A$2,SCENARIOS!$B$2,YIELDS_youvert!M$1,0)</f>
        <v>1</v>
      </c>
      <c r="N99" cm="1">
        <f t="array" ref="N99">_xll.VALEURCOURBE($A$2,_xlfn.CONCAT("THEME14=",$B99),SCENARIOS!$A$2,SCENARIOS!$B$2,YIELDS_youvert!N$1,0)</f>
        <v>1</v>
      </c>
      <c r="O99" cm="1">
        <f t="array" ref="O99">_xll.VALEURCOURBE($A$2,_xlfn.CONCAT("THEME14=",$B99),SCENARIOS!$A$2,SCENARIOS!$B$2,YIELDS_youvert!O$1,0)</f>
        <v>1</v>
      </c>
      <c r="P99" cm="1">
        <f t="array" ref="P99">_xll.VALEURCOURBE($A$2,_xlfn.CONCAT("THEME14=",$B99),SCENARIOS!$A$2,SCENARIOS!$B$2,YIELDS_youvert!P$1,0)</f>
        <v>1</v>
      </c>
      <c r="Q99" cm="1">
        <f t="array" ref="Q99">_xll.VALEURCOURBE($A$2,_xlfn.CONCAT("THEME14=",$B99),SCENARIOS!$A$2,SCENARIOS!$B$2,YIELDS_youvert!Q$1,0)</f>
        <v>1</v>
      </c>
      <c r="R99" cm="1">
        <f t="array" ref="R99">_xll.VALEURCOURBE($A$2,_xlfn.CONCAT("THEME14=",$B99),SCENARIOS!$A$2,SCENARIOS!$B$2,YIELDS_youvert!R$1,0)</f>
        <v>1</v>
      </c>
      <c r="S99" cm="1">
        <f t="array" ref="S99">_xll.VALEURCOURBE($A$2,_xlfn.CONCAT("THEME14=",$B99),SCENARIOS!$A$2,SCENARIOS!$B$2,YIELDS_youvert!S$1,0)</f>
        <v>1</v>
      </c>
      <c r="T99" cm="1">
        <f t="array" ref="T99">_xll.VALEURCOURBE($A$2,_xlfn.CONCAT("THEME14=",$B99),SCENARIOS!$A$2,SCENARIOS!$B$2,YIELDS_youvert!T$1,0)</f>
        <v>1</v>
      </c>
      <c r="U99" cm="1">
        <f t="array" ref="U99">_xll.VALEURCOURBE($A$2,_xlfn.CONCAT("THEME14=",$B99),SCENARIOS!$A$2,SCENARIOS!$B$2,YIELDS_youvert!U$1,0)</f>
        <v>1</v>
      </c>
      <c r="V99" cm="1">
        <f t="array" ref="V99">_xll.VALEURCOURBE($A$2,_xlfn.CONCAT("THEME14=",$B99),SCENARIOS!$A$2,SCENARIOS!$B$2,YIELDS_youvert!V$1,0)</f>
        <v>1</v>
      </c>
      <c r="W99" cm="1">
        <f t="array" ref="W99">_xll.VALEURCOURBE($A$2,_xlfn.CONCAT("THEME14=",$B99),SCENARIOS!$A$2,SCENARIOS!$B$2,YIELDS_youvert!W$1,0)</f>
        <v>1</v>
      </c>
      <c r="X99" cm="1">
        <f t="array" ref="X99">_xll.VALEURCOURBE($A$2,_xlfn.CONCAT("THEME14=",$B99),SCENARIOS!$A$2,SCENARIOS!$B$2,YIELDS_youvert!X$1,0)</f>
        <v>1</v>
      </c>
      <c r="Y99" cm="1">
        <f t="array" ref="Y99">_xll.VALEURCOURBE($A$2,_xlfn.CONCAT("THEME14=",$B99),SCENARIOS!$A$2,SCENARIOS!$B$2,YIELDS_youvert!Y$1,0)</f>
        <v>1</v>
      </c>
      <c r="Z99" cm="1">
        <f t="array" ref="Z99">_xll.VALEURCOURBE($A$2,_xlfn.CONCAT("THEME14=",$B99),SCENARIOS!$A$2,SCENARIOS!$B$2,YIELDS_youvert!Z$1,0)</f>
        <v>1</v>
      </c>
      <c r="AA99" cm="1">
        <f t="array" ref="AA99">_xll.VALEURCOURBE($A$2,_xlfn.CONCAT("THEME14=",$B99),SCENARIOS!$A$2,SCENARIOS!$B$2,YIELDS_youvert!AA$1,0)</f>
        <v>1</v>
      </c>
      <c r="AB99" cm="1">
        <f t="array" ref="AB99">_xll.VALEURCOURBE($A$2,_xlfn.CONCAT("THEME14=",$B99),SCENARIOS!$A$2,SCENARIOS!$B$2,YIELDS_youvert!AB$1,0)</f>
        <v>1</v>
      </c>
      <c r="AC99" cm="1">
        <f t="array" ref="AC99">_xll.VALEURCOURBE($A$2,_xlfn.CONCAT("THEME14=",$B99),SCENARIOS!$A$2,SCENARIOS!$B$2,YIELDS_youvert!AC$1,0)</f>
        <v>1</v>
      </c>
      <c r="AD99" cm="1">
        <f t="array" ref="AD99">_xll.VALEURCOURBE($A$2,_xlfn.CONCAT("THEME14=",$B99),SCENARIOS!$A$2,SCENARIOS!$B$2,YIELDS_youvert!AD$1,0)</f>
        <v>1</v>
      </c>
      <c r="AE99" cm="1">
        <f t="array" ref="AE99">_xll.VALEURCOURBE($A$2,_xlfn.CONCAT("THEME14=",$B99),SCENARIOS!$A$2,SCENARIOS!$B$2,YIELDS_youvert!AE$1,0)</f>
        <v>1</v>
      </c>
    </row>
    <row r="100" spans="3:31" x14ac:dyDescent="0.25">
      <c r="C100" cm="1">
        <f t="array" ref="C100">_xll.VALEURCOURBE($A$2,_xlfn.CONCAT("THEME14=",$B100),SCENARIOS!$A$2,SCENARIOS!$B$2,YIELDS_youvert!C$1,0)</f>
        <v>1</v>
      </c>
      <c r="D100" cm="1">
        <f t="array" ref="D100">_xll.VALEURCOURBE($A$2,_xlfn.CONCAT("THEME14=",$B100),SCENARIOS!$A$2,SCENARIOS!$B$2,YIELDS_youvert!D$1,0)</f>
        <v>1</v>
      </c>
      <c r="E100" cm="1">
        <f t="array" ref="E100">_xll.VALEURCOURBE($A$2,_xlfn.CONCAT("THEME14=",$B100),SCENARIOS!$A$2,SCENARIOS!$B$2,YIELDS_youvert!E$1,0)</f>
        <v>1</v>
      </c>
      <c r="F100" cm="1">
        <f t="array" ref="F100">_xll.VALEURCOURBE($A$2,_xlfn.CONCAT("THEME14=",$B100),SCENARIOS!$A$2,SCENARIOS!$B$2,YIELDS_youvert!F$1,0)</f>
        <v>1</v>
      </c>
      <c r="G100" cm="1">
        <f t="array" ref="G100">_xll.VALEURCOURBE($A$2,_xlfn.CONCAT("THEME14=",$B100),SCENARIOS!$A$2,SCENARIOS!$B$2,YIELDS_youvert!G$1,0)</f>
        <v>1</v>
      </c>
      <c r="H100" cm="1">
        <f t="array" ref="H100">_xll.VALEURCOURBE($A$2,_xlfn.CONCAT("THEME14=",$B100),SCENARIOS!$A$2,SCENARIOS!$B$2,YIELDS_youvert!H$1,0)</f>
        <v>1</v>
      </c>
      <c r="I100" cm="1">
        <f t="array" ref="I100">_xll.VALEURCOURBE($A$2,_xlfn.CONCAT("THEME14=",$B100),SCENARIOS!$A$2,SCENARIOS!$B$2,YIELDS_youvert!I$1,0)</f>
        <v>1</v>
      </c>
      <c r="J100" cm="1">
        <f t="array" ref="J100">_xll.VALEURCOURBE($A$2,_xlfn.CONCAT("THEME14=",$B100),SCENARIOS!$A$2,SCENARIOS!$B$2,YIELDS_youvert!J$1,0)</f>
        <v>1</v>
      </c>
      <c r="K100" cm="1">
        <f t="array" ref="K100">_xll.VALEURCOURBE($A$2,_xlfn.CONCAT("THEME14=",$B100),SCENARIOS!$A$2,SCENARIOS!$B$2,YIELDS_youvert!K$1,0)</f>
        <v>1</v>
      </c>
      <c r="L100" cm="1">
        <f t="array" ref="L100">_xll.VALEURCOURBE($A$2,_xlfn.CONCAT("THEME14=",$B100),SCENARIOS!$A$2,SCENARIOS!$B$2,YIELDS_youvert!L$1,0)</f>
        <v>1</v>
      </c>
      <c r="M100" cm="1">
        <f t="array" ref="M100">_xll.VALEURCOURBE($A$2,_xlfn.CONCAT("THEME14=",$B100),SCENARIOS!$A$2,SCENARIOS!$B$2,YIELDS_youvert!M$1,0)</f>
        <v>1</v>
      </c>
      <c r="N100" cm="1">
        <f t="array" ref="N100">_xll.VALEURCOURBE($A$2,_xlfn.CONCAT("THEME14=",$B100),SCENARIOS!$A$2,SCENARIOS!$B$2,YIELDS_youvert!N$1,0)</f>
        <v>1</v>
      </c>
      <c r="O100" cm="1">
        <f t="array" ref="O100">_xll.VALEURCOURBE($A$2,_xlfn.CONCAT("THEME14=",$B100),SCENARIOS!$A$2,SCENARIOS!$B$2,YIELDS_youvert!O$1,0)</f>
        <v>1</v>
      </c>
      <c r="P100" cm="1">
        <f t="array" ref="P100">_xll.VALEURCOURBE($A$2,_xlfn.CONCAT("THEME14=",$B100),SCENARIOS!$A$2,SCENARIOS!$B$2,YIELDS_youvert!P$1,0)</f>
        <v>1</v>
      </c>
      <c r="Q100" cm="1">
        <f t="array" ref="Q100">_xll.VALEURCOURBE($A$2,_xlfn.CONCAT("THEME14=",$B100),SCENARIOS!$A$2,SCENARIOS!$B$2,YIELDS_youvert!Q$1,0)</f>
        <v>1</v>
      </c>
      <c r="R100" cm="1">
        <f t="array" ref="R100">_xll.VALEURCOURBE($A$2,_xlfn.CONCAT("THEME14=",$B100),SCENARIOS!$A$2,SCENARIOS!$B$2,YIELDS_youvert!R$1,0)</f>
        <v>1</v>
      </c>
      <c r="S100" cm="1">
        <f t="array" ref="S100">_xll.VALEURCOURBE($A$2,_xlfn.CONCAT("THEME14=",$B100),SCENARIOS!$A$2,SCENARIOS!$B$2,YIELDS_youvert!S$1,0)</f>
        <v>1</v>
      </c>
      <c r="T100" cm="1">
        <f t="array" ref="T100">_xll.VALEURCOURBE($A$2,_xlfn.CONCAT("THEME14=",$B100),SCENARIOS!$A$2,SCENARIOS!$B$2,YIELDS_youvert!T$1,0)</f>
        <v>1</v>
      </c>
      <c r="U100" cm="1">
        <f t="array" ref="U100">_xll.VALEURCOURBE($A$2,_xlfn.CONCAT("THEME14=",$B100),SCENARIOS!$A$2,SCENARIOS!$B$2,YIELDS_youvert!U$1,0)</f>
        <v>1</v>
      </c>
      <c r="V100" cm="1">
        <f t="array" ref="V100">_xll.VALEURCOURBE($A$2,_xlfn.CONCAT("THEME14=",$B100),SCENARIOS!$A$2,SCENARIOS!$B$2,YIELDS_youvert!V$1,0)</f>
        <v>1</v>
      </c>
      <c r="W100" cm="1">
        <f t="array" ref="W100">_xll.VALEURCOURBE($A$2,_xlfn.CONCAT("THEME14=",$B100),SCENARIOS!$A$2,SCENARIOS!$B$2,YIELDS_youvert!W$1,0)</f>
        <v>1</v>
      </c>
      <c r="X100" cm="1">
        <f t="array" ref="X100">_xll.VALEURCOURBE($A$2,_xlfn.CONCAT("THEME14=",$B100),SCENARIOS!$A$2,SCENARIOS!$B$2,YIELDS_youvert!X$1,0)</f>
        <v>1</v>
      </c>
      <c r="Y100" cm="1">
        <f t="array" ref="Y100">_xll.VALEURCOURBE($A$2,_xlfn.CONCAT("THEME14=",$B100),SCENARIOS!$A$2,SCENARIOS!$B$2,YIELDS_youvert!Y$1,0)</f>
        <v>1</v>
      </c>
      <c r="Z100" cm="1">
        <f t="array" ref="Z100">_xll.VALEURCOURBE($A$2,_xlfn.CONCAT("THEME14=",$B100),SCENARIOS!$A$2,SCENARIOS!$B$2,YIELDS_youvert!Z$1,0)</f>
        <v>1</v>
      </c>
      <c r="AA100" cm="1">
        <f t="array" ref="AA100">_xll.VALEURCOURBE($A$2,_xlfn.CONCAT("THEME14=",$B100),SCENARIOS!$A$2,SCENARIOS!$B$2,YIELDS_youvert!AA$1,0)</f>
        <v>1</v>
      </c>
      <c r="AB100" cm="1">
        <f t="array" ref="AB100">_xll.VALEURCOURBE($A$2,_xlfn.CONCAT("THEME14=",$B100),SCENARIOS!$A$2,SCENARIOS!$B$2,YIELDS_youvert!AB$1,0)</f>
        <v>1</v>
      </c>
      <c r="AC100" cm="1">
        <f t="array" ref="AC100">_xll.VALEURCOURBE($A$2,_xlfn.CONCAT("THEME14=",$B100),SCENARIOS!$A$2,SCENARIOS!$B$2,YIELDS_youvert!AC$1,0)</f>
        <v>1</v>
      </c>
      <c r="AD100" cm="1">
        <f t="array" ref="AD100">_xll.VALEURCOURBE($A$2,_xlfn.CONCAT("THEME14=",$B100),SCENARIOS!$A$2,SCENARIOS!$B$2,YIELDS_youvert!AD$1,0)</f>
        <v>1</v>
      </c>
      <c r="AE100" cm="1">
        <f t="array" ref="AE100">_xll.VALEURCOURBE($A$2,_xlfn.CONCAT("THEME14=",$B100),SCENARIOS!$A$2,SCENARIOS!$B$2,YIELDS_youvert!AE$1,0)</f>
        <v>1</v>
      </c>
    </row>
    <row r="101" spans="3:31" x14ac:dyDescent="0.25">
      <c r="C101" cm="1">
        <f t="array" ref="C101">_xll.VALEURCOURBE($A$2,_xlfn.CONCAT("THEME14=",$B101),SCENARIOS!$A$2,SCENARIOS!$B$2,YIELDS_youvert!C$1,0)</f>
        <v>1</v>
      </c>
      <c r="D101" cm="1">
        <f t="array" ref="D101">_xll.VALEURCOURBE($A$2,_xlfn.CONCAT("THEME14=",$B101),SCENARIOS!$A$2,SCENARIOS!$B$2,YIELDS_youvert!D$1,0)</f>
        <v>1</v>
      </c>
      <c r="E101" cm="1">
        <f t="array" ref="E101">_xll.VALEURCOURBE($A$2,_xlfn.CONCAT("THEME14=",$B101),SCENARIOS!$A$2,SCENARIOS!$B$2,YIELDS_youvert!E$1,0)</f>
        <v>1</v>
      </c>
      <c r="F101" cm="1">
        <f t="array" ref="F101">_xll.VALEURCOURBE($A$2,_xlfn.CONCAT("THEME14=",$B101),SCENARIOS!$A$2,SCENARIOS!$B$2,YIELDS_youvert!F$1,0)</f>
        <v>1</v>
      </c>
      <c r="G101" cm="1">
        <f t="array" ref="G101">_xll.VALEURCOURBE($A$2,_xlfn.CONCAT("THEME14=",$B101),SCENARIOS!$A$2,SCENARIOS!$B$2,YIELDS_youvert!G$1,0)</f>
        <v>1</v>
      </c>
      <c r="H101" cm="1">
        <f t="array" ref="H101">_xll.VALEURCOURBE($A$2,_xlfn.CONCAT("THEME14=",$B101),SCENARIOS!$A$2,SCENARIOS!$B$2,YIELDS_youvert!H$1,0)</f>
        <v>1</v>
      </c>
      <c r="I101" cm="1">
        <f t="array" ref="I101">_xll.VALEURCOURBE($A$2,_xlfn.CONCAT("THEME14=",$B101),SCENARIOS!$A$2,SCENARIOS!$B$2,YIELDS_youvert!I$1,0)</f>
        <v>1</v>
      </c>
      <c r="J101" cm="1">
        <f t="array" ref="J101">_xll.VALEURCOURBE($A$2,_xlfn.CONCAT("THEME14=",$B101),SCENARIOS!$A$2,SCENARIOS!$B$2,YIELDS_youvert!J$1,0)</f>
        <v>1</v>
      </c>
      <c r="K101" cm="1">
        <f t="array" ref="K101">_xll.VALEURCOURBE($A$2,_xlfn.CONCAT("THEME14=",$B101),SCENARIOS!$A$2,SCENARIOS!$B$2,YIELDS_youvert!K$1,0)</f>
        <v>1</v>
      </c>
      <c r="L101" cm="1">
        <f t="array" ref="L101">_xll.VALEURCOURBE($A$2,_xlfn.CONCAT("THEME14=",$B101),SCENARIOS!$A$2,SCENARIOS!$B$2,YIELDS_youvert!L$1,0)</f>
        <v>1</v>
      </c>
      <c r="M101" cm="1">
        <f t="array" ref="M101">_xll.VALEURCOURBE($A$2,_xlfn.CONCAT("THEME14=",$B101),SCENARIOS!$A$2,SCENARIOS!$B$2,YIELDS_youvert!M$1,0)</f>
        <v>1</v>
      </c>
      <c r="N101" cm="1">
        <f t="array" ref="N101">_xll.VALEURCOURBE($A$2,_xlfn.CONCAT("THEME14=",$B101),SCENARIOS!$A$2,SCENARIOS!$B$2,YIELDS_youvert!N$1,0)</f>
        <v>1</v>
      </c>
      <c r="O101" cm="1">
        <f t="array" ref="O101">_xll.VALEURCOURBE($A$2,_xlfn.CONCAT("THEME14=",$B101),SCENARIOS!$A$2,SCENARIOS!$B$2,YIELDS_youvert!O$1,0)</f>
        <v>1</v>
      </c>
      <c r="P101" cm="1">
        <f t="array" ref="P101">_xll.VALEURCOURBE($A$2,_xlfn.CONCAT("THEME14=",$B101),SCENARIOS!$A$2,SCENARIOS!$B$2,YIELDS_youvert!P$1,0)</f>
        <v>1</v>
      </c>
      <c r="Q101" cm="1">
        <f t="array" ref="Q101">_xll.VALEURCOURBE($A$2,_xlfn.CONCAT("THEME14=",$B101),SCENARIOS!$A$2,SCENARIOS!$B$2,YIELDS_youvert!Q$1,0)</f>
        <v>1</v>
      </c>
      <c r="R101" cm="1">
        <f t="array" ref="R101">_xll.VALEURCOURBE($A$2,_xlfn.CONCAT("THEME14=",$B101),SCENARIOS!$A$2,SCENARIOS!$B$2,YIELDS_youvert!R$1,0)</f>
        <v>1</v>
      </c>
      <c r="S101" cm="1">
        <f t="array" ref="S101">_xll.VALEURCOURBE($A$2,_xlfn.CONCAT("THEME14=",$B101),SCENARIOS!$A$2,SCENARIOS!$B$2,YIELDS_youvert!S$1,0)</f>
        <v>1</v>
      </c>
      <c r="T101" cm="1">
        <f t="array" ref="T101">_xll.VALEURCOURBE($A$2,_xlfn.CONCAT("THEME14=",$B101),SCENARIOS!$A$2,SCENARIOS!$B$2,YIELDS_youvert!T$1,0)</f>
        <v>1</v>
      </c>
      <c r="U101" cm="1">
        <f t="array" ref="U101">_xll.VALEURCOURBE($A$2,_xlfn.CONCAT("THEME14=",$B101),SCENARIOS!$A$2,SCENARIOS!$B$2,YIELDS_youvert!U$1,0)</f>
        <v>1</v>
      </c>
      <c r="V101" cm="1">
        <f t="array" ref="V101">_xll.VALEURCOURBE($A$2,_xlfn.CONCAT("THEME14=",$B101),SCENARIOS!$A$2,SCENARIOS!$B$2,YIELDS_youvert!V$1,0)</f>
        <v>1</v>
      </c>
      <c r="W101" cm="1">
        <f t="array" ref="W101">_xll.VALEURCOURBE($A$2,_xlfn.CONCAT("THEME14=",$B101),SCENARIOS!$A$2,SCENARIOS!$B$2,YIELDS_youvert!W$1,0)</f>
        <v>1</v>
      </c>
      <c r="X101" cm="1">
        <f t="array" ref="X101">_xll.VALEURCOURBE($A$2,_xlfn.CONCAT("THEME14=",$B101),SCENARIOS!$A$2,SCENARIOS!$B$2,YIELDS_youvert!X$1,0)</f>
        <v>1</v>
      </c>
      <c r="Y101" cm="1">
        <f t="array" ref="Y101">_xll.VALEURCOURBE($A$2,_xlfn.CONCAT("THEME14=",$B101),SCENARIOS!$A$2,SCENARIOS!$B$2,YIELDS_youvert!Y$1,0)</f>
        <v>1</v>
      </c>
      <c r="Z101" cm="1">
        <f t="array" ref="Z101">_xll.VALEURCOURBE($A$2,_xlfn.CONCAT("THEME14=",$B101),SCENARIOS!$A$2,SCENARIOS!$B$2,YIELDS_youvert!Z$1,0)</f>
        <v>1</v>
      </c>
      <c r="AA101" cm="1">
        <f t="array" ref="AA101">_xll.VALEURCOURBE($A$2,_xlfn.CONCAT("THEME14=",$B101),SCENARIOS!$A$2,SCENARIOS!$B$2,YIELDS_youvert!AA$1,0)</f>
        <v>1</v>
      </c>
      <c r="AB101" cm="1">
        <f t="array" ref="AB101">_xll.VALEURCOURBE($A$2,_xlfn.CONCAT("THEME14=",$B101),SCENARIOS!$A$2,SCENARIOS!$B$2,YIELDS_youvert!AB$1,0)</f>
        <v>1</v>
      </c>
      <c r="AC101" cm="1">
        <f t="array" ref="AC101">_xll.VALEURCOURBE($A$2,_xlfn.CONCAT("THEME14=",$B101),SCENARIOS!$A$2,SCENARIOS!$B$2,YIELDS_youvert!AC$1,0)</f>
        <v>1</v>
      </c>
      <c r="AD101" cm="1">
        <f t="array" ref="AD101">_xll.VALEURCOURBE($A$2,_xlfn.CONCAT("THEME14=",$B101),SCENARIOS!$A$2,SCENARIOS!$B$2,YIELDS_youvert!AD$1,0)</f>
        <v>1</v>
      </c>
      <c r="AE101" cm="1">
        <f t="array" ref="AE101">_xll.VALEURCOURBE($A$2,_xlfn.CONCAT("THEME14=",$B101),SCENARIOS!$A$2,SCENARIOS!$B$2,YIELDS_youvert!AE$1,0)</f>
        <v>1</v>
      </c>
    </row>
    <row r="102" spans="3:31" x14ac:dyDescent="0.25">
      <c r="C102" cm="1">
        <f t="array" ref="C102">_xll.VALEURCOURBE($A$2,_xlfn.CONCAT("THEME14=",$B102),SCENARIOS!$A$2,SCENARIOS!$B$2,YIELDS_youvert!C$1,0)</f>
        <v>1</v>
      </c>
      <c r="D102" cm="1">
        <f t="array" ref="D102">_xll.VALEURCOURBE($A$2,_xlfn.CONCAT("THEME14=",$B102),SCENARIOS!$A$2,SCENARIOS!$B$2,YIELDS_youvert!D$1,0)</f>
        <v>1</v>
      </c>
      <c r="E102" cm="1">
        <f t="array" ref="E102">_xll.VALEURCOURBE($A$2,_xlfn.CONCAT("THEME14=",$B102),SCENARIOS!$A$2,SCENARIOS!$B$2,YIELDS_youvert!E$1,0)</f>
        <v>1</v>
      </c>
      <c r="F102" cm="1">
        <f t="array" ref="F102">_xll.VALEURCOURBE($A$2,_xlfn.CONCAT("THEME14=",$B102),SCENARIOS!$A$2,SCENARIOS!$B$2,YIELDS_youvert!F$1,0)</f>
        <v>1</v>
      </c>
      <c r="G102" cm="1">
        <f t="array" ref="G102">_xll.VALEURCOURBE($A$2,_xlfn.CONCAT("THEME14=",$B102),SCENARIOS!$A$2,SCENARIOS!$B$2,YIELDS_youvert!G$1,0)</f>
        <v>1</v>
      </c>
      <c r="H102" cm="1">
        <f t="array" ref="H102">_xll.VALEURCOURBE($A$2,_xlfn.CONCAT("THEME14=",$B102),SCENARIOS!$A$2,SCENARIOS!$B$2,YIELDS_youvert!H$1,0)</f>
        <v>1</v>
      </c>
      <c r="I102" cm="1">
        <f t="array" ref="I102">_xll.VALEURCOURBE($A$2,_xlfn.CONCAT("THEME14=",$B102),SCENARIOS!$A$2,SCENARIOS!$B$2,YIELDS_youvert!I$1,0)</f>
        <v>1</v>
      </c>
      <c r="J102" cm="1">
        <f t="array" ref="J102">_xll.VALEURCOURBE($A$2,_xlfn.CONCAT("THEME14=",$B102),SCENARIOS!$A$2,SCENARIOS!$B$2,YIELDS_youvert!J$1,0)</f>
        <v>1</v>
      </c>
      <c r="K102" cm="1">
        <f t="array" ref="K102">_xll.VALEURCOURBE($A$2,_xlfn.CONCAT("THEME14=",$B102),SCENARIOS!$A$2,SCENARIOS!$B$2,YIELDS_youvert!K$1,0)</f>
        <v>1</v>
      </c>
      <c r="L102" cm="1">
        <f t="array" ref="L102">_xll.VALEURCOURBE($A$2,_xlfn.CONCAT("THEME14=",$B102),SCENARIOS!$A$2,SCENARIOS!$B$2,YIELDS_youvert!L$1,0)</f>
        <v>1</v>
      </c>
      <c r="M102" cm="1">
        <f t="array" ref="M102">_xll.VALEURCOURBE($A$2,_xlfn.CONCAT("THEME14=",$B102),SCENARIOS!$A$2,SCENARIOS!$B$2,YIELDS_youvert!M$1,0)</f>
        <v>1</v>
      </c>
      <c r="N102" cm="1">
        <f t="array" ref="N102">_xll.VALEURCOURBE($A$2,_xlfn.CONCAT("THEME14=",$B102),SCENARIOS!$A$2,SCENARIOS!$B$2,YIELDS_youvert!N$1,0)</f>
        <v>1</v>
      </c>
      <c r="O102" cm="1">
        <f t="array" ref="O102">_xll.VALEURCOURBE($A$2,_xlfn.CONCAT("THEME14=",$B102),SCENARIOS!$A$2,SCENARIOS!$B$2,YIELDS_youvert!O$1,0)</f>
        <v>1</v>
      </c>
      <c r="P102" cm="1">
        <f t="array" ref="P102">_xll.VALEURCOURBE($A$2,_xlfn.CONCAT("THEME14=",$B102),SCENARIOS!$A$2,SCENARIOS!$B$2,YIELDS_youvert!P$1,0)</f>
        <v>1</v>
      </c>
      <c r="Q102" cm="1">
        <f t="array" ref="Q102">_xll.VALEURCOURBE($A$2,_xlfn.CONCAT("THEME14=",$B102),SCENARIOS!$A$2,SCENARIOS!$B$2,YIELDS_youvert!Q$1,0)</f>
        <v>1</v>
      </c>
      <c r="R102" cm="1">
        <f t="array" ref="R102">_xll.VALEURCOURBE($A$2,_xlfn.CONCAT("THEME14=",$B102),SCENARIOS!$A$2,SCENARIOS!$B$2,YIELDS_youvert!R$1,0)</f>
        <v>1</v>
      </c>
      <c r="S102" cm="1">
        <f t="array" ref="S102">_xll.VALEURCOURBE($A$2,_xlfn.CONCAT("THEME14=",$B102),SCENARIOS!$A$2,SCENARIOS!$B$2,YIELDS_youvert!S$1,0)</f>
        <v>1</v>
      </c>
      <c r="T102" cm="1">
        <f t="array" ref="T102">_xll.VALEURCOURBE($A$2,_xlfn.CONCAT("THEME14=",$B102),SCENARIOS!$A$2,SCENARIOS!$B$2,YIELDS_youvert!T$1,0)</f>
        <v>1</v>
      </c>
      <c r="U102" cm="1">
        <f t="array" ref="U102">_xll.VALEURCOURBE($A$2,_xlfn.CONCAT("THEME14=",$B102),SCENARIOS!$A$2,SCENARIOS!$B$2,YIELDS_youvert!U$1,0)</f>
        <v>1</v>
      </c>
      <c r="V102" cm="1">
        <f t="array" ref="V102">_xll.VALEURCOURBE($A$2,_xlfn.CONCAT("THEME14=",$B102),SCENARIOS!$A$2,SCENARIOS!$B$2,YIELDS_youvert!V$1,0)</f>
        <v>1</v>
      </c>
      <c r="W102" cm="1">
        <f t="array" ref="W102">_xll.VALEURCOURBE($A$2,_xlfn.CONCAT("THEME14=",$B102),SCENARIOS!$A$2,SCENARIOS!$B$2,YIELDS_youvert!W$1,0)</f>
        <v>1</v>
      </c>
      <c r="X102" cm="1">
        <f t="array" ref="X102">_xll.VALEURCOURBE($A$2,_xlfn.CONCAT("THEME14=",$B102),SCENARIOS!$A$2,SCENARIOS!$B$2,YIELDS_youvert!X$1,0)</f>
        <v>1</v>
      </c>
      <c r="Y102" cm="1">
        <f t="array" ref="Y102">_xll.VALEURCOURBE($A$2,_xlfn.CONCAT("THEME14=",$B102),SCENARIOS!$A$2,SCENARIOS!$B$2,YIELDS_youvert!Y$1,0)</f>
        <v>1</v>
      </c>
      <c r="Z102" cm="1">
        <f t="array" ref="Z102">_xll.VALEURCOURBE($A$2,_xlfn.CONCAT("THEME14=",$B102),SCENARIOS!$A$2,SCENARIOS!$B$2,YIELDS_youvert!Z$1,0)</f>
        <v>1</v>
      </c>
      <c r="AA102" cm="1">
        <f t="array" ref="AA102">_xll.VALEURCOURBE($A$2,_xlfn.CONCAT("THEME14=",$B102),SCENARIOS!$A$2,SCENARIOS!$B$2,YIELDS_youvert!AA$1,0)</f>
        <v>1</v>
      </c>
      <c r="AB102" cm="1">
        <f t="array" ref="AB102">_xll.VALEURCOURBE($A$2,_xlfn.CONCAT("THEME14=",$B102),SCENARIOS!$A$2,SCENARIOS!$B$2,YIELDS_youvert!AB$1,0)</f>
        <v>1</v>
      </c>
      <c r="AC102" cm="1">
        <f t="array" ref="AC102">_xll.VALEURCOURBE($A$2,_xlfn.CONCAT("THEME14=",$B102),SCENARIOS!$A$2,SCENARIOS!$B$2,YIELDS_youvert!AC$1,0)</f>
        <v>1</v>
      </c>
      <c r="AD102" cm="1">
        <f t="array" ref="AD102">_xll.VALEURCOURBE($A$2,_xlfn.CONCAT("THEME14=",$B102),SCENARIOS!$A$2,SCENARIOS!$B$2,YIELDS_youvert!AD$1,0)</f>
        <v>1</v>
      </c>
      <c r="AE102" cm="1">
        <f t="array" ref="AE102">_xll.VALEURCOURBE($A$2,_xlfn.CONCAT("THEME14=",$B102),SCENARIOS!$A$2,SCENARIOS!$B$2,YIELDS_youvert!AE$1,0)</f>
        <v>1</v>
      </c>
    </row>
    <row r="103" spans="3:31" x14ac:dyDescent="0.25">
      <c r="C103" cm="1">
        <f t="array" ref="C103">_xll.VALEURCOURBE($A$2,_xlfn.CONCAT("THEME14=",$B103),SCENARIOS!$A$2,SCENARIOS!$B$2,YIELDS_youvert!C$1,0)</f>
        <v>1</v>
      </c>
      <c r="D103" cm="1">
        <f t="array" ref="D103">_xll.VALEURCOURBE($A$2,_xlfn.CONCAT("THEME14=",$B103),SCENARIOS!$A$2,SCENARIOS!$B$2,YIELDS_youvert!D$1,0)</f>
        <v>1</v>
      </c>
      <c r="E103" cm="1">
        <f t="array" ref="E103">_xll.VALEURCOURBE($A$2,_xlfn.CONCAT("THEME14=",$B103),SCENARIOS!$A$2,SCENARIOS!$B$2,YIELDS_youvert!E$1,0)</f>
        <v>1</v>
      </c>
      <c r="F103" cm="1">
        <f t="array" ref="F103">_xll.VALEURCOURBE($A$2,_xlfn.CONCAT("THEME14=",$B103),SCENARIOS!$A$2,SCENARIOS!$B$2,YIELDS_youvert!F$1,0)</f>
        <v>1</v>
      </c>
      <c r="G103" cm="1">
        <f t="array" ref="G103">_xll.VALEURCOURBE($A$2,_xlfn.CONCAT("THEME14=",$B103),SCENARIOS!$A$2,SCENARIOS!$B$2,YIELDS_youvert!G$1,0)</f>
        <v>1</v>
      </c>
      <c r="H103" cm="1">
        <f t="array" ref="H103">_xll.VALEURCOURBE($A$2,_xlfn.CONCAT("THEME14=",$B103),SCENARIOS!$A$2,SCENARIOS!$B$2,YIELDS_youvert!H$1,0)</f>
        <v>1</v>
      </c>
      <c r="I103" cm="1">
        <f t="array" ref="I103">_xll.VALEURCOURBE($A$2,_xlfn.CONCAT("THEME14=",$B103),SCENARIOS!$A$2,SCENARIOS!$B$2,YIELDS_youvert!I$1,0)</f>
        <v>1</v>
      </c>
      <c r="J103" cm="1">
        <f t="array" ref="J103">_xll.VALEURCOURBE($A$2,_xlfn.CONCAT("THEME14=",$B103),SCENARIOS!$A$2,SCENARIOS!$B$2,YIELDS_youvert!J$1,0)</f>
        <v>1</v>
      </c>
      <c r="K103" cm="1">
        <f t="array" ref="K103">_xll.VALEURCOURBE($A$2,_xlfn.CONCAT("THEME14=",$B103),SCENARIOS!$A$2,SCENARIOS!$B$2,YIELDS_youvert!K$1,0)</f>
        <v>1</v>
      </c>
      <c r="L103" cm="1">
        <f t="array" ref="L103">_xll.VALEURCOURBE($A$2,_xlfn.CONCAT("THEME14=",$B103),SCENARIOS!$A$2,SCENARIOS!$B$2,YIELDS_youvert!L$1,0)</f>
        <v>1</v>
      </c>
      <c r="M103" cm="1">
        <f t="array" ref="M103">_xll.VALEURCOURBE($A$2,_xlfn.CONCAT("THEME14=",$B103),SCENARIOS!$A$2,SCENARIOS!$B$2,YIELDS_youvert!M$1,0)</f>
        <v>1</v>
      </c>
      <c r="N103" cm="1">
        <f t="array" ref="N103">_xll.VALEURCOURBE($A$2,_xlfn.CONCAT("THEME14=",$B103),SCENARIOS!$A$2,SCENARIOS!$B$2,YIELDS_youvert!N$1,0)</f>
        <v>1</v>
      </c>
      <c r="O103" cm="1">
        <f t="array" ref="O103">_xll.VALEURCOURBE($A$2,_xlfn.CONCAT("THEME14=",$B103),SCENARIOS!$A$2,SCENARIOS!$B$2,YIELDS_youvert!O$1,0)</f>
        <v>1</v>
      </c>
      <c r="P103" cm="1">
        <f t="array" ref="P103">_xll.VALEURCOURBE($A$2,_xlfn.CONCAT("THEME14=",$B103),SCENARIOS!$A$2,SCENARIOS!$B$2,YIELDS_youvert!P$1,0)</f>
        <v>1</v>
      </c>
      <c r="Q103" cm="1">
        <f t="array" ref="Q103">_xll.VALEURCOURBE($A$2,_xlfn.CONCAT("THEME14=",$B103),SCENARIOS!$A$2,SCENARIOS!$B$2,YIELDS_youvert!Q$1,0)</f>
        <v>1</v>
      </c>
      <c r="R103" cm="1">
        <f t="array" ref="R103">_xll.VALEURCOURBE($A$2,_xlfn.CONCAT("THEME14=",$B103),SCENARIOS!$A$2,SCENARIOS!$B$2,YIELDS_youvert!R$1,0)</f>
        <v>1</v>
      </c>
      <c r="S103" cm="1">
        <f t="array" ref="S103">_xll.VALEURCOURBE($A$2,_xlfn.CONCAT("THEME14=",$B103),SCENARIOS!$A$2,SCENARIOS!$B$2,YIELDS_youvert!S$1,0)</f>
        <v>1</v>
      </c>
      <c r="T103" cm="1">
        <f t="array" ref="T103">_xll.VALEURCOURBE($A$2,_xlfn.CONCAT("THEME14=",$B103),SCENARIOS!$A$2,SCENARIOS!$B$2,YIELDS_youvert!T$1,0)</f>
        <v>1</v>
      </c>
      <c r="U103" cm="1">
        <f t="array" ref="U103">_xll.VALEURCOURBE($A$2,_xlfn.CONCAT("THEME14=",$B103),SCENARIOS!$A$2,SCENARIOS!$B$2,YIELDS_youvert!U$1,0)</f>
        <v>1</v>
      </c>
      <c r="V103" cm="1">
        <f t="array" ref="V103">_xll.VALEURCOURBE($A$2,_xlfn.CONCAT("THEME14=",$B103),SCENARIOS!$A$2,SCENARIOS!$B$2,YIELDS_youvert!V$1,0)</f>
        <v>1</v>
      </c>
      <c r="W103" cm="1">
        <f t="array" ref="W103">_xll.VALEURCOURBE($A$2,_xlfn.CONCAT("THEME14=",$B103),SCENARIOS!$A$2,SCENARIOS!$B$2,YIELDS_youvert!W$1,0)</f>
        <v>1</v>
      </c>
      <c r="X103" cm="1">
        <f t="array" ref="X103">_xll.VALEURCOURBE($A$2,_xlfn.CONCAT("THEME14=",$B103),SCENARIOS!$A$2,SCENARIOS!$B$2,YIELDS_youvert!X$1,0)</f>
        <v>1</v>
      </c>
      <c r="Y103" cm="1">
        <f t="array" ref="Y103">_xll.VALEURCOURBE($A$2,_xlfn.CONCAT("THEME14=",$B103),SCENARIOS!$A$2,SCENARIOS!$B$2,YIELDS_youvert!Y$1,0)</f>
        <v>1</v>
      </c>
      <c r="Z103" cm="1">
        <f t="array" ref="Z103">_xll.VALEURCOURBE($A$2,_xlfn.CONCAT("THEME14=",$B103),SCENARIOS!$A$2,SCENARIOS!$B$2,YIELDS_youvert!Z$1,0)</f>
        <v>1</v>
      </c>
      <c r="AA103" cm="1">
        <f t="array" ref="AA103">_xll.VALEURCOURBE($A$2,_xlfn.CONCAT("THEME14=",$B103),SCENARIOS!$A$2,SCENARIOS!$B$2,YIELDS_youvert!AA$1,0)</f>
        <v>1</v>
      </c>
      <c r="AB103" cm="1">
        <f t="array" ref="AB103">_xll.VALEURCOURBE($A$2,_xlfn.CONCAT("THEME14=",$B103),SCENARIOS!$A$2,SCENARIOS!$B$2,YIELDS_youvert!AB$1,0)</f>
        <v>1</v>
      </c>
      <c r="AC103" cm="1">
        <f t="array" ref="AC103">_xll.VALEURCOURBE($A$2,_xlfn.CONCAT("THEME14=",$B103),SCENARIOS!$A$2,SCENARIOS!$B$2,YIELDS_youvert!AC$1,0)</f>
        <v>1</v>
      </c>
      <c r="AD103" cm="1">
        <f t="array" ref="AD103">_xll.VALEURCOURBE($A$2,_xlfn.CONCAT("THEME14=",$B103),SCENARIOS!$A$2,SCENARIOS!$B$2,YIELDS_youvert!AD$1,0)</f>
        <v>1</v>
      </c>
      <c r="AE103" cm="1">
        <f t="array" ref="AE103">_xll.VALEURCOURBE($A$2,_xlfn.CONCAT("THEME14=",$B103),SCENARIOS!$A$2,SCENARIOS!$B$2,YIELDS_youvert!AE$1,0)</f>
        <v>1</v>
      </c>
    </row>
    <row r="104" spans="3:31" x14ac:dyDescent="0.25">
      <c r="C104" cm="1">
        <f t="array" ref="C104">_xll.VALEURCOURBE($A$2,_xlfn.CONCAT("THEME14=",$B104),SCENARIOS!$A$2,SCENARIOS!$B$2,YIELDS_youvert!C$1,0)</f>
        <v>1</v>
      </c>
      <c r="D104" cm="1">
        <f t="array" ref="D104">_xll.VALEURCOURBE($A$2,_xlfn.CONCAT("THEME14=",$B104),SCENARIOS!$A$2,SCENARIOS!$B$2,YIELDS_youvert!D$1,0)</f>
        <v>1</v>
      </c>
      <c r="E104" cm="1">
        <f t="array" ref="E104">_xll.VALEURCOURBE($A$2,_xlfn.CONCAT("THEME14=",$B104),SCENARIOS!$A$2,SCENARIOS!$B$2,YIELDS_youvert!E$1,0)</f>
        <v>1</v>
      </c>
      <c r="F104" cm="1">
        <f t="array" ref="F104">_xll.VALEURCOURBE($A$2,_xlfn.CONCAT("THEME14=",$B104),SCENARIOS!$A$2,SCENARIOS!$B$2,YIELDS_youvert!F$1,0)</f>
        <v>1</v>
      </c>
      <c r="G104" cm="1">
        <f t="array" ref="G104">_xll.VALEURCOURBE($A$2,_xlfn.CONCAT("THEME14=",$B104),SCENARIOS!$A$2,SCENARIOS!$B$2,YIELDS_youvert!G$1,0)</f>
        <v>1</v>
      </c>
      <c r="H104" cm="1">
        <f t="array" ref="H104">_xll.VALEURCOURBE($A$2,_xlfn.CONCAT("THEME14=",$B104),SCENARIOS!$A$2,SCENARIOS!$B$2,YIELDS_youvert!H$1,0)</f>
        <v>1</v>
      </c>
      <c r="I104" cm="1">
        <f t="array" ref="I104">_xll.VALEURCOURBE($A$2,_xlfn.CONCAT("THEME14=",$B104),SCENARIOS!$A$2,SCENARIOS!$B$2,YIELDS_youvert!I$1,0)</f>
        <v>1</v>
      </c>
      <c r="J104" cm="1">
        <f t="array" ref="J104">_xll.VALEURCOURBE($A$2,_xlfn.CONCAT("THEME14=",$B104),SCENARIOS!$A$2,SCENARIOS!$B$2,YIELDS_youvert!J$1,0)</f>
        <v>1</v>
      </c>
      <c r="K104" cm="1">
        <f t="array" ref="K104">_xll.VALEURCOURBE($A$2,_xlfn.CONCAT("THEME14=",$B104),SCENARIOS!$A$2,SCENARIOS!$B$2,YIELDS_youvert!K$1,0)</f>
        <v>1</v>
      </c>
      <c r="L104" cm="1">
        <f t="array" ref="L104">_xll.VALEURCOURBE($A$2,_xlfn.CONCAT("THEME14=",$B104),SCENARIOS!$A$2,SCENARIOS!$B$2,YIELDS_youvert!L$1,0)</f>
        <v>1</v>
      </c>
      <c r="M104" cm="1">
        <f t="array" ref="M104">_xll.VALEURCOURBE($A$2,_xlfn.CONCAT("THEME14=",$B104),SCENARIOS!$A$2,SCENARIOS!$B$2,YIELDS_youvert!M$1,0)</f>
        <v>1</v>
      </c>
      <c r="N104" cm="1">
        <f t="array" ref="N104">_xll.VALEURCOURBE($A$2,_xlfn.CONCAT("THEME14=",$B104),SCENARIOS!$A$2,SCENARIOS!$B$2,YIELDS_youvert!N$1,0)</f>
        <v>1</v>
      </c>
      <c r="O104" cm="1">
        <f t="array" ref="O104">_xll.VALEURCOURBE($A$2,_xlfn.CONCAT("THEME14=",$B104),SCENARIOS!$A$2,SCENARIOS!$B$2,YIELDS_youvert!O$1,0)</f>
        <v>1</v>
      </c>
      <c r="P104" cm="1">
        <f t="array" ref="P104">_xll.VALEURCOURBE($A$2,_xlfn.CONCAT("THEME14=",$B104),SCENARIOS!$A$2,SCENARIOS!$B$2,YIELDS_youvert!P$1,0)</f>
        <v>1</v>
      </c>
      <c r="Q104" cm="1">
        <f t="array" ref="Q104">_xll.VALEURCOURBE($A$2,_xlfn.CONCAT("THEME14=",$B104),SCENARIOS!$A$2,SCENARIOS!$B$2,YIELDS_youvert!Q$1,0)</f>
        <v>1</v>
      </c>
      <c r="R104" cm="1">
        <f t="array" ref="R104">_xll.VALEURCOURBE($A$2,_xlfn.CONCAT("THEME14=",$B104),SCENARIOS!$A$2,SCENARIOS!$B$2,YIELDS_youvert!R$1,0)</f>
        <v>1</v>
      </c>
      <c r="S104" cm="1">
        <f t="array" ref="S104">_xll.VALEURCOURBE($A$2,_xlfn.CONCAT("THEME14=",$B104),SCENARIOS!$A$2,SCENARIOS!$B$2,YIELDS_youvert!S$1,0)</f>
        <v>1</v>
      </c>
      <c r="T104" cm="1">
        <f t="array" ref="T104">_xll.VALEURCOURBE($A$2,_xlfn.CONCAT("THEME14=",$B104),SCENARIOS!$A$2,SCENARIOS!$B$2,YIELDS_youvert!T$1,0)</f>
        <v>1</v>
      </c>
      <c r="U104" cm="1">
        <f t="array" ref="U104">_xll.VALEURCOURBE($A$2,_xlfn.CONCAT("THEME14=",$B104),SCENARIOS!$A$2,SCENARIOS!$B$2,YIELDS_youvert!U$1,0)</f>
        <v>1</v>
      </c>
      <c r="V104" cm="1">
        <f t="array" ref="V104">_xll.VALEURCOURBE($A$2,_xlfn.CONCAT("THEME14=",$B104),SCENARIOS!$A$2,SCENARIOS!$B$2,YIELDS_youvert!V$1,0)</f>
        <v>1</v>
      </c>
      <c r="W104" cm="1">
        <f t="array" ref="W104">_xll.VALEURCOURBE($A$2,_xlfn.CONCAT("THEME14=",$B104),SCENARIOS!$A$2,SCENARIOS!$B$2,YIELDS_youvert!W$1,0)</f>
        <v>1</v>
      </c>
      <c r="X104" cm="1">
        <f t="array" ref="X104">_xll.VALEURCOURBE($A$2,_xlfn.CONCAT("THEME14=",$B104),SCENARIOS!$A$2,SCENARIOS!$B$2,YIELDS_youvert!X$1,0)</f>
        <v>1</v>
      </c>
      <c r="Y104" cm="1">
        <f t="array" ref="Y104">_xll.VALEURCOURBE($A$2,_xlfn.CONCAT("THEME14=",$B104),SCENARIOS!$A$2,SCENARIOS!$B$2,YIELDS_youvert!Y$1,0)</f>
        <v>1</v>
      </c>
      <c r="Z104" cm="1">
        <f t="array" ref="Z104">_xll.VALEURCOURBE($A$2,_xlfn.CONCAT("THEME14=",$B104),SCENARIOS!$A$2,SCENARIOS!$B$2,YIELDS_youvert!Z$1,0)</f>
        <v>1</v>
      </c>
      <c r="AA104" cm="1">
        <f t="array" ref="AA104">_xll.VALEURCOURBE($A$2,_xlfn.CONCAT("THEME14=",$B104),SCENARIOS!$A$2,SCENARIOS!$B$2,YIELDS_youvert!AA$1,0)</f>
        <v>1</v>
      </c>
      <c r="AB104" cm="1">
        <f t="array" ref="AB104">_xll.VALEURCOURBE($A$2,_xlfn.CONCAT("THEME14=",$B104),SCENARIOS!$A$2,SCENARIOS!$B$2,YIELDS_youvert!AB$1,0)</f>
        <v>1</v>
      </c>
      <c r="AC104" cm="1">
        <f t="array" ref="AC104">_xll.VALEURCOURBE($A$2,_xlfn.CONCAT("THEME14=",$B104),SCENARIOS!$A$2,SCENARIOS!$B$2,YIELDS_youvert!AC$1,0)</f>
        <v>1</v>
      </c>
      <c r="AD104" cm="1">
        <f t="array" ref="AD104">_xll.VALEURCOURBE($A$2,_xlfn.CONCAT("THEME14=",$B104),SCENARIOS!$A$2,SCENARIOS!$B$2,YIELDS_youvert!AD$1,0)</f>
        <v>1</v>
      </c>
      <c r="AE104" cm="1">
        <f t="array" ref="AE104">_xll.VALEURCOURBE($A$2,_xlfn.CONCAT("THEME14=",$B104),SCENARIOS!$A$2,SCENARIOS!$B$2,YIELDS_youvert!AE$1,0)</f>
        <v>1</v>
      </c>
    </row>
    <row r="105" spans="3:31" x14ac:dyDescent="0.25">
      <c r="C105" cm="1">
        <f t="array" ref="C105">_xll.VALEURCOURBE($A$2,_xlfn.CONCAT("THEME14=",$B105),SCENARIOS!$A$2,SCENARIOS!$B$2,YIELDS_youvert!C$1,0)</f>
        <v>1</v>
      </c>
      <c r="D105" cm="1">
        <f t="array" ref="D105">_xll.VALEURCOURBE($A$2,_xlfn.CONCAT("THEME14=",$B105),SCENARIOS!$A$2,SCENARIOS!$B$2,YIELDS_youvert!D$1,0)</f>
        <v>1</v>
      </c>
      <c r="E105" cm="1">
        <f t="array" ref="E105">_xll.VALEURCOURBE($A$2,_xlfn.CONCAT("THEME14=",$B105),SCENARIOS!$A$2,SCENARIOS!$B$2,YIELDS_youvert!E$1,0)</f>
        <v>1</v>
      </c>
      <c r="F105" cm="1">
        <f t="array" ref="F105">_xll.VALEURCOURBE($A$2,_xlfn.CONCAT("THEME14=",$B105),SCENARIOS!$A$2,SCENARIOS!$B$2,YIELDS_youvert!F$1,0)</f>
        <v>1</v>
      </c>
      <c r="G105" cm="1">
        <f t="array" ref="G105">_xll.VALEURCOURBE($A$2,_xlfn.CONCAT("THEME14=",$B105),SCENARIOS!$A$2,SCENARIOS!$B$2,YIELDS_youvert!G$1,0)</f>
        <v>1</v>
      </c>
      <c r="H105" cm="1">
        <f t="array" ref="H105">_xll.VALEURCOURBE($A$2,_xlfn.CONCAT("THEME14=",$B105),SCENARIOS!$A$2,SCENARIOS!$B$2,YIELDS_youvert!H$1,0)</f>
        <v>1</v>
      </c>
      <c r="I105" cm="1">
        <f t="array" ref="I105">_xll.VALEURCOURBE($A$2,_xlfn.CONCAT("THEME14=",$B105),SCENARIOS!$A$2,SCENARIOS!$B$2,YIELDS_youvert!I$1,0)</f>
        <v>1</v>
      </c>
      <c r="J105" cm="1">
        <f t="array" ref="J105">_xll.VALEURCOURBE($A$2,_xlfn.CONCAT("THEME14=",$B105),SCENARIOS!$A$2,SCENARIOS!$B$2,YIELDS_youvert!J$1,0)</f>
        <v>1</v>
      </c>
      <c r="K105" cm="1">
        <f t="array" ref="K105">_xll.VALEURCOURBE($A$2,_xlfn.CONCAT("THEME14=",$B105),SCENARIOS!$A$2,SCENARIOS!$B$2,YIELDS_youvert!K$1,0)</f>
        <v>1</v>
      </c>
      <c r="L105" cm="1">
        <f t="array" ref="L105">_xll.VALEURCOURBE($A$2,_xlfn.CONCAT("THEME14=",$B105),SCENARIOS!$A$2,SCENARIOS!$B$2,YIELDS_youvert!L$1,0)</f>
        <v>1</v>
      </c>
      <c r="M105" cm="1">
        <f t="array" ref="M105">_xll.VALEURCOURBE($A$2,_xlfn.CONCAT("THEME14=",$B105),SCENARIOS!$A$2,SCENARIOS!$B$2,YIELDS_youvert!M$1,0)</f>
        <v>1</v>
      </c>
      <c r="N105" cm="1">
        <f t="array" ref="N105">_xll.VALEURCOURBE($A$2,_xlfn.CONCAT("THEME14=",$B105),SCENARIOS!$A$2,SCENARIOS!$B$2,YIELDS_youvert!N$1,0)</f>
        <v>1</v>
      </c>
      <c r="O105" cm="1">
        <f t="array" ref="O105">_xll.VALEURCOURBE($A$2,_xlfn.CONCAT("THEME14=",$B105),SCENARIOS!$A$2,SCENARIOS!$B$2,YIELDS_youvert!O$1,0)</f>
        <v>1</v>
      </c>
      <c r="P105" cm="1">
        <f t="array" ref="P105">_xll.VALEURCOURBE($A$2,_xlfn.CONCAT("THEME14=",$B105),SCENARIOS!$A$2,SCENARIOS!$B$2,YIELDS_youvert!P$1,0)</f>
        <v>1</v>
      </c>
      <c r="Q105" cm="1">
        <f t="array" ref="Q105">_xll.VALEURCOURBE($A$2,_xlfn.CONCAT("THEME14=",$B105),SCENARIOS!$A$2,SCENARIOS!$B$2,YIELDS_youvert!Q$1,0)</f>
        <v>1</v>
      </c>
      <c r="R105" cm="1">
        <f t="array" ref="R105">_xll.VALEURCOURBE($A$2,_xlfn.CONCAT("THEME14=",$B105),SCENARIOS!$A$2,SCENARIOS!$B$2,YIELDS_youvert!R$1,0)</f>
        <v>1</v>
      </c>
      <c r="S105" cm="1">
        <f t="array" ref="S105">_xll.VALEURCOURBE($A$2,_xlfn.CONCAT("THEME14=",$B105),SCENARIOS!$A$2,SCENARIOS!$B$2,YIELDS_youvert!S$1,0)</f>
        <v>1</v>
      </c>
      <c r="T105" cm="1">
        <f t="array" ref="T105">_xll.VALEURCOURBE($A$2,_xlfn.CONCAT("THEME14=",$B105),SCENARIOS!$A$2,SCENARIOS!$B$2,YIELDS_youvert!T$1,0)</f>
        <v>1</v>
      </c>
      <c r="U105" cm="1">
        <f t="array" ref="U105">_xll.VALEURCOURBE($A$2,_xlfn.CONCAT("THEME14=",$B105),SCENARIOS!$A$2,SCENARIOS!$B$2,YIELDS_youvert!U$1,0)</f>
        <v>1</v>
      </c>
      <c r="V105" cm="1">
        <f t="array" ref="V105">_xll.VALEURCOURBE($A$2,_xlfn.CONCAT("THEME14=",$B105),SCENARIOS!$A$2,SCENARIOS!$B$2,YIELDS_youvert!V$1,0)</f>
        <v>1</v>
      </c>
      <c r="W105" cm="1">
        <f t="array" ref="W105">_xll.VALEURCOURBE($A$2,_xlfn.CONCAT("THEME14=",$B105),SCENARIOS!$A$2,SCENARIOS!$B$2,YIELDS_youvert!W$1,0)</f>
        <v>1</v>
      </c>
      <c r="X105" cm="1">
        <f t="array" ref="X105">_xll.VALEURCOURBE($A$2,_xlfn.CONCAT("THEME14=",$B105),SCENARIOS!$A$2,SCENARIOS!$B$2,YIELDS_youvert!X$1,0)</f>
        <v>1</v>
      </c>
      <c r="Y105" cm="1">
        <f t="array" ref="Y105">_xll.VALEURCOURBE($A$2,_xlfn.CONCAT("THEME14=",$B105),SCENARIOS!$A$2,SCENARIOS!$B$2,YIELDS_youvert!Y$1,0)</f>
        <v>1</v>
      </c>
      <c r="Z105" cm="1">
        <f t="array" ref="Z105">_xll.VALEURCOURBE($A$2,_xlfn.CONCAT("THEME14=",$B105),SCENARIOS!$A$2,SCENARIOS!$B$2,YIELDS_youvert!Z$1,0)</f>
        <v>1</v>
      </c>
      <c r="AA105" cm="1">
        <f t="array" ref="AA105">_xll.VALEURCOURBE($A$2,_xlfn.CONCAT("THEME14=",$B105),SCENARIOS!$A$2,SCENARIOS!$B$2,YIELDS_youvert!AA$1,0)</f>
        <v>1</v>
      </c>
      <c r="AB105" cm="1">
        <f t="array" ref="AB105">_xll.VALEURCOURBE($A$2,_xlfn.CONCAT("THEME14=",$B105),SCENARIOS!$A$2,SCENARIOS!$B$2,YIELDS_youvert!AB$1,0)</f>
        <v>1</v>
      </c>
      <c r="AC105" cm="1">
        <f t="array" ref="AC105">_xll.VALEURCOURBE($A$2,_xlfn.CONCAT("THEME14=",$B105),SCENARIOS!$A$2,SCENARIOS!$B$2,YIELDS_youvert!AC$1,0)</f>
        <v>1</v>
      </c>
      <c r="AD105" cm="1">
        <f t="array" ref="AD105">_xll.VALEURCOURBE($A$2,_xlfn.CONCAT("THEME14=",$B105),SCENARIOS!$A$2,SCENARIOS!$B$2,YIELDS_youvert!AD$1,0)</f>
        <v>1</v>
      </c>
      <c r="AE105" cm="1">
        <f t="array" ref="AE105">_xll.VALEURCOURBE($A$2,_xlfn.CONCAT("THEME14=",$B105),SCENARIOS!$A$2,SCENARIOS!$B$2,YIELDS_youvert!AE$1,0)</f>
        <v>1</v>
      </c>
    </row>
    <row r="106" spans="3:31" x14ac:dyDescent="0.25">
      <c r="C106" cm="1">
        <f t="array" ref="C106">_xll.VALEURCOURBE($A$2,_xlfn.CONCAT("THEME14=",$B106),SCENARIOS!$A$2,SCENARIOS!$B$2,YIELDS_youvert!C$1,0)</f>
        <v>1</v>
      </c>
      <c r="D106" cm="1">
        <f t="array" ref="D106">_xll.VALEURCOURBE($A$2,_xlfn.CONCAT("THEME14=",$B106),SCENARIOS!$A$2,SCENARIOS!$B$2,YIELDS_youvert!D$1,0)</f>
        <v>1</v>
      </c>
      <c r="E106" cm="1">
        <f t="array" ref="E106">_xll.VALEURCOURBE($A$2,_xlfn.CONCAT("THEME14=",$B106),SCENARIOS!$A$2,SCENARIOS!$B$2,YIELDS_youvert!E$1,0)</f>
        <v>1</v>
      </c>
      <c r="F106" cm="1">
        <f t="array" ref="F106">_xll.VALEURCOURBE($A$2,_xlfn.CONCAT("THEME14=",$B106),SCENARIOS!$A$2,SCENARIOS!$B$2,YIELDS_youvert!F$1,0)</f>
        <v>1</v>
      </c>
      <c r="G106" cm="1">
        <f t="array" ref="G106">_xll.VALEURCOURBE($A$2,_xlfn.CONCAT("THEME14=",$B106),SCENARIOS!$A$2,SCENARIOS!$B$2,YIELDS_youvert!G$1,0)</f>
        <v>1</v>
      </c>
      <c r="H106" cm="1">
        <f t="array" ref="H106">_xll.VALEURCOURBE($A$2,_xlfn.CONCAT("THEME14=",$B106),SCENARIOS!$A$2,SCENARIOS!$B$2,YIELDS_youvert!H$1,0)</f>
        <v>1</v>
      </c>
      <c r="I106" cm="1">
        <f t="array" ref="I106">_xll.VALEURCOURBE($A$2,_xlfn.CONCAT("THEME14=",$B106),SCENARIOS!$A$2,SCENARIOS!$B$2,YIELDS_youvert!I$1,0)</f>
        <v>1</v>
      </c>
      <c r="J106" cm="1">
        <f t="array" ref="J106">_xll.VALEURCOURBE($A$2,_xlfn.CONCAT("THEME14=",$B106),SCENARIOS!$A$2,SCENARIOS!$B$2,YIELDS_youvert!J$1,0)</f>
        <v>1</v>
      </c>
      <c r="K106" cm="1">
        <f t="array" ref="K106">_xll.VALEURCOURBE($A$2,_xlfn.CONCAT("THEME14=",$B106),SCENARIOS!$A$2,SCENARIOS!$B$2,YIELDS_youvert!K$1,0)</f>
        <v>1</v>
      </c>
      <c r="L106" cm="1">
        <f t="array" ref="L106">_xll.VALEURCOURBE($A$2,_xlfn.CONCAT("THEME14=",$B106),SCENARIOS!$A$2,SCENARIOS!$B$2,YIELDS_youvert!L$1,0)</f>
        <v>1</v>
      </c>
      <c r="M106" cm="1">
        <f t="array" ref="M106">_xll.VALEURCOURBE($A$2,_xlfn.CONCAT("THEME14=",$B106),SCENARIOS!$A$2,SCENARIOS!$B$2,YIELDS_youvert!M$1,0)</f>
        <v>1</v>
      </c>
      <c r="N106" cm="1">
        <f t="array" ref="N106">_xll.VALEURCOURBE($A$2,_xlfn.CONCAT("THEME14=",$B106),SCENARIOS!$A$2,SCENARIOS!$B$2,YIELDS_youvert!N$1,0)</f>
        <v>1</v>
      </c>
      <c r="O106" cm="1">
        <f t="array" ref="O106">_xll.VALEURCOURBE($A$2,_xlfn.CONCAT("THEME14=",$B106),SCENARIOS!$A$2,SCENARIOS!$B$2,YIELDS_youvert!O$1,0)</f>
        <v>1</v>
      </c>
      <c r="P106" cm="1">
        <f t="array" ref="P106">_xll.VALEURCOURBE($A$2,_xlfn.CONCAT("THEME14=",$B106),SCENARIOS!$A$2,SCENARIOS!$B$2,YIELDS_youvert!P$1,0)</f>
        <v>1</v>
      </c>
      <c r="Q106" cm="1">
        <f t="array" ref="Q106">_xll.VALEURCOURBE($A$2,_xlfn.CONCAT("THEME14=",$B106),SCENARIOS!$A$2,SCENARIOS!$B$2,YIELDS_youvert!Q$1,0)</f>
        <v>1</v>
      </c>
      <c r="R106" cm="1">
        <f t="array" ref="R106">_xll.VALEURCOURBE($A$2,_xlfn.CONCAT("THEME14=",$B106),SCENARIOS!$A$2,SCENARIOS!$B$2,YIELDS_youvert!R$1,0)</f>
        <v>1</v>
      </c>
      <c r="S106" cm="1">
        <f t="array" ref="S106">_xll.VALEURCOURBE($A$2,_xlfn.CONCAT("THEME14=",$B106),SCENARIOS!$A$2,SCENARIOS!$B$2,YIELDS_youvert!S$1,0)</f>
        <v>1</v>
      </c>
      <c r="T106" cm="1">
        <f t="array" ref="T106">_xll.VALEURCOURBE($A$2,_xlfn.CONCAT("THEME14=",$B106),SCENARIOS!$A$2,SCENARIOS!$B$2,YIELDS_youvert!T$1,0)</f>
        <v>1</v>
      </c>
      <c r="U106" cm="1">
        <f t="array" ref="U106">_xll.VALEURCOURBE($A$2,_xlfn.CONCAT("THEME14=",$B106),SCENARIOS!$A$2,SCENARIOS!$B$2,YIELDS_youvert!U$1,0)</f>
        <v>1</v>
      </c>
      <c r="V106" cm="1">
        <f t="array" ref="V106">_xll.VALEURCOURBE($A$2,_xlfn.CONCAT("THEME14=",$B106),SCENARIOS!$A$2,SCENARIOS!$B$2,YIELDS_youvert!V$1,0)</f>
        <v>1</v>
      </c>
      <c r="W106" cm="1">
        <f t="array" ref="W106">_xll.VALEURCOURBE($A$2,_xlfn.CONCAT("THEME14=",$B106),SCENARIOS!$A$2,SCENARIOS!$B$2,YIELDS_youvert!W$1,0)</f>
        <v>1</v>
      </c>
      <c r="X106" cm="1">
        <f t="array" ref="X106">_xll.VALEURCOURBE($A$2,_xlfn.CONCAT("THEME14=",$B106),SCENARIOS!$A$2,SCENARIOS!$B$2,YIELDS_youvert!X$1,0)</f>
        <v>1</v>
      </c>
      <c r="Y106" cm="1">
        <f t="array" ref="Y106">_xll.VALEURCOURBE($A$2,_xlfn.CONCAT("THEME14=",$B106),SCENARIOS!$A$2,SCENARIOS!$B$2,YIELDS_youvert!Y$1,0)</f>
        <v>1</v>
      </c>
      <c r="Z106" cm="1">
        <f t="array" ref="Z106">_xll.VALEURCOURBE($A$2,_xlfn.CONCAT("THEME14=",$B106),SCENARIOS!$A$2,SCENARIOS!$B$2,YIELDS_youvert!Z$1,0)</f>
        <v>1</v>
      </c>
      <c r="AA106" cm="1">
        <f t="array" ref="AA106">_xll.VALEURCOURBE($A$2,_xlfn.CONCAT("THEME14=",$B106),SCENARIOS!$A$2,SCENARIOS!$B$2,YIELDS_youvert!AA$1,0)</f>
        <v>1</v>
      </c>
      <c r="AB106" cm="1">
        <f t="array" ref="AB106">_xll.VALEURCOURBE($A$2,_xlfn.CONCAT("THEME14=",$B106),SCENARIOS!$A$2,SCENARIOS!$B$2,YIELDS_youvert!AB$1,0)</f>
        <v>1</v>
      </c>
      <c r="AC106" cm="1">
        <f t="array" ref="AC106">_xll.VALEURCOURBE($A$2,_xlfn.CONCAT("THEME14=",$B106),SCENARIOS!$A$2,SCENARIOS!$B$2,YIELDS_youvert!AC$1,0)</f>
        <v>1</v>
      </c>
      <c r="AD106" cm="1">
        <f t="array" ref="AD106">_xll.VALEURCOURBE($A$2,_xlfn.CONCAT("THEME14=",$B106),SCENARIOS!$A$2,SCENARIOS!$B$2,YIELDS_youvert!AD$1,0)</f>
        <v>1</v>
      </c>
      <c r="AE106" cm="1">
        <f t="array" ref="AE106">_xll.VALEURCOURBE($A$2,_xlfn.CONCAT("THEME14=",$B106),SCENARIOS!$A$2,SCENARIOS!$B$2,YIELDS_youvert!AE$1,0)</f>
        <v>1</v>
      </c>
    </row>
    <row r="107" spans="3:31" x14ac:dyDescent="0.25">
      <c r="C107" cm="1">
        <f t="array" ref="C107">_xll.VALEURCOURBE($A$2,_xlfn.CONCAT("THEME14=",$B107),SCENARIOS!$A$2,SCENARIOS!$B$2,YIELDS_youvert!C$1,0)</f>
        <v>1</v>
      </c>
      <c r="D107" cm="1">
        <f t="array" ref="D107">_xll.VALEURCOURBE($A$2,_xlfn.CONCAT("THEME14=",$B107),SCENARIOS!$A$2,SCENARIOS!$B$2,YIELDS_youvert!D$1,0)</f>
        <v>1</v>
      </c>
      <c r="E107" cm="1">
        <f t="array" ref="E107">_xll.VALEURCOURBE($A$2,_xlfn.CONCAT("THEME14=",$B107),SCENARIOS!$A$2,SCENARIOS!$B$2,YIELDS_youvert!E$1,0)</f>
        <v>1</v>
      </c>
      <c r="F107" cm="1">
        <f t="array" ref="F107">_xll.VALEURCOURBE($A$2,_xlfn.CONCAT("THEME14=",$B107),SCENARIOS!$A$2,SCENARIOS!$B$2,YIELDS_youvert!F$1,0)</f>
        <v>1</v>
      </c>
      <c r="G107" cm="1">
        <f t="array" ref="G107">_xll.VALEURCOURBE($A$2,_xlfn.CONCAT("THEME14=",$B107),SCENARIOS!$A$2,SCENARIOS!$B$2,YIELDS_youvert!G$1,0)</f>
        <v>1</v>
      </c>
      <c r="H107" cm="1">
        <f t="array" ref="H107">_xll.VALEURCOURBE($A$2,_xlfn.CONCAT("THEME14=",$B107),SCENARIOS!$A$2,SCENARIOS!$B$2,YIELDS_youvert!H$1,0)</f>
        <v>1</v>
      </c>
      <c r="I107" cm="1">
        <f t="array" ref="I107">_xll.VALEURCOURBE($A$2,_xlfn.CONCAT("THEME14=",$B107),SCENARIOS!$A$2,SCENARIOS!$B$2,YIELDS_youvert!I$1,0)</f>
        <v>1</v>
      </c>
      <c r="J107" cm="1">
        <f t="array" ref="J107">_xll.VALEURCOURBE($A$2,_xlfn.CONCAT("THEME14=",$B107),SCENARIOS!$A$2,SCENARIOS!$B$2,YIELDS_youvert!J$1,0)</f>
        <v>1</v>
      </c>
      <c r="K107" cm="1">
        <f t="array" ref="K107">_xll.VALEURCOURBE($A$2,_xlfn.CONCAT("THEME14=",$B107),SCENARIOS!$A$2,SCENARIOS!$B$2,YIELDS_youvert!K$1,0)</f>
        <v>1</v>
      </c>
      <c r="L107" cm="1">
        <f t="array" ref="L107">_xll.VALEURCOURBE($A$2,_xlfn.CONCAT("THEME14=",$B107),SCENARIOS!$A$2,SCENARIOS!$B$2,YIELDS_youvert!L$1,0)</f>
        <v>1</v>
      </c>
      <c r="M107" cm="1">
        <f t="array" ref="M107">_xll.VALEURCOURBE($A$2,_xlfn.CONCAT("THEME14=",$B107),SCENARIOS!$A$2,SCENARIOS!$B$2,YIELDS_youvert!M$1,0)</f>
        <v>1</v>
      </c>
      <c r="N107" cm="1">
        <f t="array" ref="N107">_xll.VALEURCOURBE($A$2,_xlfn.CONCAT("THEME14=",$B107),SCENARIOS!$A$2,SCENARIOS!$B$2,YIELDS_youvert!N$1,0)</f>
        <v>1</v>
      </c>
      <c r="O107" cm="1">
        <f t="array" ref="O107">_xll.VALEURCOURBE($A$2,_xlfn.CONCAT("THEME14=",$B107),SCENARIOS!$A$2,SCENARIOS!$B$2,YIELDS_youvert!O$1,0)</f>
        <v>1</v>
      </c>
      <c r="P107" cm="1">
        <f t="array" ref="P107">_xll.VALEURCOURBE($A$2,_xlfn.CONCAT("THEME14=",$B107),SCENARIOS!$A$2,SCENARIOS!$B$2,YIELDS_youvert!P$1,0)</f>
        <v>1</v>
      </c>
      <c r="Q107" cm="1">
        <f t="array" ref="Q107">_xll.VALEURCOURBE($A$2,_xlfn.CONCAT("THEME14=",$B107),SCENARIOS!$A$2,SCENARIOS!$B$2,YIELDS_youvert!Q$1,0)</f>
        <v>1</v>
      </c>
      <c r="R107" cm="1">
        <f t="array" ref="R107">_xll.VALEURCOURBE($A$2,_xlfn.CONCAT("THEME14=",$B107),SCENARIOS!$A$2,SCENARIOS!$B$2,YIELDS_youvert!R$1,0)</f>
        <v>1</v>
      </c>
      <c r="S107" cm="1">
        <f t="array" ref="S107">_xll.VALEURCOURBE($A$2,_xlfn.CONCAT("THEME14=",$B107),SCENARIOS!$A$2,SCENARIOS!$B$2,YIELDS_youvert!S$1,0)</f>
        <v>1</v>
      </c>
      <c r="T107" cm="1">
        <f t="array" ref="T107">_xll.VALEURCOURBE($A$2,_xlfn.CONCAT("THEME14=",$B107),SCENARIOS!$A$2,SCENARIOS!$B$2,YIELDS_youvert!T$1,0)</f>
        <v>1</v>
      </c>
      <c r="U107" cm="1">
        <f t="array" ref="U107">_xll.VALEURCOURBE($A$2,_xlfn.CONCAT("THEME14=",$B107),SCENARIOS!$A$2,SCENARIOS!$B$2,YIELDS_youvert!U$1,0)</f>
        <v>1</v>
      </c>
      <c r="V107" cm="1">
        <f t="array" ref="V107">_xll.VALEURCOURBE($A$2,_xlfn.CONCAT("THEME14=",$B107),SCENARIOS!$A$2,SCENARIOS!$B$2,YIELDS_youvert!V$1,0)</f>
        <v>1</v>
      </c>
      <c r="W107" cm="1">
        <f t="array" ref="W107">_xll.VALEURCOURBE($A$2,_xlfn.CONCAT("THEME14=",$B107),SCENARIOS!$A$2,SCENARIOS!$B$2,YIELDS_youvert!W$1,0)</f>
        <v>1</v>
      </c>
      <c r="X107" cm="1">
        <f t="array" ref="X107">_xll.VALEURCOURBE($A$2,_xlfn.CONCAT("THEME14=",$B107),SCENARIOS!$A$2,SCENARIOS!$B$2,YIELDS_youvert!X$1,0)</f>
        <v>1</v>
      </c>
      <c r="Y107" cm="1">
        <f t="array" ref="Y107">_xll.VALEURCOURBE($A$2,_xlfn.CONCAT("THEME14=",$B107),SCENARIOS!$A$2,SCENARIOS!$B$2,YIELDS_youvert!Y$1,0)</f>
        <v>1</v>
      </c>
      <c r="Z107" cm="1">
        <f t="array" ref="Z107">_xll.VALEURCOURBE($A$2,_xlfn.CONCAT("THEME14=",$B107),SCENARIOS!$A$2,SCENARIOS!$B$2,YIELDS_youvert!Z$1,0)</f>
        <v>1</v>
      </c>
      <c r="AA107" cm="1">
        <f t="array" ref="AA107">_xll.VALEURCOURBE($A$2,_xlfn.CONCAT("THEME14=",$B107),SCENARIOS!$A$2,SCENARIOS!$B$2,YIELDS_youvert!AA$1,0)</f>
        <v>1</v>
      </c>
      <c r="AB107" cm="1">
        <f t="array" ref="AB107">_xll.VALEURCOURBE($A$2,_xlfn.CONCAT("THEME14=",$B107),SCENARIOS!$A$2,SCENARIOS!$B$2,YIELDS_youvert!AB$1,0)</f>
        <v>1</v>
      </c>
      <c r="AC107" cm="1">
        <f t="array" ref="AC107">_xll.VALEURCOURBE($A$2,_xlfn.CONCAT("THEME14=",$B107),SCENARIOS!$A$2,SCENARIOS!$B$2,YIELDS_youvert!AC$1,0)</f>
        <v>1</v>
      </c>
      <c r="AD107" cm="1">
        <f t="array" ref="AD107">_xll.VALEURCOURBE($A$2,_xlfn.CONCAT("THEME14=",$B107),SCENARIOS!$A$2,SCENARIOS!$B$2,YIELDS_youvert!AD$1,0)</f>
        <v>1</v>
      </c>
      <c r="AE107" cm="1">
        <f t="array" ref="AE107">_xll.VALEURCOURBE($A$2,_xlfn.CONCAT("THEME14=",$B107),SCENARIOS!$A$2,SCENARIOS!$B$2,YIELDS_youvert!AE$1,0)</f>
        <v>1</v>
      </c>
    </row>
    <row r="108" spans="3:31" x14ac:dyDescent="0.25">
      <c r="C108" cm="1">
        <f t="array" ref="C108">_xll.VALEURCOURBE($A$2,_xlfn.CONCAT("THEME14=",$B108),SCENARIOS!$A$2,SCENARIOS!$B$2,YIELDS_youvert!C$1,0)</f>
        <v>1</v>
      </c>
      <c r="D108" cm="1">
        <f t="array" ref="D108">_xll.VALEURCOURBE($A$2,_xlfn.CONCAT("THEME14=",$B108),SCENARIOS!$A$2,SCENARIOS!$B$2,YIELDS_youvert!D$1,0)</f>
        <v>1</v>
      </c>
      <c r="E108" cm="1">
        <f t="array" ref="E108">_xll.VALEURCOURBE($A$2,_xlfn.CONCAT("THEME14=",$B108),SCENARIOS!$A$2,SCENARIOS!$B$2,YIELDS_youvert!E$1,0)</f>
        <v>1</v>
      </c>
      <c r="F108" cm="1">
        <f t="array" ref="F108">_xll.VALEURCOURBE($A$2,_xlfn.CONCAT("THEME14=",$B108),SCENARIOS!$A$2,SCENARIOS!$B$2,YIELDS_youvert!F$1,0)</f>
        <v>1</v>
      </c>
      <c r="G108" cm="1">
        <f t="array" ref="G108">_xll.VALEURCOURBE($A$2,_xlfn.CONCAT("THEME14=",$B108),SCENARIOS!$A$2,SCENARIOS!$B$2,YIELDS_youvert!G$1,0)</f>
        <v>1</v>
      </c>
      <c r="H108" cm="1">
        <f t="array" ref="H108">_xll.VALEURCOURBE($A$2,_xlfn.CONCAT("THEME14=",$B108),SCENARIOS!$A$2,SCENARIOS!$B$2,YIELDS_youvert!H$1,0)</f>
        <v>1</v>
      </c>
      <c r="I108" cm="1">
        <f t="array" ref="I108">_xll.VALEURCOURBE($A$2,_xlfn.CONCAT("THEME14=",$B108),SCENARIOS!$A$2,SCENARIOS!$B$2,YIELDS_youvert!I$1,0)</f>
        <v>1</v>
      </c>
      <c r="J108" cm="1">
        <f t="array" ref="J108">_xll.VALEURCOURBE($A$2,_xlfn.CONCAT("THEME14=",$B108),SCENARIOS!$A$2,SCENARIOS!$B$2,YIELDS_youvert!J$1,0)</f>
        <v>1</v>
      </c>
      <c r="K108" cm="1">
        <f t="array" ref="K108">_xll.VALEURCOURBE($A$2,_xlfn.CONCAT("THEME14=",$B108),SCENARIOS!$A$2,SCENARIOS!$B$2,YIELDS_youvert!K$1,0)</f>
        <v>1</v>
      </c>
      <c r="L108" cm="1">
        <f t="array" ref="L108">_xll.VALEURCOURBE($A$2,_xlfn.CONCAT("THEME14=",$B108),SCENARIOS!$A$2,SCENARIOS!$B$2,YIELDS_youvert!L$1,0)</f>
        <v>1</v>
      </c>
      <c r="M108" cm="1">
        <f t="array" ref="M108">_xll.VALEURCOURBE($A$2,_xlfn.CONCAT("THEME14=",$B108),SCENARIOS!$A$2,SCENARIOS!$B$2,YIELDS_youvert!M$1,0)</f>
        <v>1</v>
      </c>
      <c r="N108" cm="1">
        <f t="array" ref="N108">_xll.VALEURCOURBE($A$2,_xlfn.CONCAT("THEME14=",$B108),SCENARIOS!$A$2,SCENARIOS!$B$2,YIELDS_youvert!N$1,0)</f>
        <v>1</v>
      </c>
      <c r="O108" cm="1">
        <f t="array" ref="O108">_xll.VALEURCOURBE($A$2,_xlfn.CONCAT("THEME14=",$B108),SCENARIOS!$A$2,SCENARIOS!$B$2,YIELDS_youvert!O$1,0)</f>
        <v>1</v>
      </c>
      <c r="P108" cm="1">
        <f t="array" ref="P108">_xll.VALEURCOURBE($A$2,_xlfn.CONCAT("THEME14=",$B108),SCENARIOS!$A$2,SCENARIOS!$B$2,YIELDS_youvert!P$1,0)</f>
        <v>1</v>
      </c>
      <c r="Q108" cm="1">
        <f t="array" ref="Q108">_xll.VALEURCOURBE($A$2,_xlfn.CONCAT("THEME14=",$B108),SCENARIOS!$A$2,SCENARIOS!$B$2,YIELDS_youvert!Q$1,0)</f>
        <v>1</v>
      </c>
      <c r="R108" cm="1">
        <f t="array" ref="R108">_xll.VALEURCOURBE($A$2,_xlfn.CONCAT("THEME14=",$B108),SCENARIOS!$A$2,SCENARIOS!$B$2,YIELDS_youvert!R$1,0)</f>
        <v>1</v>
      </c>
      <c r="S108" cm="1">
        <f t="array" ref="S108">_xll.VALEURCOURBE($A$2,_xlfn.CONCAT("THEME14=",$B108),SCENARIOS!$A$2,SCENARIOS!$B$2,YIELDS_youvert!S$1,0)</f>
        <v>1</v>
      </c>
      <c r="T108" cm="1">
        <f t="array" ref="T108">_xll.VALEURCOURBE($A$2,_xlfn.CONCAT("THEME14=",$B108),SCENARIOS!$A$2,SCENARIOS!$B$2,YIELDS_youvert!T$1,0)</f>
        <v>1</v>
      </c>
      <c r="U108" cm="1">
        <f t="array" ref="U108">_xll.VALEURCOURBE($A$2,_xlfn.CONCAT("THEME14=",$B108),SCENARIOS!$A$2,SCENARIOS!$B$2,YIELDS_youvert!U$1,0)</f>
        <v>1</v>
      </c>
      <c r="V108" cm="1">
        <f t="array" ref="V108">_xll.VALEURCOURBE($A$2,_xlfn.CONCAT("THEME14=",$B108),SCENARIOS!$A$2,SCENARIOS!$B$2,YIELDS_youvert!V$1,0)</f>
        <v>1</v>
      </c>
      <c r="W108" cm="1">
        <f t="array" ref="W108">_xll.VALEURCOURBE($A$2,_xlfn.CONCAT("THEME14=",$B108),SCENARIOS!$A$2,SCENARIOS!$B$2,YIELDS_youvert!W$1,0)</f>
        <v>1</v>
      </c>
      <c r="X108" cm="1">
        <f t="array" ref="X108">_xll.VALEURCOURBE($A$2,_xlfn.CONCAT("THEME14=",$B108),SCENARIOS!$A$2,SCENARIOS!$B$2,YIELDS_youvert!X$1,0)</f>
        <v>1</v>
      </c>
      <c r="Y108" cm="1">
        <f t="array" ref="Y108">_xll.VALEURCOURBE($A$2,_xlfn.CONCAT("THEME14=",$B108),SCENARIOS!$A$2,SCENARIOS!$B$2,YIELDS_youvert!Y$1,0)</f>
        <v>1</v>
      </c>
      <c r="Z108" cm="1">
        <f t="array" ref="Z108">_xll.VALEURCOURBE($A$2,_xlfn.CONCAT("THEME14=",$B108),SCENARIOS!$A$2,SCENARIOS!$B$2,YIELDS_youvert!Z$1,0)</f>
        <v>1</v>
      </c>
      <c r="AA108" cm="1">
        <f t="array" ref="AA108">_xll.VALEURCOURBE($A$2,_xlfn.CONCAT("THEME14=",$B108),SCENARIOS!$A$2,SCENARIOS!$B$2,YIELDS_youvert!AA$1,0)</f>
        <v>1</v>
      </c>
      <c r="AB108" cm="1">
        <f t="array" ref="AB108">_xll.VALEURCOURBE($A$2,_xlfn.CONCAT("THEME14=",$B108),SCENARIOS!$A$2,SCENARIOS!$B$2,YIELDS_youvert!AB$1,0)</f>
        <v>1</v>
      </c>
      <c r="AC108" cm="1">
        <f t="array" ref="AC108">_xll.VALEURCOURBE($A$2,_xlfn.CONCAT("THEME14=",$B108),SCENARIOS!$A$2,SCENARIOS!$B$2,YIELDS_youvert!AC$1,0)</f>
        <v>1</v>
      </c>
      <c r="AD108" cm="1">
        <f t="array" ref="AD108">_xll.VALEURCOURBE($A$2,_xlfn.CONCAT("THEME14=",$B108),SCENARIOS!$A$2,SCENARIOS!$B$2,YIELDS_youvert!AD$1,0)</f>
        <v>1</v>
      </c>
      <c r="AE108" cm="1">
        <f t="array" ref="AE108">_xll.VALEURCOURBE($A$2,_xlfn.CONCAT("THEME14=",$B108),SCENARIOS!$A$2,SCENARIOS!$B$2,YIELDS_youvert!AE$1,0)</f>
        <v>1</v>
      </c>
    </row>
    <row r="109" spans="3:31" x14ac:dyDescent="0.25">
      <c r="C109" cm="1">
        <f t="array" ref="C109">_xll.VALEURCOURBE($A$2,_xlfn.CONCAT("THEME14=",$B109),SCENARIOS!$A$2,SCENARIOS!$B$2,YIELDS_youvert!C$1,0)</f>
        <v>1</v>
      </c>
      <c r="D109" cm="1">
        <f t="array" ref="D109">_xll.VALEURCOURBE($A$2,_xlfn.CONCAT("THEME14=",$B109),SCENARIOS!$A$2,SCENARIOS!$B$2,YIELDS_youvert!D$1,0)</f>
        <v>1</v>
      </c>
      <c r="E109" cm="1">
        <f t="array" ref="E109">_xll.VALEURCOURBE($A$2,_xlfn.CONCAT("THEME14=",$B109),SCENARIOS!$A$2,SCENARIOS!$B$2,YIELDS_youvert!E$1,0)</f>
        <v>1</v>
      </c>
      <c r="F109" cm="1">
        <f t="array" ref="F109">_xll.VALEURCOURBE($A$2,_xlfn.CONCAT("THEME14=",$B109),SCENARIOS!$A$2,SCENARIOS!$B$2,YIELDS_youvert!F$1,0)</f>
        <v>1</v>
      </c>
      <c r="G109" cm="1">
        <f t="array" ref="G109">_xll.VALEURCOURBE($A$2,_xlfn.CONCAT("THEME14=",$B109),SCENARIOS!$A$2,SCENARIOS!$B$2,YIELDS_youvert!G$1,0)</f>
        <v>1</v>
      </c>
      <c r="H109" cm="1">
        <f t="array" ref="H109">_xll.VALEURCOURBE($A$2,_xlfn.CONCAT("THEME14=",$B109),SCENARIOS!$A$2,SCENARIOS!$B$2,YIELDS_youvert!H$1,0)</f>
        <v>1</v>
      </c>
      <c r="I109" cm="1">
        <f t="array" ref="I109">_xll.VALEURCOURBE($A$2,_xlfn.CONCAT("THEME14=",$B109),SCENARIOS!$A$2,SCENARIOS!$B$2,YIELDS_youvert!I$1,0)</f>
        <v>1</v>
      </c>
      <c r="J109" cm="1">
        <f t="array" ref="J109">_xll.VALEURCOURBE($A$2,_xlfn.CONCAT("THEME14=",$B109),SCENARIOS!$A$2,SCENARIOS!$B$2,YIELDS_youvert!J$1,0)</f>
        <v>1</v>
      </c>
      <c r="K109" cm="1">
        <f t="array" ref="K109">_xll.VALEURCOURBE($A$2,_xlfn.CONCAT("THEME14=",$B109),SCENARIOS!$A$2,SCENARIOS!$B$2,YIELDS_youvert!K$1,0)</f>
        <v>1</v>
      </c>
      <c r="L109" cm="1">
        <f t="array" ref="L109">_xll.VALEURCOURBE($A$2,_xlfn.CONCAT("THEME14=",$B109),SCENARIOS!$A$2,SCENARIOS!$B$2,YIELDS_youvert!L$1,0)</f>
        <v>1</v>
      </c>
      <c r="M109" cm="1">
        <f t="array" ref="M109">_xll.VALEURCOURBE($A$2,_xlfn.CONCAT("THEME14=",$B109),SCENARIOS!$A$2,SCENARIOS!$B$2,YIELDS_youvert!M$1,0)</f>
        <v>1</v>
      </c>
      <c r="N109" cm="1">
        <f t="array" ref="N109">_xll.VALEURCOURBE($A$2,_xlfn.CONCAT("THEME14=",$B109),SCENARIOS!$A$2,SCENARIOS!$B$2,YIELDS_youvert!N$1,0)</f>
        <v>1</v>
      </c>
      <c r="O109" cm="1">
        <f t="array" ref="O109">_xll.VALEURCOURBE($A$2,_xlfn.CONCAT("THEME14=",$B109),SCENARIOS!$A$2,SCENARIOS!$B$2,YIELDS_youvert!O$1,0)</f>
        <v>1</v>
      </c>
      <c r="P109" cm="1">
        <f t="array" ref="P109">_xll.VALEURCOURBE($A$2,_xlfn.CONCAT("THEME14=",$B109),SCENARIOS!$A$2,SCENARIOS!$B$2,YIELDS_youvert!P$1,0)</f>
        <v>1</v>
      </c>
      <c r="Q109" cm="1">
        <f t="array" ref="Q109">_xll.VALEURCOURBE($A$2,_xlfn.CONCAT("THEME14=",$B109),SCENARIOS!$A$2,SCENARIOS!$B$2,YIELDS_youvert!Q$1,0)</f>
        <v>1</v>
      </c>
      <c r="R109" cm="1">
        <f t="array" ref="R109">_xll.VALEURCOURBE($A$2,_xlfn.CONCAT("THEME14=",$B109),SCENARIOS!$A$2,SCENARIOS!$B$2,YIELDS_youvert!R$1,0)</f>
        <v>1</v>
      </c>
      <c r="S109" cm="1">
        <f t="array" ref="S109">_xll.VALEURCOURBE($A$2,_xlfn.CONCAT("THEME14=",$B109),SCENARIOS!$A$2,SCENARIOS!$B$2,YIELDS_youvert!S$1,0)</f>
        <v>1</v>
      </c>
      <c r="T109" cm="1">
        <f t="array" ref="T109">_xll.VALEURCOURBE($A$2,_xlfn.CONCAT("THEME14=",$B109),SCENARIOS!$A$2,SCENARIOS!$B$2,YIELDS_youvert!T$1,0)</f>
        <v>1</v>
      </c>
      <c r="U109" cm="1">
        <f t="array" ref="U109">_xll.VALEURCOURBE($A$2,_xlfn.CONCAT("THEME14=",$B109),SCENARIOS!$A$2,SCENARIOS!$B$2,YIELDS_youvert!U$1,0)</f>
        <v>1</v>
      </c>
      <c r="V109" cm="1">
        <f t="array" ref="V109">_xll.VALEURCOURBE($A$2,_xlfn.CONCAT("THEME14=",$B109),SCENARIOS!$A$2,SCENARIOS!$B$2,YIELDS_youvert!V$1,0)</f>
        <v>1</v>
      </c>
      <c r="W109" cm="1">
        <f t="array" ref="W109">_xll.VALEURCOURBE($A$2,_xlfn.CONCAT("THEME14=",$B109),SCENARIOS!$A$2,SCENARIOS!$B$2,YIELDS_youvert!W$1,0)</f>
        <v>1</v>
      </c>
      <c r="X109" cm="1">
        <f t="array" ref="X109">_xll.VALEURCOURBE($A$2,_xlfn.CONCAT("THEME14=",$B109),SCENARIOS!$A$2,SCENARIOS!$B$2,YIELDS_youvert!X$1,0)</f>
        <v>1</v>
      </c>
      <c r="Y109" cm="1">
        <f t="array" ref="Y109">_xll.VALEURCOURBE($A$2,_xlfn.CONCAT("THEME14=",$B109),SCENARIOS!$A$2,SCENARIOS!$B$2,YIELDS_youvert!Y$1,0)</f>
        <v>1</v>
      </c>
      <c r="Z109" cm="1">
        <f t="array" ref="Z109">_xll.VALEURCOURBE($A$2,_xlfn.CONCAT("THEME14=",$B109),SCENARIOS!$A$2,SCENARIOS!$B$2,YIELDS_youvert!Z$1,0)</f>
        <v>1</v>
      </c>
      <c r="AA109" cm="1">
        <f t="array" ref="AA109">_xll.VALEURCOURBE($A$2,_xlfn.CONCAT("THEME14=",$B109),SCENARIOS!$A$2,SCENARIOS!$B$2,YIELDS_youvert!AA$1,0)</f>
        <v>1</v>
      </c>
      <c r="AB109" cm="1">
        <f t="array" ref="AB109">_xll.VALEURCOURBE($A$2,_xlfn.CONCAT("THEME14=",$B109),SCENARIOS!$A$2,SCENARIOS!$B$2,YIELDS_youvert!AB$1,0)</f>
        <v>1</v>
      </c>
      <c r="AC109" cm="1">
        <f t="array" ref="AC109">_xll.VALEURCOURBE($A$2,_xlfn.CONCAT("THEME14=",$B109),SCENARIOS!$A$2,SCENARIOS!$B$2,YIELDS_youvert!AC$1,0)</f>
        <v>1</v>
      </c>
      <c r="AD109" cm="1">
        <f t="array" ref="AD109">_xll.VALEURCOURBE($A$2,_xlfn.CONCAT("THEME14=",$B109),SCENARIOS!$A$2,SCENARIOS!$B$2,YIELDS_youvert!AD$1,0)</f>
        <v>1</v>
      </c>
      <c r="AE109" cm="1">
        <f t="array" ref="AE109">_xll.VALEURCOURBE($A$2,_xlfn.CONCAT("THEME14=",$B109),SCENARIOS!$A$2,SCENARIOS!$B$2,YIELDS_youvert!AE$1,0)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BE25-2961-4228-9DD1-5403A8BE1FAA}">
  <sheetPr codeName="Feuil5"/>
  <dimension ref="A1:AF2"/>
  <sheetViews>
    <sheetView tabSelected="1" workbookViewId="0">
      <selection activeCell="B3" sqref="B3"/>
    </sheetView>
  </sheetViews>
  <sheetFormatPr baseColWidth="10" defaultRowHeight="15" x14ac:dyDescent="0.25"/>
  <sheetData>
    <row r="1" spans="1:32" x14ac:dyDescent="0.25">
      <c r="A1" t="s">
        <v>15</v>
      </c>
      <c r="B1" s="3">
        <v>2</v>
      </c>
      <c r="C1" s="3"/>
      <c r="D1" s="3"/>
      <c r="E1" s="3"/>
      <c r="F1" s="3"/>
      <c r="G1" s="3"/>
      <c r="H1" s="3"/>
      <c r="I1" s="3"/>
      <c r="J1" s="3"/>
      <c r="K1" s="3">
        <v>5</v>
      </c>
      <c r="L1" s="3"/>
      <c r="M1" s="3"/>
      <c r="N1" s="3"/>
      <c r="O1" s="3"/>
      <c r="P1" s="3"/>
      <c r="Q1" s="3"/>
      <c r="R1" s="3"/>
      <c r="S1" s="3"/>
      <c r="T1" s="3">
        <v>15</v>
      </c>
      <c r="U1" s="3"/>
      <c r="V1" s="3"/>
      <c r="W1" s="3"/>
      <c r="X1" s="3"/>
      <c r="Y1" s="3"/>
      <c r="Z1" s="3"/>
      <c r="AA1" s="3"/>
      <c r="AB1" s="3"/>
      <c r="AC1" s="1"/>
      <c r="AD1" s="1"/>
      <c r="AE1" s="1"/>
      <c r="AF1" s="1"/>
    </row>
    <row r="2" spans="1:32" x14ac:dyDescent="0.25">
      <c r="A2" t="s">
        <v>16</v>
      </c>
      <c r="B2" s="3" t="str" cm="1">
        <f t="array" ref="B2">_xll.PHOTOTHEME(SCENARIOS!$A$2,SCENARIOS!$B$2,14,YIELDS_youvert!D2:D109)</f>
        <v>PC_7001892_U03772_SSP02</v>
      </c>
      <c r="C2" s="3"/>
      <c r="D2" s="3"/>
      <c r="E2" s="3"/>
      <c r="F2" s="3"/>
      <c r="G2" s="3"/>
      <c r="H2" s="3"/>
      <c r="I2" s="3"/>
      <c r="J2" s="3"/>
      <c r="K2" s="3" t="str" cm="1">
        <f t="array" ref="K2">_xll.PHOTOTHEME(SCENARIOS!$A$2,SCENARIOS!$B$2,14,YIELDS_youvert!G2:G109)</f>
        <v>PC_7001892_U03772_SSP02</v>
      </c>
      <c r="L2" s="3"/>
      <c r="M2" s="3"/>
      <c r="N2" s="3"/>
      <c r="O2" s="3"/>
      <c r="P2" s="3"/>
      <c r="Q2" s="3"/>
      <c r="R2" s="3"/>
      <c r="S2" s="3"/>
      <c r="T2" s="3" t="str" cm="1">
        <f t="array" ref="T2">_xll.PHOTOTHEME(SCENARIOS!$A$2,SCENARIOS!$B$2,14,YIELDS_youvert!Q2:Q109)</f>
        <v>PC_7001892_U03772_SSP02</v>
      </c>
      <c r="U2" s="3"/>
      <c r="V2" s="3"/>
      <c r="W2" s="3"/>
      <c r="X2" s="3"/>
      <c r="Y2" s="3"/>
      <c r="Z2" s="3"/>
      <c r="AA2" s="3"/>
      <c r="AB2" s="3"/>
      <c r="AC2" s="1"/>
      <c r="AD2" s="1"/>
    </row>
  </sheetData>
  <mergeCells count="6">
    <mergeCell ref="B2:J2"/>
    <mergeCell ref="B1:J1"/>
    <mergeCell ref="K1:S1"/>
    <mergeCell ref="K2:S2"/>
    <mergeCell ref="T1:AB1"/>
    <mergeCell ref="T2:AB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19AC-6E7D-4F1E-AF4A-22E203F7C2FA}">
  <sheetPr codeName="Feuil6"/>
  <dimension ref="A1:C32"/>
  <sheetViews>
    <sheetView workbookViewId="0">
      <selection activeCell="B2" sqref="B2"/>
    </sheetView>
  </sheetViews>
  <sheetFormatPr baseColWidth="10" defaultRowHeight="15" x14ac:dyDescent="0.25"/>
  <cols>
    <col min="1" max="1" width="31.5703125" customWidth="1"/>
    <col min="2" max="2" width="15.85546875" customWidth="1"/>
  </cols>
  <sheetData>
    <row r="1" spans="1:3" x14ac:dyDescent="0.25">
      <c r="A1" t="s">
        <v>4</v>
      </c>
      <c r="B1" t="s">
        <v>17</v>
      </c>
      <c r="C1" t="s">
        <v>18</v>
      </c>
    </row>
    <row r="2" spans="1:3" x14ac:dyDescent="0.25">
      <c r="A2" t="str" cm="1">
        <f t="array" ref="A2:A32">_xll.NOMACTIONS("?",SCENARIOS!A2,SCENARIOS!B2)</f>
        <v>ATBEMORT</v>
      </c>
      <c r="B2" t="str" cm="1">
        <f t="array" ref="B2:B6">_xll.NOMACTIONS(B1,SCENARIOS!A2,SCENARIOS!B2)</f>
        <v>ACRV</v>
      </c>
      <c r="C2" t="str" cm="1">
        <f t="array" ref="C2:C14">_xll.NOMACTIONS(C1,SCENARIOS!A2,SCENARIOS!B2)</f>
        <v>AEC</v>
      </c>
    </row>
    <row r="3" spans="1:3" x14ac:dyDescent="0.25">
      <c r="A3" t="str">
        <v>ADEGNAT</v>
      </c>
      <c r="B3" t="str">
        <v>ACRS</v>
      </c>
      <c r="C3" t="str">
        <v>AEC2</v>
      </c>
    </row>
    <row r="4" spans="1:3" x14ac:dyDescent="0.25">
      <c r="A4" t="str">
        <v>ADEGPL</v>
      </c>
      <c r="B4" t="str">
        <v>ACFP</v>
      </c>
      <c r="C4" t="str">
        <v>AEC3</v>
      </c>
    </row>
    <row r="5" spans="1:3" x14ac:dyDescent="0.25">
      <c r="A5" t="str">
        <v>AEPC</v>
      </c>
      <c r="B5" t="str">
        <v>ACPPTM</v>
      </c>
      <c r="C5" t="str">
        <v>ACA</v>
      </c>
    </row>
    <row r="6" spans="1:3" x14ac:dyDescent="0.25">
      <c r="A6" t="str">
        <v>ANET</v>
      </c>
      <c r="B6" t="str">
        <v>ACT</v>
      </c>
      <c r="C6" t="str">
        <v>ACA2</v>
      </c>
    </row>
    <row r="7" spans="1:3" x14ac:dyDescent="0.25">
      <c r="A7" t="str">
        <v>AEC</v>
      </c>
      <c r="C7" t="str">
        <v>ACPROG</v>
      </c>
    </row>
    <row r="8" spans="1:3" x14ac:dyDescent="0.25">
      <c r="A8" t="str">
        <v>AEC2</v>
      </c>
      <c r="C8" t="str">
        <v>ACPIL</v>
      </c>
    </row>
    <row r="9" spans="1:3" x14ac:dyDescent="0.25">
      <c r="A9" t="str">
        <v>AEC3</v>
      </c>
      <c r="C9" t="str">
        <v>ACPIP</v>
      </c>
    </row>
    <row r="10" spans="1:3" x14ac:dyDescent="0.25">
      <c r="A10" t="str">
        <v>ACA</v>
      </c>
      <c r="C10" t="str">
        <v>ACPFORT</v>
      </c>
    </row>
    <row r="11" spans="1:3" x14ac:dyDescent="0.25">
      <c r="A11" t="str">
        <v>ACA2</v>
      </c>
      <c r="C11" t="str">
        <v>ACPFAIBL</v>
      </c>
    </row>
    <row r="12" spans="1:3" x14ac:dyDescent="0.25">
      <c r="A12" t="str">
        <v>ACPROG</v>
      </c>
      <c r="C12" t="str">
        <v>ACP</v>
      </c>
    </row>
    <row r="13" spans="1:3" x14ac:dyDescent="0.25">
      <c r="A13" t="str">
        <v>ACPIL</v>
      </c>
      <c r="C13" t="str">
        <v>ACPJ</v>
      </c>
    </row>
    <row r="14" spans="1:3" x14ac:dyDescent="0.25">
      <c r="A14" t="str">
        <v>ACPIP</v>
      </c>
      <c r="C14" t="str">
        <v>ACJ</v>
      </c>
    </row>
    <row r="15" spans="1:3" x14ac:dyDescent="0.25">
      <c r="A15" t="str">
        <v>ACPFORT</v>
      </c>
    </row>
    <row r="16" spans="1:3" x14ac:dyDescent="0.25">
      <c r="A16" t="str">
        <v>ACPFAIBL</v>
      </c>
    </row>
    <row r="17" spans="1:1" x14ac:dyDescent="0.25">
      <c r="A17" t="str">
        <v>ACP</v>
      </c>
    </row>
    <row r="18" spans="1:1" x14ac:dyDescent="0.25">
      <c r="A18" t="str">
        <v>ACPJ</v>
      </c>
    </row>
    <row r="19" spans="1:1" x14ac:dyDescent="0.25">
      <c r="A19" t="str">
        <v>ACJ</v>
      </c>
    </row>
    <row r="20" spans="1:1" x14ac:dyDescent="0.25">
      <c r="A20" t="str">
        <v>ACRV</v>
      </c>
    </row>
    <row r="21" spans="1:1" x14ac:dyDescent="0.25">
      <c r="A21" t="str">
        <v>ACRS</v>
      </c>
    </row>
    <row r="22" spans="1:1" x14ac:dyDescent="0.25">
      <c r="A22" t="str">
        <v>ACFP</v>
      </c>
    </row>
    <row r="23" spans="1:1" x14ac:dyDescent="0.25">
      <c r="A23" t="str">
        <v>ACPPTM</v>
      </c>
    </row>
    <row r="24" spans="1:1" x14ac:dyDescent="0.25">
      <c r="A24" t="str">
        <v>ACT</v>
      </c>
    </row>
    <row r="25" spans="1:1" x14ac:dyDescent="0.25">
      <c r="A25" t="str">
        <v>ASCA</v>
      </c>
    </row>
    <row r="26" spans="1:1" x14ac:dyDescent="0.25">
      <c r="A26" t="str">
        <v>APLLI</v>
      </c>
    </row>
    <row r="27" spans="1:1" x14ac:dyDescent="0.25">
      <c r="A27" t="str">
        <v>APLIN</v>
      </c>
    </row>
    <row r="28" spans="1:1" x14ac:dyDescent="0.25">
      <c r="A28" t="str">
        <v>APLBA</v>
      </c>
    </row>
    <row r="29" spans="1:1" x14ac:dyDescent="0.25">
      <c r="A29" t="str">
        <v>APL</v>
      </c>
    </row>
    <row r="30" spans="1:1" x14ac:dyDescent="0.25">
      <c r="A30" t="str">
        <v>AREG</v>
      </c>
    </row>
    <row r="31" spans="1:1" x14ac:dyDescent="0.25">
      <c r="A31" t="str">
        <v>ASNAT</v>
      </c>
    </row>
    <row r="32" spans="1:1" x14ac:dyDescent="0.25">
      <c r="A32" t="str">
        <v>_DEATH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2D48-BF0E-493C-B9C4-733417F00F84}">
  <sheetPr codeName="Feuil7"/>
  <dimension ref="A1:AG1710"/>
  <sheetViews>
    <sheetView workbookViewId="0">
      <selection activeCell="E4" sqref="E4"/>
    </sheetView>
  </sheetViews>
  <sheetFormatPr baseColWidth="10" defaultRowHeight="15" x14ac:dyDescent="0.25"/>
  <cols>
    <col min="1" max="1" width="41.85546875" customWidth="1"/>
    <col min="2" max="2" width="25.28515625" customWidth="1"/>
  </cols>
  <sheetData>
    <row r="1" spans="1:33" x14ac:dyDescent="0.25">
      <c r="A1" t="s">
        <v>5</v>
      </c>
      <c r="B1" t="s">
        <v>6</v>
      </c>
      <c r="D1" cm="1">
        <f t="array" ref="D1:AG1">_xll.PERIODES(SCENARIOS!A2,SCENARIOS!B2,FALSE)</f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</row>
    <row r="2" spans="1:33" x14ac:dyDescent="0.25">
      <c r="A2" t="str" cm="1">
        <f t="array" ref="A2:A1710">_xll.NOMOUTPUTS(SCENARIOS!A2,SCENARIOS!B2)</f>
        <v>OSUPMOINS</v>
      </c>
      <c r="B2" cm="1">
        <f t="array" ref="B2">_xll.VALEUROUTPUT(A2,"THEME14=C00002",SCENARIOS!A2,SCENARIOS!B2,1)</f>
        <v>-2176.4</v>
      </c>
      <c r="C2" t="str" cm="1">
        <f t="array" ref="C2:C16">_xll.NOMATTRIBUTS(14,"?",SCENARIOS!A2,SCENARIOS!B2)</f>
        <v>C00001</v>
      </c>
      <c r="D2" cm="1">
        <f t="array" ref="D2">_xll.VALEUROUTPUT($A$923,_xlfn.CONCAT("THEME14=",$C2),SCENARIOS!$A$2,SCENARIOS!$B$2,D$1)</f>
        <v>0</v>
      </c>
      <c r="E2" cm="1">
        <f t="array" ref="E2">_xll.VALEUROUTPUT($A$923,_xlfn.CONCAT("THEME14=",$C2),SCENARIOS!$A$2,SCENARIOS!$B$2,E$1)</f>
        <v>0</v>
      </c>
      <c r="F2" cm="1">
        <f t="array" ref="F2">_xll.VALEUROUTPUT($A$923,_xlfn.CONCAT("THEME14=",$C2),SCENARIOS!$A$2,SCENARIOS!$B$2,F$1)</f>
        <v>0</v>
      </c>
      <c r="G2" cm="1">
        <f t="array" ref="G2">_xll.VALEUROUTPUT($A$923,_xlfn.CONCAT("THEME14=",$C2),SCENARIOS!$A$2,SCENARIOS!$B$2,G$1)</f>
        <v>0</v>
      </c>
      <c r="H2" cm="1">
        <f t="array" ref="H2">_xll.VALEUROUTPUT($A$923,_xlfn.CONCAT("THEME14=",$C2),SCENARIOS!$A$2,SCENARIOS!$B$2,H$1)</f>
        <v>0</v>
      </c>
      <c r="I2" cm="1">
        <f t="array" ref="I2">_xll.VALEUROUTPUT($A$923,_xlfn.CONCAT("THEME14=",$C2),SCENARIOS!$A$2,SCENARIOS!$B$2,I$1)</f>
        <v>0</v>
      </c>
      <c r="J2" cm="1">
        <f t="array" ref="J2">_xll.VALEUROUTPUT($A$923,_xlfn.CONCAT("THEME14=",$C2),SCENARIOS!$A$2,SCENARIOS!$B$2,J$1)</f>
        <v>0</v>
      </c>
      <c r="K2" cm="1">
        <f t="array" ref="K2">_xll.VALEUROUTPUT($A$923,_xlfn.CONCAT("THEME14=",$C2),SCENARIOS!$A$2,SCENARIOS!$B$2,K$1)</f>
        <v>0</v>
      </c>
      <c r="L2" cm="1">
        <f t="array" ref="L2">_xll.VALEUROUTPUT($A$923,_xlfn.CONCAT("THEME14=",$C2),SCENARIOS!$A$2,SCENARIOS!$B$2,L$1)</f>
        <v>0</v>
      </c>
      <c r="M2" cm="1">
        <f t="array" ref="M2">_xll.VALEUROUTPUT($A$923,_xlfn.CONCAT("THEME14=",$C2),SCENARIOS!$A$2,SCENARIOS!$B$2,M$1)</f>
        <v>0</v>
      </c>
      <c r="N2" cm="1">
        <f t="array" ref="N2">_xll.VALEUROUTPUT($A$923,_xlfn.CONCAT("THEME14=",$C2),SCENARIOS!$A$2,SCENARIOS!$B$2,N$1)</f>
        <v>0</v>
      </c>
      <c r="O2" cm="1">
        <f t="array" ref="O2">_xll.VALEUROUTPUT($A$923,_xlfn.CONCAT("THEME14=",$C2),SCENARIOS!$A$2,SCENARIOS!$B$2,O$1)</f>
        <v>0</v>
      </c>
      <c r="P2" cm="1">
        <f t="array" ref="P2">_xll.VALEUROUTPUT($A$923,_xlfn.CONCAT("THEME14=",$C2),SCENARIOS!$A$2,SCENARIOS!$B$2,P$1)</f>
        <v>0</v>
      </c>
      <c r="Q2" cm="1">
        <f t="array" ref="Q2">_xll.VALEUROUTPUT($A$923,_xlfn.CONCAT("THEME14=",$C2),SCENARIOS!$A$2,SCENARIOS!$B$2,Q$1)</f>
        <v>0</v>
      </c>
      <c r="R2" cm="1">
        <f t="array" ref="R2">_xll.VALEUROUTPUT($A$923,_xlfn.CONCAT("THEME14=",$C2),SCENARIOS!$A$2,SCENARIOS!$B$2,R$1)</f>
        <v>0</v>
      </c>
      <c r="S2" cm="1">
        <f t="array" ref="S2">_xll.VALEUROUTPUT($A$923,_xlfn.CONCAT("THEME14=",$C2),SCENARIOS!$A$2,SCENARIOS!$B$2,S$1)</f>
        <v>0</v>
      </c>
      <c r="T2" cm="1">
        <f t="array" ref="T2">_xll.VALEUROUTPUT($A$923,_xlfn.CONCAT("THEME14=",$C2),SCENARIOS!$A$2,SCENARIOS!$B$2,T$1)</f>
        <v>0</v>
      </c>
      <c r="U2" cm="1">
        <f t="array" ref="U2">_xll.VALEUROUTPUT($A$923,_xlfn.CONCAT("THEME14=",$C2),SCENARIOS!$A$2,SCENARIOS!$B$2,U$1)</f>
        <v>0</v>
      </c>
      <c r="V2" cm="1">
        <f t="array" ref="V2">_xll.VALEUROUTPUT($A$923,_xlfn.CONCAT("THEME14=",$C2),SCENARIOS!$A$2,SCENARIOS!$B$2,V$1)</f>
        <v>0</v>
      </c>
      <c r="W2" cm="1">
        <f t="array" ref="W2">_xll.VALEUROUTPUT($A$923,_xlfn.CONCAT("THEME14=",$C2),SCENARIOS!$A$2,SCENARIOS!$B$2,W$1)</f>
        <v>0</v>
      </c>
      <c r="X2" cm="1">
        <f t="array" ref="X2">_xll.VALEUROUTPUT($A$923,_xlfn.CONCAT("THEME14=",$C2),SCENARIOS!$A$2,SCENARIOS!$B$2,X$1)</f>
        <v>0</v>
      </c>
      <c r="Y2" cm="1">
        <f t="array" ref="Y2">_xll.VALEUROUTPUT($A$923,_xlfn.CONCAT("THEME14=",$C2),SCENARIOS!$A$2,SCENARIOS!$B$2,Y$1)</f>
        <v>0</v>
      </c>
      <c r="Z2" cm="1">
        <f t="array" ref="Z2">_xll.VALEUROUTPUT($A$923,_xlfn.CONCAT("THEME14=",$C2),SCENARIOS!$A$2,SCENARIOS!$B$2,Z$1)</f>
        <v>0</v>
      </c>
      <c r="AA2" cm="1">
        <f t="array" ref="AA2">_xll.VALEUROUTPUT($A$923,_xlfn.CONCAT("THEME14=",$C2),SCENARIOS!$A$2,SCENARIOS!$B$2,AA$1)</f>
        <v>0</v>
      </c>
      <c r="AB2" cm="1">
        <f t="array" ref="AB2">_xll.VALEUROUTPUT($A$923,_xlfn.CONCAT("THEME14=",$C2),SCENARIOS!$A$2,SCENARIOS!$B$2,AB$1)</f>
        <v>0</v>
      </c>
      <c r="AC2" cm="1">
        <f t="array" ref="AC2">_xll.VALEUROUTPUT($A$923,_xlfn.CONCAT("THEME14=",$C2),SCENARIOS!$A$2,SCENARIOS!$B$2,AC$1)</f>
        <v>0</v>
      </c>
      <c r="AD2" cm="1">
        <f t="array" ref="AD2">_xll.VALEUROUTPUT($A$923,_xlfn.CONCAT("THEME14=",$C2),SCENARIOS!$A$2,SCENARIOS!$B$2,AD$1)</f>
        <v>0</v>
      </c>
      <c r="AE2" cm="1">
        <f t="array" ref="AE2">_xll.VALEUROUTPUT($A$923,_xlfn.CONCAT("THEME14=",$C2),SCENARIOS!$A$2,SCENARIOS!$B$2,AE$1)</f>
        <v>0</v>
      </c>
      <c r="AF2" cm="1">
        <f t="array" ref="AF2">_xll.VALEUROUTPUT($A$923,_xlfn.CONCAT("THEME14=",$C2),SCENARIOS!$A$2,SCENARIOS!$B$2,AF$1)</f>
        <v>0</v>
      </c>
    </row>
    <row r="3" spans="1:33" x14ac:dyDescent="0.25">
      <c r="A3" t="str">
        <v>OSUPTOT</v>
      </c>
      <c r="C3" t="str">
        <v>C00002</v>
      </c>
      <c r="D3" cm="1">
        <f t="array" ref="D3">_xll.VALEUROUTPUT($A$923,_xlfn.CONCAT("THEME14=",$C3),SCENARIOS!$A$2,SCENARIOS!$B$2,D$1)</f>
        <v>0</v>
      </c>
      <c r="E3" cm="1">
        <f t="array" ref="E3">_xll.VALEUROUTPUT($A$923,_xlfn.CONCAT("THEME14=",$C3),SCENARIOS!$A$2,SCENARIOS!$B$2,E$1)</f>
        <v>0</v>
      </c>
      <c r="F3" cm="1">
        <f t="array" ref="F3">_xll.VALEUROUTPUT($A$923,_xlfn.CONCAT("THEME14=",$C3),SCENARIOS!$A$2,SCENARIOS!$B$2,F$1)</f>
        <v>0</v>
      </c>
      <c r="G3" cm="1">
        <f t="array" ref="G3">_xll.VALEUROUTPUT($A$923,_xlfn.CONCAT("THEME14=",$C3),SCENARIOS!$A$2,SCENARIOS!$B$2,G$1)</f>
        <v>0</v>
      </c>
      <c r="H3" cm="1">
        <f t="array" ref="H3">_xll.VALEUROUTPUT($A$923,_xlfn.CONCAT("THEME14=",$C3),SCENARIOS!$A$2,SCENARIOS!$B$2,H$1)</f>
        <v>0</v>
      </c>
      <c r="I3" cm="1">
        <f t="array" ref="I3">_xll.VALEUROUTPUT($A$923,_xlfn.CONCAT("THEME14=",$C3),SCENARIOS!$A$2,SCENARIOS!$B$2,I$1)</f>
        <v>0</v>
      </c>
      <c r="J3" cm="1">
        <f t="array" ref="J3">_xll.VALEUROUTPUT($A$923,_xlfn.CONCAT("THEME14=",$C3),SCENARIOS!$A$2,SCENARIOS!$B$2,J$1)</f>
        <v>0</v>
      </c>
      <c r="K3" cm="1">
        <f t="array" ref="K3">_xll.VALEUROUTPUT($A$923,_xlfn.CONCAT("THEME14=",$C3),SCENARIOS!$A$2,SCENARIOS!$B$2,K$1)</f>
        <v>0</v>
      </c>
      <c r="L3" cm="1">
        <f t="array" ref="L3">_xll.VALEUROUTPUT($A$923,_xlfn.CONCAT("THEME14=",$C3),SCENARIOS!$A$2,SCENARIOS!$B$2,L$1)</f>
        <v>0</v>
      </c>
      <c r="M3" cm="1">
        <f t="array" ref="M3">_xll.VALEUROUTPUT($A$923,_xlfn.CONCAT("THEME14=",$C3),SCENARIOS!$A$2,SCENARIOS!$B$2,M$1)</f>
        <v>0</v>
      </c>
      <c r="N3" cm="1">
        <f t="array" ref="N3">_xll.VALEUROUTPUT($A$923,_xlfn.CONCAT("THEME14=",$C3),SCENARIOS!$A$2,SCENARIOS!$B$2,N$1)</f>
        <v>0</v>
      </c>
      <c r="O3" cm="1">
        <f t="array" ref="O3">_xll.VALEUROUTPUT($A$923,_xlfn.CONCAT("THEME14=",$C3),SCENARIOS!$A$2,SCENARIOS!$B$2,O$1)</f>
        <v>0</v>
      </c>
      <c r="P3" cm="1">
        <f t="array" ref="P3">_xll.VALEUROUTPUT($A$923,_xlfn.CONCAT("THEME14=",$C3),SCENARIOS!$A$2,SCENARIOS!$B$2,P$1)</f>
        <v>0</v>
      </c>
      <c r="Q3" cm="1">
        <f t="array" ref="Q3">_xll.VALEUROUTPUT($A$923,_xlfn.CONCAT("THEME14=",$C3),SCENARIOS!$A$2,SCENARIOS!$B$2,Q$1)</f>
        <v>0</v>
      </c>
      <c r="R3" cm="1">
        <f t="array" ref="R3">_xll.VALEUROUTPUT($A$923,_xlfn.CONCAT("THEME14=",$C3),SCENARIOS!$A$2,SCENARIOS!$B$2,R$1)</f>
        <v>0</v>
      </c>
      <c r="S3" cm="1">
        <f t="array" ref="S3">_xll.VALEUROUTPUT($A$923,_xlfn.CONCAT("THEME14=",$C3),SCENARIOS!$A$2,SCENARIOS!$B$2,S$1)</f>
        <v>0</v>
      </c>
      <c r="T3" cm="1">
        <f t="array" ref="T3">_xll.VALEUROUTPUT($A$923,_xlfn.CONCAT("THEME14=",$C3),SCENARIOS!$A$2,SCENARIOS!$B$2,T$1)</f>
        <v>0</v>
      </c>
      <c r="U3" cm="1">
        <f t="array" ref="U3">_xll.VALEUROUTPUT($A$923,_xlfn.CONCAT("THEME14=",$C3),SCENARIOS!$A$2,SCENARIOS!$B$2,U$1)</f>
        <v>0</v>
      </c>
      <c r="V3" cm="1">
        <f t="array" ref="V3">_xll.VALEUROUTPUT($A$923,_xlfn.CONCAT("THEME14=",$C3),SCENARIOS!$A$2,SCENARIOS!$B$2,V$1)</f>
        <v>0</v>
      </c>
      <c r="W3" cm="1">
        <f t="array" ref="W3">_xll.VALEUROUTPUT($A$923,_xlfn.CONCAT("THEME14=",$C3),SCENARIOS!$A$2,SCENARIOS!$B$2,W$1)</f>
        <v>0</v>
      </c>
      <c r="X3" cm="1">
        <f t="array" ref="X3">_xll.VALEUROUTPUT($A$923,_xlfn.CONCAT("THEME14=",$C3),SCENARIOS!$A$2,SCENARIOS!$B$2,X$1)</f>
        <v>0</v>
      </c>
      <c r="Y3" cm="1">
        <f t="array" ref="Y3">_xll.VALEUROUTPUT($A$923,_xlfn.CONCAT("THEME14=",$C3),SCENARIOS!$A$2,SCENARIOS!$B$2,Y$1)</f>
        <v>0</v>
      </c>
      <c r="Z3" cm="1">
        <f t="array" ref="Z3">_xll.VALEUROUTPUT($A$923,_xlfn.CONCAT("THEME14=",$C3),SCENARIOS!$A$2,SCENARIOS!$B$2,Z$1)</f>
        <v>0</v>
      </c>
      <c r="AA3" cm="1">
        <f t="array" ref="AA3">_xll.VALEUROUTPUT($A$923,_xlfn.CONCAT("THEME14=",$C3),SCENARIOS!$A$2,SCENARIOS!$B$2,AA$1)</f>
        <v>0</v>
      </c>
      <c r="AB3" cm="1">
        <f t="array" ref="AB3">_xll.VALEUROUTPUT($A$923,_xlfn.CONCAT("THEME14=",$C3),SCENARIOS!$A$2,SCENARIOS!$B$2,AB$1)</f>
        <v>0</v>
      </c>
      <c r="AC3" cm="1">
        <f t="array" ref="AC3">_xll.VALEUROUTPUT($A$923,_xlfn.CONCAT("THEME14=",$C3),SCENARIOS!$A$2,SCENARIOS!$B$2,AC$1)</f>
        <v>0</v>
      </c>
      <c r="AD3" cm="1">
        <f t="array" ref="AD3">_xll.VALEUROUTPUT($A$923,_xlfn.CONCAT("THEME14=",$C3),SCENARIOS!$A$2,SCENARIOS!$B$2,AD$1)</f>
        <v>0</v>
      </c>
      <c r="AE3" cm="1">
        <f t="array" ref="AE3">_xll.VALEUROUTPUT($A$923,_xlfn.CONCAT("THEME14=",$C3),SCENARIOS!$A$2,SCENARIOS!$B$2,AE$1)</f>
        <v>0</v>
      </c>
      <c r="AF3" cm="1">
        <f t="array" ref="AF3">_xll.VALEUROUTPUT($A$923,_xlfn.CONCAT("THEME14=",$C3),SCENARIOS!$A$2,SCENARIOS!$B$2,AF$1)</f>
        <v>0</v>
      </c>
    </row>
    <row r="4" spans="1:33" x14ac:dyDescent="0.25">
      <c r="A4" t="str">
        <v>OSUPINC</v>
      </c>
      <c r="C4" t="str">
        <v>C00003</v>
      </c>
      <c r="D4" cm="1">
        <f t="array" ref="D4">_xll.VALEUROUTPUT($A$923,_xlfn.CONCAT("THEME14=",$C4),SCENARIOS!$A$2,SCENARIOS!$B$2,D$1)</f>
        <v>0</v>
      </c>
      <c r="E4" cm="1">
        <f t="array" ref="E4">_xll.VALEUROUTPUT($A$923,_xlfn.CONCAT("THEME14=",$C4),SCENARIOS!$A$2,SCENARIOS!$B$2,E$1)</f>
        <v>0</v>
      </c>
      <c r="F4" cm="1">
        <f t="array" ref="F4">_xll.VALEUROUTPUT($A$923,_xlfn.CONCAT("THEME14=",$C4),SCENARIOS!$A$2,SCENARIOS!$B$2,F$1)</f>
        <v>0</v>
      </c>
      <c r="G4" cm="1">
        <f t="array" ref="G4">_xll.VALEUROUTPUT($A$923,_xlfn.CONCAT("THEME14=",$C4),SCENARIOS!$A$2,SCENARIOS!$B$2,G$1)</f>
        <v>0</v>
      </c>
      <c r="H4" cm="1">
        <f t="array" ref="H4">_xll.VALEUROUTPUT($A$923,_xlfn.CONCAT("THEME14=",$C4),SCENARIOS!$A$2,SCENARIOS!$B$2,H$1)</f>
        <v>0</v>
      </c>
      <c r="I4" cm="1">
        <f t="array" ref="I4">_xll.VALEUROUTPUT($A$923,_xlfn.CONCAT("THEME14=",$C4),SCENARIOS!$A$2,SCENARIOS!$B$2,I$1)</f>
        <v>0</v>
      </c>
      <c r="J4" cm="1">
        <f t="array" ref="J4">_xll.VALEUROUTPUT($A$923,_xlfn.CONCAT("THEME14=",$C4),SCENARIOS!$A$2,SCENARIOS!$B$2,J$1)</f>
        <v>0</v>
      </c>
      <c r="K4" cm="1">
        <f t="array" ref="K4">_xll.VALEUROUTPUT($A$923,_xlfn.CONCAT("THEME14=",$C4),SCENARIOS!$A$2,SCENARIOS!$B$2,K$1)</f>
        <v>0</v>
      </c>
      <c r="L4" cm="1">
        <f t="array" ref="L4">_xll.VALEUROUTPUT($A$923,_xlfn.CONCAT("THEME14=",$C4),SCENARIOS!$A$2,SCENARIOS!$B$2,L$1)</f>
        <v>0</v>
      </c>
      <c r="M4" cm="1">
        <f t="array" ref="M4">_xll.VALEUROUTPUT($A$923,_xlfn.CONCAT("THEME14=",$C4),SCENARIOS!$A$2,SCENARIOS!$B$2,M$1)</f>
        <v>0</v>
      </c>
      <c r="N4" cm="1">
        <f t="array" ref="N4">_xll.VALEUROUTPUT($A$923,_xlfn.CONCAT("THEME14=",$C4),SCENARIOS!$A$2,SCENARIOS!$B$2,N$1)</f>
        <v>0</v>
      </c>
      <c r="O4" cm="1">
        <f t="array" ref="O4">_xll.VALEUROUTPUT($A$923,_xlfn.CONCAT("THEME14=",$C4),SCENARIOS!$A$2,SCENARIOS!$B$2,O$1)</f>
        <v>0</v>
      </c>
      <c r="P4" cm="1">
        <f t="array" ref="P4">_xll.VALEUROUTPUT($A$923,_xlfn.CONCAT("THEME14=",$C4),SCENARIOS!$A$2,SCENARIOS!$B$2,P$1)</f>
        <v>0</v>
      </c>
      <c r="Q4" cm="1">
        <f t="array" ref="Q4">_xll.VALEUROUTPUT($A$923,_xlfn.CONCAT("THEME14=",$C4),SCENARIOS!$A$2,SCENARIOS!$B$2,Q$1)</f>
        <v>0</v>
      </c>
      <c r="R4" cm="1">
        <f t="array" ref="R4">_xll.VALEUROUTPUT($A$923,_xlfn.CONCAT("THEME14=",$C4),SCENARIOS!$A$2,SCENARIOS!$B$2,R$1)</f>
        <v>0</v>
      </c>
      <c r="S4" cm="1">
        <f t="array" ref="S4">_xll.VALEUROUTPUT($A$923,_xlfn.CONCAT("THEME14=",$C4),SCENARIOS!$A$2,SCENARIOS!$B$2,S$1)</f>
        <v>0</v>
      </c>
      <c r="T4" cm="1">
        <f t="array" ref="T4">_xll.VALEUROUTPUT($A$923,_xlfn.CONCAT("THEME14=",$C4),SCENARIOS!$A$2,SCENARIOS!$B$2,T$1)</f>
        <v>0</v>
      </c>
      <c r="U4" cm="1">
        <f t="array" ref="U4">_xll.VALEUROUTPUT($A$923,_xlfn.CONCAT("THEME14=",$C4),SCENARIOS!$A$2,SCENARIOS!$B$2,U$1)</f>
        <v>0</v>
      </c>
      <c r="V4" cm="1">
        <f t="array" ref="V4">_xll.VALEUROUTPUT($A$923,_xlfn.CONCAT("THEME14=",$C4),SCENARIOS!$A$2,SCENARIOS!$B$2,V$1)</f>
        <v>0</v>
      </c>
      <c r="W4" cm="1">
        <f t="array" ref="W4">_xll.VALEUROUTPUT($A$923,_xlfn.CONCAT("THEME14=",$C4),SCENARIOS!$A$2,SCENARIOS!$B$2,W$1)</f>
        <v>0</v>
      </c>
      <c r="X4" cm="1">
        <f t="array" ref="X4">_xll.VALEUROUTPUT($A$923,_xlfn.CONCAT("THEME14=",$C4),SCENARIOS!$A$2,SCENARIOS!$B$2,X$1)</f>
        <v>0</v>
      </c>
      <c r="Y4" cm="1">
        <f t="array" ref="Y4">_xll.VALEUROUTPUT($A$923,_xlfn.CONCAT("THEME14=",$C4),SCENARIOS!$A$2,SCENARIOS!$B$2,Y$1)</f>
        <v>0</v>
      </c>
      <c r="Z4" cm="1">
        <f t="array" ref="Z4">_xll.VALEUROUTPUT($A$923,_xlfn.CONCAT("THEME14=",$C4),SCENARIOS!$A$2,SCENARIOS!$B$2,Z$1)</f>
        <v>0</v>
      </c>
      <c r="AA4" cm="1">
        <f t="array" ref="AA4">_xll.VALEUROUTPUT($A$923,_xlfn.CONCAT("THEME14=",$C4),SCENARIOS!$A$2,SCENARIOS!$B$2,AA$1)</f>
        <v>0</v>
      </c>
      <c r="AB4" cm="1">
        <f t="array" ref="AB4">_xll.VALEUROUTPUT($A$923,_xlfn.CONCAT("THEME14=",$C4),SCENARIOS!$A$2,SCENARIOS!$B$2,AB$1)</f>
        <v>0</v>
      </c>
      <c r="AC4" cm="1">
        <f t="array" ref="AC4">_xll.VALEUROUTPUT($A$923,_xlfn.CONCAT("THEME14=",$C4),SCENARIOS!$A$2,SCENARIOS!$B$2,AC$1)</f>
        <v>0</v>
      </c>
      <c r="AD4" cm="1">
        <f t="array" ref="AD4">_xll.VALEUROUTPUT($A$923,_xlfn.CONCAT("THEME14=",$C4),SCENARIOS!$A$2,SCENARIOS!$B$2,AD$1)</f>
        <v>0</v>
      </c>
      <c r="AE4" cm="1">
        <f t="array" ref="AE4">_xll.VALEUROUTPUT($A$923,_xlfn.CONCAT("THEME14=",$C4),SCENARIOS!$A$2,SCENARIOS!$B$2,AE$1)</f>
        <v>0</v>
      </c>
      <c r="AF4" cm="1">
        <f t="array" ref="AF4">_xll.VALEUROUTPUT($A$923,_xlfn.CONCAT("THEME14=",$C4),SCENARIOS!$A$2,SCENARIOS!$B$2,AF$1)</f>
        <v>0</v>
      </c>
    </row>
    <row r="5" spans="1:33" x14ac:dyDescent="0.25">
      <c r="A5" t="str">
        <v>OSUPREGECO</v>
      </c>
      <c r="C5" t="str">
        <v>C00004</v>
      </c>
      <c r="D5" cm="1">
        <f t="array" ref="D5">_xll.VALEUROUTPUT($A$923,_xlfn.CONCAT("THEME14=",$C5),SCENARIOS!$A$2,SCENARIOS!$B$2,D$1)</f>
        <v>0</v>
      </c>
      <c r="E5" cm="1">
        <f t="array" ref="E5">_xll.VALEUROUTPUT($A$923,_xlfn.CONCAT("THEME14=",$C5),SCENARIOS!$A$2,SCENARIOS!$B$2,E$1)</f>
        <v>0</v>
      </c>
      <c r="F5" cm="1">
        <f t="array" ref="F5">_xll.VALEUROUTPUT($A$923,_xlfn.CONCAT("THEME14=",$C5),SCENARIOS!$A$2,SCENARIOS!$B$2,F$1)</f>
        <v>0</v>
      </c>
      <c r="G5" cm="1">
        <f t="array" ref="G5">_xll.VALEUROUTPUT($A$923,_xlfn.CONCAT("THEME14=",$C5),SCENARIOS!$A$2,SCENARIOS!$B$2,G$1)</f>
        <v>0</v>
      </c>
      <c r="H5" cm="1">
        <f t="array" ref="H5">_xll.VALEUROUTPUT($A$923,_xlfn.CONCAT("THEME14=",$C5),SCENARIOS!$A$2,SCENARIOS!$B$2,H$1)</f>
        <v>0</v>
      </c>
      <c r="I5" cm="1">
        <f t="array" ref="I5">_xll.VALEUROUTPUT($A$923,_xlfn.CONCAT("THEME14=",$C5),SCENARIOS!$A$2,SCENARIOS!$B$2,I$1)</f>
        <v>0</v>
      </c>
      <c r="J5" cm="1">
        <f t="array" ref="J5">_xll.VALEUROUTPUT($A$923,_xlfn.CONCAT("THEME14=",$C5),SCENARIOS!$A$2,SCENARIOS!$B$2,J$1)</f>
        <v>0</v>
      </c>
      <c r="K5" cm="1">
        <f t="array" ref="K5">_xll.VALEUROUTPUT($A$923,_xlfn.CONCAT("THEME14=",$C5),SCENARIOS!$A$2,SCENARIOS!$B$2,K$1)</f>
        <v>0</v>
      </c>
      <c r="L5" cm="1">
        <f t="array" ref="L5">_xll.VALEUROUTPUT($A$923,_xlfn.CONCAT("THEME14=",$C5),SCENARIOS!$A$2,SCENARIOS!$B$2,L$1)</f>
        <v>0</v>
      </c>
      <c r="M5" cm="1">
        <f t="array" ref="M5">_xll.VALEUROUTPUT($A$923,_xlfn.CONCAT("THEME14=",$C5),SCENARIOS!$A$2,SCENARIOS!$B$2,M$1)</f>
        <v>0</v>
      </c>
      <c r="N5" cm="1">
        <f t="array" ref="N5">_xll.VALEUROUTPUT($A$923,_xlfn.CONCAT("THEME14=",$C5),SCENARIOS!$A$2,SCENARIOS!$B$2,N$1)</f>
        <v>0</v>
      </c>
      <c r="O5" cm="1">
        <f t="array" ref="O5">_xll.VALEUROUTPUT($A$923,_xlfn.CONCAT("THEME14=",$C5),SCENARIOS!$A$2,SCENARIOS!$B$2,O$1)</f>
        <v>0</v>
      </c>
      <c r="P5" cm="1">
        <f t="array" ref="P5">_xll.VALEUROUTPUT($A$923,_xlfn.CONCAT("THEME14=",$C5),SCENARIOS!$A$2,SCENARIOS!$B$2,P$1)</f>
        <v>0</v>
      </c>
      <c r="Q5" cm="1">
        <f t="array" ref="Q5">_xll.VALEUROUTPUT($A$923,_xlfn.CONCAT("THEME14=",$C5),SCENARIOS!$A$2,SCENARIOS!$B$2,Q$1)</f>
        <v>0</v>
      </c>
      <c r="R5" cm="1">
        <f t="array" ref="R5">_xll.VALEUROUTPUT($A$923,_xlfn.CONCAT("THEME14=",$C5),SCENARIOS!$A$2,SCENARIOS!$B$2,R$1)</f>
        <v>0</v>
      </c>
      <c r="S5" cm="1">
        <f t="array" ref="S5">_xll.VALEUROUTPUT($A$923,_xlfn.CONCAT("THEME14=",$C5),SCENARIOS!$A$2,SCENARIOS!$B$2,S$1)</f>
        <v>0</v>
      </c>
      <c r="T5" cm="1">
        <f t="array" ref="T5">_xll.VALEUROUTPUT($A$923,_xlfn.CONCAT("THEME14=",$C5),SCENARIOS!$A$2,SCENARIOS!$B$2,T$1)</f>
        <v>0</v>
      </c>
      <c r="U5" cm="1">
        <f t="array" ref="U5">_xll.VALEUROUTPUT($A$923,_xlfn.CONCAT("THEME14=",$C5),SCENARIOS!$A$2,SCENARIOS!$B$2,U$1)</f>
        <v>0</v>
      </c>
      <c r="V5" cm="1">
        <f t="array" ref="V5">_xll.VALEUROUTPUT($A$923,_xlfn.CONCAT("THEME14=",$C5),SCENARIOS!$A$2,SCENARIOS!$B$2,V$1)</f>
        <v>0</v>
      </c>
      <c r="W5" cm="1">
        <f t="array" ref="W5">_xll.VALEUROUTPUT($A$923,_xlfn.CONCAT("THEME14=",$C5),SCENARIOS!$A$2,SCENARIOS!$B$2,W$1)</f>
        <v>0</v>
      </c>
      <c r="X5" cm="1">
        <f t="array" ref="X5">_xll.VALEUROUTPUT($A$923,_xlfn.CONCAT("THEME14=",$C5),SCENARIOS!$A$2,SCENARIOS!$B$2,X$1)</f>
        <v>0</v>
      </c>
      <c r="Y5" cm="1">
        <f t="array" ref="Y5">_xll.VALEUROUTPUT($A$923,_xlfn.CONCAT("THEME14=",$C5),SCENARIOS!$A$2,SCENARIOS!$B$2,Y$1)</f>
        <v>0</v>
      </c>
      <c r="Z5" cm="1">
        <f t="array" ref="Z5">_xll.VALEUROUTPUT($A$923,_xlfn.CONCAT("THEME14=",$C5),SCENARIOS!$A$2,SCENARIOS!$B$2,Z$1)</f>
        <v>0</v>
      </c>
      <c r="AA5" cm="1">
        <f t="array" ref="AA5">_xll.VALEUROUTPUT($A$923,_xlfn.CONCAT("THEME14=",$C5),SCENARIOS!$A$2,SCENARIOS!$B$2,AA$1)</f>
        <v>0</v>
      </c>
      <c r="AB5" cm="1">
        <f t="array" ref="AB5">_xll.VALEUROUTPUT($A$923,_xlfn.CONCAT("THEME14=",$C5),SCENARIOS!$A$2,SCENARIOS!$B$2,AB$1)</f>
        <v>0</v>
      </c>
      <c r="AC5" cm="1">
        <f t="array" ref="AC5">_xll.VALEUROUTPUT($A$923,_xlfn.CONCAT("THEME14=",$C5),SCENARIOS!$A$2,SCENARIOS!$B$2,AC$1)</f>
        <v>0</v>
      </c>
      <c r="AD5" cm="1">
        <f t="array" ref="AD5">_xll.VALEUROUTPUT($A$923,_xlfn.CONCAT("THEME14=",$C5),SCENARIOS!$A$2,SCENARIOS!$B$2,AD$1)</f>
        <v>0</v>
      </c>
      <c r="AE5" cm="1">
        <f t="array" ref="AE5">_xll.VALEUROUTPUT($A$923,_xlfn.CONCAT("THEME14=",$C5),SCENARIOS!$A$2,SCENARIOS!$B$2,AE$1)</f>
        <v>0</v>
      </c>
      <c r="AF5" cm="1">
        <f t="array" ref="AF5">_xll.VALEUROUTPUT($A$923,_xlfn.CONCAT("THEME14=",$C5),SCENARIOS!$A$2,SCENARIOS!$B$2,AF$1)</f>
        <v>0</v>
      </c>
    </row>
    <row r="6" spans="1:33" x14ac:dyDescent="0.25">
      <c r="A6" t="str">
        <v>OSUPEXIN</v>
      </c>
      <c r="C6" t="str">
        <v>C00005</v>
      </c>
      <c r="D6" cm="1">
        <f t="array" ref="D6">_xll.VALEUROUTPUT($A$923,_xlfn.CONCAT("THEME14=",$C6),SCENARIOS!$A$2,SCENARIOS!$B$2,D$1)</f>
        <v>0</v>
      </c>
      <c r="E6" cm="1">
        <f t="array" ref="E6">_xll.VALEUROUTPUT($A$923,_xlfn.CONCAT("THEME14=",$C6),SCENARIOS!$A$2,SCENARIOS!$B$2,E$1)</f>
        <v>0</v>
      </c>
      <c r="F6" cm="1">
        <f t="array" ref="F6">_xll.VALEUROUTPUT($A$923,_xlfn.CONCAT("THEME14=",$C6),SCENARIOS!$A$2,SCENARIOS!$B$2,F$1)</f>
        <v>0</v>
      </c>
      <c r="G6" cm="1">
        <f t="array" ref="G6">_xll.VALEUROUTPUT($A$923,_xlfn.CONCAT("THEME14=",$C6),SCENARIOS!$A$2,SCENARIOS!$B$2,G$1)</f>
        <v>0</v>
      </c>
      <c r="H6" cm="1">
        <f t="array" ref="H6">_xll.VALEUROUTPUT($A$923,_xlfn.CONCAT("THEME14=",$C6),SCENARIOS!$A$2,SCENARIOS!$B$2,H$1)</f>
        <v>0</v>
      </c>
      <c r="I6" cm="1">
        <f t="array" ref="I6">_xll.VALEUROUTPUT($A$923,_xlfn.CONCAT("THEME14=",$C6),SCENARIOS!$A$2,SCENARIOS!$B$2,I$1)</f>
        <v>0</v>
      </c>
      <c r="J6" cm="1">
        <f t="array" ref="J6">_xll.VALEUROUTPUT($A$923,_xlfn.CONCAT("THEME14=",$C6),SCENARIOS!$A$2,SCENARIOS!$B$2,J$1)</f>
        <v>0</v>
      </c>
      <c r="K6" cm="1">
        <f t="array" ref="K6">_xll.VALEUROUTPUT($A$923,_xlfn.CONCAT("THEME14=",$C6),SCENARIOS!$A$2,SCENARIOS!$B$2,K$1)</f>
        <v>0</v>
      </c>
      <c r="L6" cm="1">
        <f t="array" ref="L6">_xll.VALEUROUTPUT($A$923,_xlfn.CONCAT("THEME14=",$C6),SCENARIOS!$A$2,SCENARIOS!$B$2,L$1)</f>
        <v>0</v>
      </c>
      <c r="M6" cm="1">
        <f t="array" ref="M6">_xll.VALEUROUTPUT($A$923,_xlfn.CONCAT("THEME14=",$C6),SCENARIOS!$A$2,SCENARIOS!$B$2,M$1)</f>
        <v>0</v>
      </c>
      <c r="N6" cm="1">
        <f t="array" ref="N6">_xll.VALEUROUTPUT($A$923,_xlfn.CONCAT("THEME14=",$C6),SCENARIOS!$A$2,SCENARIOS!$B$2,N$1)</f>
        <v>0</v>
      </c>
      <c r="O6" cm="1">
        <f t="array" ref="O6">_xll.VALEUROUTPUT($A$923,_xlfn.CONCAT("THEME14=",$C6),SCENARIOS!$A$2,SCENARIOS!$B$2,O$1)</f>
        <v>0</v>
      </c>
      <c r="P6" cm="1">
        <f t="array" ref="P6">_xll.VALEUROUTPUT($A$923,_xlfn.CONCAT("THEME14=",$C6),SCENARIOS!$A$2,SCENARIOS!$B$2,P$1)</f>
        <v>0</v>
      </c>
      <c r="Q6" cm="1">
        <f t="array" ref="Q6">_xll.VALEUROUTPUT($A$923,_xlfn.CONCAT("THEME14=",$C6),SCENARIOS!$A$2,SCENARIOS!$B$2,Q$1)</f>
        <v>0</v>
      </c>
      <c r="R6" cm="1">
        <f t="array" ref="R6">_xll.VALEUROUTPUT($A$923,_xlfn.CONCAT("THEME14=",$C6),SCENARIOS!$A$2,SCENARIOS!$B$2,R$1)</f>
        <v>0</v>
      </c>
      <c r="S6" cm="1">
        <f t="array" ref="S6">_xll.VALEUROUTPUT($A$923,_xlfn.CONCAT("THEME14=",$C6),SCENARIOS!$A$2,SCENARIOS!$B$2,S$1)</f>
        <v>0</v>
      </c>
      <c r="T6" cm="1">
        <f t="array" ref="T6">_xll.VALEUROUTPUT($A$923,_xlfn.CONCAT("THEME14=",$C6),SCENARIOS!$A$2,SCENARIOS!$B$2,T$1)</f>
        <v>0</v>
      </c>
      <c r="U6" cm="1">
        <f t="array" ref="U6">_xll.VALEUROUTPUT($A$923,_xlfn.CONCAT("THEME14=",$C6),SCENARIOS!$A$2,SCENARIOS!$B$2,U$1)</f>
        <v>0</v>
      </c>
      <c r="V6" cm="1">
        <f t="array" ref="V6">_xll.VALEUROUTPUT($A$923,_xlfn.CONCAT("THEME14=",$C6),SCENARIOS!$A$2,SCENARIOS!$B$2,V$1)</f>
        <v>0</v>
      </c>
      <c r="W6" cm="1">
        <f t="array" ref="W6">_xll.VALEUROUTPUT($A$923,_xlfn.CONCAT("THEME14=",$C6),SCENARIOS!$A$2,SCENARIOS!$B$2,W$1)</f>
        <v>0</v>
      </c>
      <c r="X6" cm="1">
        <f t="array" ref="X6">_xll.VALEUROUTPUT($A$923,_xlfn.CONCAT("THEME14=",$C6),SCENARIOS!$A$2,SCENARIOS!$B$2,X$1)</f>
        <v>0</v>
      </c>
      <c r="Y6" cm="1">
        <f t="array" ref="Y6">_xll.VALEUROUTPUT($A$923,_xlfn.CONCAT("THEME14=",$C6),SCENARIOS!$A$2,SCENARIOS!$B$2,Y$1)</f>
        <v>0</v>
      </c>
      <c r="Z6" cm="1">
        <f t="array" ref="Z6">_xll.VALEUROUTPUT($A$923,_xlfn.CONCAT("THEME14=",$C6),SCENARIOS!$A$2,SCENARIOS!$B$2,Z$1)</f>
        <v>0</v>
      </c>
      <c r="AA6" cm="1">
        <f t="array" ref="AA6">_xll.VALEUROUTPUT($A$923,_xlfn.CONCAT("THEME14=",$C6),SCENARIOS!$A$2,SCENARIOS!$B$2,AA$1)</f>
        <v>0</v>
      </c>
      <c r="AB6" cm="1">
        <f t="array" ref="AB6">_xll.VALEUROUTPUT($A$923,_xlfn.CONCAT("THEME14=",$C6),SCENARIOS!$A$2,SCENARIOS!$B$2,AB$1)</f>
        <v>0</v>
      </c>
      <c r="AC6" cm="1">
        <f t="array" ref="AC6">_xll.VALEUROUTPUT($A$923,_xlfn.CONCAT("THEME14=",$C6),SCENARIOS!$A$2,SCENARIOS!$B$2,AC$1)</f>
        <v>0</v>
      </c>
      <c r="AD6" cm="1">
        <f t="array" ref="AD6">_xll.VALEUROUTPUT($A$923,_xlfn.CONCAT("THEME14=",$C6),SCENARIOS!$A$2,SCENARIOS!$B$2,AD$1)</f>
        <v>0</v>
      </c>
      <c r="AE6" cm="1">
        <f t="array" ref="AE6">_xll.VALEUROUTPUT($A$923,_xlfn.CONCAT("THEME14=",$C6),SCENARIOS!$A$2,SCENARIOS!$B$2,AE$1)</f>
        <v>0</v>
      </c>
      <c r="AF6" cm="1">
        <f t="array" ref="AF6">_xll.VALEUROUTPUT($A$923,_xlfn.CONCAT("THEME14=",$C6),SCENARIOS!$A$2,SCENARIOS!$B$2,AF$1)</f>
        <v>0</v>
      </c>
    </row>
    <row r="7" spans="1:33" x14ac:dyDescent="0.25">
      <c r="A7" t="str">
        <v>OSUPEXTI</v>
      </c>
      <c r="C7" t="str">
        <v>C00006</v>
      </c>
      <c r="D7" cm="1">
        <f t="array" ref="D7">_xll.VALEUROUTPUT($A$923,_xlfn.CONCAT("THEME14=",$C7),SCENARIOS!$A$2,SCENARIOS!$B$2,D$1)</f>
        <v>0</v>
      </c>
      <c r="E7" cm="1">
        <f t="array" ref="E7">_xll.VALEUROUTPUT($A$923,_xlfn.CONCAT("THEME14=",$C7),SCENARIOS!$A$2,SCENARIOS!$B$2,E$1)</f>
        <v>0</v>
      </c>
      <c r="F7" cm="1">
        <f t="array" ref="F7">_xll.VALEUROUTPUT($A$923,_xlfn.CONCAT("THEME14=",$C7),SCENARIOS!$A$2,SCENARIOS!$B$2,F$1)</f>
        <v>0</v>
      </c>
      <c r="G7" cm="1">
        <f t="array" ref="G7">_xll.VALEUROUTPUT($A$923,_xlfn.CONCAT("THEME14=",$C7),SCENARIOS!$A$2,SCENARIOS!$B$2,G$1)</f>
        <v>0</v>
      </c>
      <c r="H7" cm="1">
        <f t="array" ref="H7">_xll.VALEUROUTPUT($A$923,_xlfn.CONCAT("THEME14=",$C7),SCENARIOS!$A$2,SCENARIOS!$B$2,H$1)</f>
        <v>0</v>
      </c>
      <c r="I7" cm="1">
        <f t="array" ref="I7">_xll.VALEUROUTPUT($A$923,_xlfn.CONCAT("THEME14=",$C7),SCENARIOS!$A$2,SCENARIOS!$B$2,I$1)</f>
        <v>0</v>
      </c>
      <c r="J7" cm="1">
        <f t="array" ref="J7">_xll.VALEUROUTPUT($A$923,_xlfn.CONCAT("THEME14=",$C7),SCENARIOS!$A$2,SCENARIOS!$B$2,J$1)</f>
        <v>0</v>
      </c>
      <c r="K7" cm="1">
        <f t="array" ref="K7">_xll.VALEUROUTPUT($A$923,_xlfn.CONCAT("THEME14=",$C7),SCENARIOS!$A$2,SCENARIOS!$B$2,K$1)</f>
        <v>0</v>
      </c>
      <c r="L7" cm="1">
        <f t="array" ref="L7">_xll.VALEUROUTPUT($A$923,_xlfn.CONCAT("THEME14=",$C7),SCENARIOS!$A$2,SCENARIOS!$B$2,L$1)</f>
        <v>0</v>
      </c>
      <c r="M7" cm="1">
        <f t="array" ref="M7">_xll.VALEUROUTPUT($A$923,_xlfn.CONCAT("THEME14=",$C7),SCENARIOS!$A$2,SCENARIOS!$B$2,M$1)</f>
        <v>0</v>
      </c>
      <c r="N7" cm="1">
        <f t="array" ref="N7">_xll.VALEUROUTPUT($A$923,_xlfn.CONCAT("THEME14=",$C7),SCENARIOS!$A$2,SCENARIOS!$B$2,N$1)</f>
        <v>0</v>
      </c>
      <c r="O7" cm="1">
        <f t="array" ref="O7">_xll.VALEUROUTPUT($A$923,_xlfn.CONCAT("THEME14=",$C7),SCENARIOS!$A$2,SCENARIOS!$B$2,O$1)</f>
        <v>0</v>
      </c>
      <c r="P7" cm="1">
        <f t="array" ref="P7">_xll.VALEUROUTPUT($A$923,_xlfn.CONCAT("THEME14=",$C7),SCENARIOS!$A$2,SCENARIOS!$B$2,P$1)</f>
        <v>0</v>
      </c>
      <c r="Q7" cm="1">
        <f t="array" ref="Q7">_xll.VALEUROUTPUT($A$923,_xlfn.CONCAT("THEME14=",$C7),SCENARIOS!$A$2,SCENARIOS!$B$2,Q$1)</f>
        <v>0</v>
      </c>
      <c r="R7" cm="1">
        <f t="array" ref="R7">_xll.VALEUROUTPUT($A$923,_xlfn.CONCAT("THEME14=",$C7),SCENARIOS!$A$2,SCENARIOS!$B$2,R$1)</f>
        <v>0</v>
      </c>
      <c r="S7" cm="1">
        <f t="array" ref="S7">_xll.VALEUROUTPUT($A$923,_xlfn.CONCAT("THEME14=",$C7),SCENARIOS!$A$2,SCENARIOS!$B$2,S$1)</f>
        <v>0</v>
      </c>
      <c r="T7" cm="1">
        <f t="array" ref="T7">_xll.VALEUROUTPUT($A$923,_xlfn.CONCAT("THEME14=",$C7),SCENARIOS!$A$2,SCENARIOS!$B$2,T$1)</f>
        <v>0</v>
      </c>
      <c r="U7" cm="1">
        <f t="array" ref="U7">_xll.VALEUROUTPUT($A$923,_xlfn.CONCAT("THEME14=",$C7),SCENARIOS!$A$2,SCENARIOS!$B$2,U$1)</f>
        <v>0</v>
      </c>
      <c r="V7" cm="1">
        <f t="array" ref="V7">_xll.VALEUROUTPUT($A$923,_xlfn.CONCAT("THEME14=",$C7),SCENARIOS!$A$2,SCENARIOS!$B$2,V$1)</f>
        <v>0</v>
      </c>
      <c r="W7" cm="1">
        <f t="array" ref="W7">_xll.VALEUROUTPUT($A$923,_xlfn.CONCAT("THEME14=",$C7),SCENARIOS!$A$2,SCENARIOS!$B$2,W$1)</f>
        <v>0</v>
      </c>
      <c r="X7" cm="1">
        <f t="array" ref="X7">_xll.VALEUROUTPUT($A$923,_xlfn.CONCAT("THEME14=",$C7),SCENARIOS!$A$2,SCENARIOS!$B$2,X$1)</f>
        <v>0</v>
      </c>
      <c r="Y7" cm="1">
        <f t="array" ref="Y7">_xll.VALEUROUTPUT($A$923,_xlfn.CONCAT("THEME14=",$C7),SCENARIOS!$A$2,SCENARIOS!$B$2,Y$1)</f>
        <v>0</v>
      </c>
      <c r="Z7" cm="1">
        <f t="array" ref="Z7">_xll.VALEUROUTPUT($A$923,_xlfn.CONCAT("THEME14=",$C7),SCENARIOS!$A$2,SCENARIOS!$B$2,Z$1)</f>
        <v>0</v>
      </c>
      <c r="AA7" cm="1">
        <f t="array" ref="AA7">_xll.VALEUROUTPUT($A$923,_xlfn.CONCAT("THEME14=",$C7),SCENARIOS!$A$2,SCENARIOS!$B$2,AA$1)</f>
        <v>0</v>
      </c>
      <c r="AB7" cm="1">
        <f t="array" ref="AB7">_xll.VALEUROUTPUT($A$923,_xlfn.CONCAT("THEME14=",$C7),SCENARIOS!$A$2,SCENARIOS!$B$2,AB$1)</f>
        <v>0</v>
      </c>
      <c r="AC7" cm="1">
        <f t="array" ref="AC7">_xll.VALEUROUTPUT($A$923,_xlfn.CONCAT("THEME14=",$C7),SCENARIOS!$A$2,SCENARIOS!$B$2,AC$1)</f>
        <v>0</v>
      </c>
      <c r="AD7" cm="1">
        <f t="array" ref="AD7">_xll.VALEUROUTPUT($A$923,_xlfn.CONCAT("THEME14=",$C7),SCENARIOS!$A$2,SCENARIOS!$B$2,AD$1)</f>
        <v>0</v>
      </c>
      <c r="AE7" cm="1">
        <f t="array" ref="AE7">_xll.VALEUROUTPUT($A$923,_xlfn.CONCAT("THEME14=",$C7),SCENARIOS!$A$2,SCENARIOS!$B$2,AE$1)</f>
        <v>0</v>
      </c>
      <c r="AF7" cm="1">
        <f t="array" ref="AF7">_xll.VALEUROUTPUT($A$923,_xlfn.CONCAT("THEME14=",$C7),SCENARIOS!$A$2,SCENARIOS!$B$2,AF$1)</f>
        <v>0</v>
      </c>
    </row>
    <row r="8" spans="1:33" x14ac:dyDescent="0.25">
      <c r="A8" t="str">
        <v>OSUPLOCK</v>
      </c>
      <c r="C8" t="str">
        <v>C00007</v>
      </c>
      <c r="D8" cm="1">
        <f t="array" ref="D8">_xll.VALEUROUTPUT($A$923,_xlfn.CONCAT("THEME14=",$C8),SCENARIOS!$A$2,SCENARIOS!$B$2,D$1)</f>
        <v>0</v>
      </c>
      <c r="E8" cm="1">
        <f t="array" ref="E8">_xll.VALEUROUTPUT($A$923,_xlfn.CONCAT("THEME14=",$C8),SCENARIOS!$A$2,SCENARIOS!$B$2,E$1)</f>
        <v>0</v>
      </c>
      <c r="F8" cm="1">
        <f t="array" ref="F8">_xll.VALEUROUTPUT($A$923,_xlfn.CONCAT("THEME14=",$C8),SCENARIOS!$A$2,SCENARIOS!$B$2,F$1)</f>
        <v>0</v>
      </c>
      <c r="G8" cm="1">
        <f t="array" ref="G8">_xll.VALEUROUTPUT($A$923,_xlfn.CONCAT("THEME14=",$C8),SCENARIOS!$A$2,SCENARIOS!$B$2,G$1)</f>
        <v>0</v>
      </c>
      <c r="H8" cm="1">
        <f t="array" ref="H8">_xll.VALEUROUTPUT($A$923,_xlfn.CONCAT("THEME14=",$C8),SCENARIOS!$A$2,SCENARIOS!$B$2,H$1)</f>
        <v>0</v>
      </c>
      <c r="I8" cm="1">
        <f t="array" ref="I8">_xll.VALEUROUTPUT($A$923,_xlfn.CONCAT("THEME14=",$C8),SCENARIOS!$A$2,SCENARIOS!$B$2,I$1)</f>
        <v>0</v>
      </c>
      <c r="J8" cm="1">
        <f t="array" ref="J8">_xll.VALEUROUTPUT($A$923,_xlfn.CONCAT("THEME14=",$C8),SCENARIOS!$A$2,SCENARIOS!$B$2,J$1)</f>
        <v>0</v>
      </c>
      <c r="K8" cm="1">
        <f t="array" ref="K8">_xll.VALEUROUTPUT($A$923,_xlfn.CONCAT("THEME14=",$C8),SCENARIOS!$A$2,SCENARIOS!$B$2,K$1)</f>
        <v>0</v>
      </c>
      <c r="L8" cm="1">
        <f t="array" ref="L8">_xll.VALEUROUTPUT($A$923,_xlfn.CONCAT("THEME14=",$C8),SCENARIOS!$A$2,SCENARIOS!$B$2,L$1)</f>
        <v>0</v>
      </c>
      <c r="M8" cm="1">
        <f t="array" ref="M8">_xll.VALEUROUTPUT($A$923,_xlfn.CONCAT("THEME14=",$C8),SCENARIOS!$A$2,SCENARIOS!$B$2,M$1)</f>
        <v>0</v>
      </c>
      <c r="N8" cm="1">
        <f t="array" ref="N8">_xll.VALEUROUTPUT($A$923,_xlfn.CONCAT("THEME14=",$C8),SCENARIOS!$A$2,SCENARIOS!$B$2,N$1)</f>
        <v>0</v>
      </c>
      <c r="O8" cm="1">
        <f t="array" ref="O8">_xll.VALEUROUTPUT($A$923,_xlfn.CONCAT("THEME14=",$C8),SCENARIOS!$A$2,SCENARIOS!$B$2,O$1)</f>
        <v>0</v>
      </c>
      <c r="P8" cm="1">
        <f t="array" ref="P8">_xll.VALEUROUTPUT($A$923,_xlfn.CONCAT("THEME14=",$C8),SCENARIOS!$A$2,SCENARIOS!$B$2,P$1)</f>
        <v>0</v>
      </c>
      <c r="Q8" cm="1">
        <f t="array" ref="Q8">_xll.VALEUROUTPUT($A$923,_xlfn.CONCAT("THEME14=",$C8),SCENARIOS!$A$2,SCENARIOS!$B$2,Q$1)</f>
        <v>0</v>
      </c>
      <c r="R8" cm="1">
        <f t="array" ref="R8">_xll.VALEUROUTPUT($A$923,_xlfn.CONCAT("THEME14=",$C8),SCENARIOS!$A$2,SCENARIOS!$B$2,R$1)</f>
        <v>0</v>
      </c>
      <c r="S8" cm="1">
        <f t="array" ref="S8">_xll.VALEUROUTPUT($A$923,_xlfn.CONCAT("THEME14=",$C8),SCENARIOS!$A$2,SCENARIOS!$B$2,S$1)</f>
        <v>0</v>
      </c>
      <c r="T8" cm="1">
        <f t="array" ref="T8">_xll.VALEUROUTPUT($A$923,_xlfn.CONCAT("THEME14=",$C8),SCENARIOS!$A$2,SCENARIOS!$B$2,T$1)</f>
        <v>0</v>
      </c>
      <c r="U8" cm="1">
        <f t="array" ref="U8">_xll.VALEUROUTPUT($A$923,_xlfn.CONCAT("THEME14=",$C8),SCENARIOS!$A$2,SCENARIOS!$B$2,U$1)</f>
        <v>0</v>
      </c>
      <c r="V8" cm="1">
        <f t="array" ref="V8">_xll.VALEUROUTPUT($A$923,_xlfn.CONCAT("THEME14=",$C8),SCENARIOS!$A$2,SCENARIOS!$B$2,V$1)</f>
        <v>0</v>
      </c>
      <c r="W8" cm="1">
        <f t="array" ref="W8">_xll.VALEUROUTPUT($A$923,_xlfn.CONCAT("THEME14=",$C8),SCENARIOS!$A$2,SCENARIOS!$B$2,W$1)</f>
        <v>0</v>
      </c>
      <c r="X8" cm="1">
        <f t="array" ref="X8">_xll.VALEUROUTPUT($A$923,_xlfn.CONCAT("THEME14=",$C8),SCENARIOS!$A$2,SCENARIOS!$B$2,X$1)</f>
        <v>0</v>
      </c>
      <c r="Y8" cm="1">
        <f t="array" ref="Y8">_xll.VALEUROUTPUT($A$923,_xlfn.CONCAT("THEME14=",$C8),SCENARIOS!$A$2,SCENARIOS!$B$2,Y$1)</f>
        <v>0</v>
      </c>
      <c r="Z8" cm="1">
        <f t="array" ref="Z8">_xll.VALEUROUTPUT($A$923,_xlfn.CONCAT("THEME14=",$C8),SCENARIOS!$A$2,SCENARIOS!$B$2,Z$1)</f>
        <v>0</v>
      </c>
      <c r="AA8" cm="1">
        <f t="array" ref="AA8">_xll.VALEUROUTPUT($A$923,_xlfn.CONCAT("THEME14=",$C8),SCENARIOS!$A$2,SCENARIOS!$B$2,AA$1)</f>
        <v>0</v>
      </c>
      <c r="AB8" cm="1">
        <f t="array" ref="AB8">_xll.VALEUROUTPUT($A$923,_xlfn.CONCAT("THEME14=",$C8),SCENARIOS!$A$2,SCENARIOS!$B$2,AB$1)</f>
        <v>0</v>
      </c>
      <c r="AC8" cm="1">
        <f t="array" ref="AC8">_xll.VALEUROUTPUT($A$923,_xlfn.CONCAT("THEME14=",$C8),SCENARIOS!$A$2,SCENARIOS!$B$2,AC$1)</f>
        <v>0</v>
      </c>
      <c r="AD8" cm="1">
        <f t="array" ref="AD8">_xll.VALEUROUTPUT($A$923,_xlfn.CONCAT("THEME14=",$C8),SCENARIOS!$A$2,SCENARIOS!$B$2,AD$1)</f>
        <v>0</v>
      </c>
      <c r="AE8" cm="1">
        <f t="array" ref="AE8">_xll.VALEUROUTPUT($A$923,_xlfn.CONCAT("THEME14=",$C8),SCENARIOS!$A$2,SCENARIOS!$B$2,AE$1)</f>
        <v>0</v>
      </c>
      <c r="AF8" cm="1">
        <f t="array" ref="AF8">_xll.VALEUROUTPUT($A$923,_xlfn.CONCAT("THEME14=",$C8),SCENARIOS!$A$2,SCENARIOS!$B$2,AF$1)</f>
        <v>0</v>
      </c>
    </row>
    <row r="9" spans="1:33" x14ac:dyDescent="0.25">
      <c r="A9" t="str">
        <v>OSUPTCSDDEG_1_T100%</v>
      </c>
      <c r="C9" t="str">
        <v>C00008</v>
      </c>
      <c r="D9" cm="1">
        <f t="array" ref="D9">_xll.VALEUROUTPUT($A$923,_xlfn.CONCAT("THEME14=",$C9),SCENARIOS!$A$2,SCENARIOS!$B$2,D$1)</f>
        <v>0</v>
      </c>
      <c r="E9" cm="1">
        <f t="array" ref="E9">_xll.VALEUROUTPUT($A$923,_xlfn.CONCAT("THEME14=",$C9),SCENARIOS!$A$2,SCENARIOS!$B$2,E$1)</f>
        <v>0</v>
      </c>
      <c r="F9" cm="1">
        <f t="array" ref="F9">_xll.VALEUROUTPUT($A$923,_xlfn.CONCAT("THEME14=",$C9),SCENARIOS!$A$2,SCENARIOS!$B$2,F$1)</f>
        <v>0</v>
      </c>
      <c r="G9" cm="1">
        <f t="array" ref="G9">_xll.VALEUROUTPUT($A$923,_xlfn.CONCAT("THEME14=",$C9),SCENARIOS!$A$2,SCENARIOS!$B$2,G$1)</f>
        <v>0</v>
      </c>
      <c r="H9" cm="1">
        <f t="array" ref="H9">_xll.VALEUROUTPUT($A$923,_xlfn.CONCAT("THEME14=",$C9),SCENARIOS!$A$2,SCENARIOS!$B$2,H$1)</f>
        <v>0</v>
      </c>
      <c r="I9" cm="1">
        <f t="array" ref="I9">_xll.VALEUROUTPUT($A$923,_xlfn.CONCAT("THEME14=",$C9),SCENARIOS!$A$2,SCENARIOS!$B$2,I$1)</f>
        <v>0</v>
      </c>
      <c r="J9" cm="1">
        <f t="array" ref="J9">_xll.VALEUROUTPUT($A$923,_xlfn.CONCAT("THEME14=",$C9),SCENARIOS!$A$2,SCENARIOS!$B$2,J$1)</f>
        <v>0</v>
      </c>
      <c r="K9" cm="1">
        <f t="array" ref="K9">_xll.VALEUROUTPUT($A$923,_xlfn.CONCAT("THEME14=",$C9),SCENARIOS!$A$2,SCENARIOS!$B$2,K$1)</f>
        <v>0</v>
      </c>
      <c r="L9" cm="1">
        <f t="array" ref="L9">_xll.VALEUROUTPUT($A$923,_xlfn.CONCAT("THEME14=",$C9),SCENARIOS!$A$2,SCENARIOS!$B$2,L$1)</f>
        <v>0</v>
      </c>
      <c r="M9" cm="1">
        <f t="array" ref="M9">_xll.VALEUROUTPUT($A$923,_xlfn.CONCAT("THEME14=",$C9),SCENARIOS!$A$2,SCENARIOS!$B$2,M$1)</f>
        <v>0</v>
      </c>
      <c r="N9" cm="1">
        <f t="array" ref="N9">_xll.VALEUROUTPUT($A$923,_xlfn.CONCAT("THEME14=",$C9),SCENARIOS!$A$2,SCENARIOS!$B$2,N$1)</f>
        <v>0</v>
      </c>
      <c r="O9" cm="1">
        <f t="array" ref="O9">_xll.VALEUROUTPUT($A$923,_xlfn.CONCAT("THEME14=",$C9),SCENARIOS!$A$2,SCENARIOS!$B$2,O$1)</f>
        <v>0</v>
      </c>
      <c r="P9" cm="1">
        <f t="array" ref="P9">_xll.VALEUROUTPUT($A$923,_xlfn.CONCAT("THEME14=",$C9),SCENARIOS!$A$2,SCENARIOS!$B$2,P$1)</f>
        <v>0</v>
      </c>
      <c r="Q9" cm="1">
        <f t="array" ref="Q9">_xll.VALEUROUTPUT($A$923,_xlfn.CONCAT("THEME14=",$C9),SCENARIOS!$A$2,SCENARIOS!$B$2,Q$1)</f>
        <v>0</v>
      </c>
      <c r="R9" cm="1">
        <f t="array" ref="R9">_xll.VALEUROUTPUT($A$923,_xlfn.CONCAT("THEME14=",$C9),SCENARIOS!$A$2,SCENARIOS!$B$2,R$1)</f>
        <v>0</v>
      </c>
      <c r="S9" cm="1">
        <f t="array" ref="S9">_xll.VALEUROUTPUT($A$923,_xlfn.CONCAT("THEME14=",$C9),SCENARIOS!$A$2,SCENARIOS!$B$2,S$1)</f>
        <v>0</v>
      </c>
      <c r="T9" cm="1">
        <f t="array" ref="T9">_xll.VALEUROUTPUT($A$923,_xlfn.CONCAT("THEME14=",$C9),SCENARIOS!$A$2,SCENARIOS!$B$2,T$1)</f>
        <v>0</v>
      </c>
      <c r="U9" cm="1">
        <f t="array" ref="U9">_xll.VALEUROUTPUT($A$923,_xlfn.CONCAT("THEME14=",$C9),SCENARIOS!$A$2,SCENARIOS!$B$2,U$1)</f>
        <v>0</v>
      </c>
      <c r="V9" cm="1">
        <f t="array" ref="V9">_xll.VALEUROUTPUT($A$923,_xlfn.CONCAT("THEME14=",$C9),SCENARIOS!$A$2,SCENARIOS!$B$2,V$1)</f>
        <v>0</v>
      </c>
      <c r="W9" cm="1">
        <f t="array" ref="W9">_xll.VALEUROUTPUT($A$923,_xlfn.CONCAT("THEME14=",$C9),SCENARIOS!$A$2,SCENARIOS!$B$2,W$1)</f>
        <v>0</v>
      </c>
      <c r="X9" cm="1">
        <f t="array" ref="X9">_xll.VALEUROUTPUT($A$923,_xlfn.CONCAT("THEME14=",$C9),SCENARIOS!$A$2,SCENARIOS!$B$2,X$1)</f>
        <v>0</v>
      </c>
      <c r="Y9" cm="1">
        <f t="array" ref="Y9">_xll.VALEUROUTPUT($A$923,_xlfn.CONCAT("THEME14=",$C9),SCENARIOS!$A$2,SCENARIOS!$B$2,Y$1)</f>
        <v>0</v>
      </c>
      <c r="Z9" cm="1">
        <f t="array" ref="Z9">_xll.VALEUROUTPUT($A$923,_xlfn.CONCAT("THEME14=",$C9),SCENARIOS!$A$2,SCENARIOS!$B$2,Z$1)</f>
        <v>0</v>
      </c>
      <c r="AA9" cm="1">
        <f t="array" ref="AA9">_xll.VALEUROUTPUT($A$923,_xlfn.CONCAT("THEME14=",$C9),SCENARIOS!$A$2,SCENARIOS!$B$2,AA$1)</f>
        <v>0</v>
      </c>
      <c r="AB9" cm="1">
        <f t="array" ref="AB9">_xll.VALEUROUTPUT($A$923,_xlfn.CONCAT("THEME14=",$C9),SCENARIOS!$A$2,SCENARIOS!$B$2,AB$1)</f>
        <v>0</v>
      </c>
      <c r="AC9" cm="1">
        <f t="array" ref="AC9">_xll.VALEUROUTPUT($A$923,_xlfn.CONCAT("THEME14=",$C9),SCENARIOS!$A$2,SCENARIOS!$B$2,AC$1)</f>
        <v>0</v>
      </c>
      <c r="AD9" cm="1">
        <f t="array" ref="AD9">_xll.VALEUROUTPUT($A$923,_xlfn.CONCAT("THEME14=",$C9),SCENARIOS!$A$2,SCENARIOS!$B$2,AD$1)</f>
        <v>0</v>
      </c>
      <c r="AE9" cm="1">
        <f t="array" ref="AE9">_xll.VALEUROUTPUT($A$923,_xlfn.CONCAT("THEME14=",$C9),SCENARIOS!$A$2,SCENARIOS!$B$2,AE$1)</f>
        <v>0</v>
      </c>
      <c r="AF9" cm="1">
        <f t="array" ref="AF9">_xll.VALEUROUTPUT($A$923,_xlfn.CONCAT("THEME14=",$C9),SCENARIOS!$A$2,SCENARIOS!$B$2,AF$1)</f>
        <v>0</v>
      </c>
    </row>
    <row r="10" spans="1:33" x14ac:dyDescent="0.25">
      <c r="A10" t="str">
        <v>OSUPDEG_1_T100%</v>
      </c>
      <c r="C10" t="str">
        <v>C00009</v>
      </c>
      <c r="D10" cm="1">
        <f t="array" ref="D10">_xll.VALEUROUTPUT($A$923,_xlfn.CONCAT("THEME14=",$C10),SCENARIOS!$A$2,SCENARIOS!$B$2,D$1)</f>
        <v>0</v>
      </c>
      <c r="E10" cm="1">
        <f t="array" ref="E10">_xll.VALEUROUTPUT($A$923,_xlfn.CONCAT("THEME14=",$C10),SCENARIOS!$A$2,SCENARIOS!$B$2,E$1)</f>
        <v>0</v>
      </c>
      <c r="F10" cm="1">
        <f t="array" ref="F10">_xll.VALEUROUTPUT($A$923,_xlfn.CONCAT("THEME14=",$C10),SCENARIOS!$A$2,SCENARIOS!$B$2,F$1)</f>
        <v>0</v>
      </c>
      <c r="G10" cm="1">
        <f t="array" ref="G10">_xll.VALEUROUTPUT($A$923,_xlfn.CONCAT("THEME14=",$C10),SCENARIOS!$A$2,SCENARIOS!$B$2,G$1)</f>
        <v>0</v>
      </c>
      <c r="H10" cm="1">
        <f t="array" ref="H10">_xll.VALEUROUTPUT($A$923,_xlfn.CONCAT("THEME14=",$C10),SCENARIOS!$A$2,SCENARIOS!$B$2,H$1)</f>
        <v>0</v>
      </c>
      <c r="I10" cm="1">
        <f t="array" ref="I10">_xll.VALEUROUTPUT($A$923,_xlfn.CONCAT("THEME14=",$C10),SCENARIOS!$A$2,SCENARIOS!$B$2,I$1)</f>
        <v>0</v>
      </c>
      <c r="J10" cm="1">
        <f t="array" ref="J10">_xll.VALEUROUTPUT($A$923,_xlfn.CONCAT("THEME14=",$C10),SCENARIOS!$A$2,SCENARIOS!$B$2,J$1)</f>
        <v>0</v>
      </c>
      <c r="K10" cm="1">
        <f t="array" ref="K10">_xll.VALEUROUTPUT($A$923,_xlfn.CONCAT("THEME14=",$C10),SCENARIOS!$A$2,SCENARIOS!$B$2,K$1)</f>
        <v>0</v>
      </c>
      <c r="L10" cm="1">
        <f t="array" ref="L10">_xll.VALEUROUTPUT($A$923,_xlfn.CONCAT("THEME14=",$C10),SCENARIOS!$A$2,SCENARIOS!$B$2,L$1)</f>
        <v>0</v>
      </c>
      <c r="M10" cm="1">
        <f t="array" ref="M10">_xll.VALEUROUTPUT($A$923,_xlfn.CONCAT("THEME14=",$C10),SCENARIOS!$A$2,SCENARIOS!$B$2,M$1)</f>
        <v>0</v>
      </c>
      <c r="N10" cm="1">
        <f t="array" ref="N10">_xll.VALEUROUTPUT($A$923,_xlfn.CONCAT("THEME14=",$C10),SCENARIOS!$A$2,SCENARIOS!$B$2,N$1)</f>
        <v>0</v>
      </c>
      <c r="O10" cm="1">
        <f t="array" ref="O10">_xll.VALEUROUTPUT($A$923,_xlfn.CONCAT("THEME14=",$C10),SCENARIOS!$A$2,SCENARIOS!$B$2,O$1)</f>
        <v>0</v>
      </c>
      <c r="P10" cm="1">
        <f t="array" ref="P10">_xll.VALEUROUTPUT($A$923,_xlfn.CONCAT("THEME14=",$C10),SCENARIOS!$A$2,SCENARIOS!$B$2,P$1)</f>
        <v>0</v>
      </c>
      <c r="Q10" cm="1">
        <f t="array" ref="Q10">_xll.VALEUROUTPUT($A$923,_xlfn.CONCAT("THEME14=",$C10),SCENARIOS!$A$2,SCENARIOS!$B$2,Q$1)</f>
        <v>0</v>
      </c>
      <c r="R10" cm="1">
        <f t="array" ref="R10">_xll.VALEUROUTPUT($A$923,_xlfn.CONCAT("THEME14=",$C10),SCENARIOS!$A$2,SCENARIOS!$B$2,R$1)</f>
        <v>0</v>
      </c>
      <c r="S10" cm="1">
        <f t="array" ref="S10">_xll.VALEUROUTPUT($A$923,_xlfn.CONCAT("THEME14=",$C10),SCENARIOS!$A$2,SCENARIOS!$B$2,S$1)</f>
        <v>0</v>
      </c>
      <c r="T10" cm="1">
        <f t="array" ref="T10">_xll.VALEUROUTPUT($A$923,_xlfn.CONCAT("THEME14=",$C10),SCENARIOS!$A$2,SCENARIOS!$B$2,T$1)</f>
        <v>0</v>
      </c>
      <c r="U10" cm="1">
        <f t="array" ref="U10">_xll.VALEUROUTPUT($A$923,_xlfn.CONCAT("THEME14=",$C10),SCENARIOS!$A$2,SCENARIOS!$B$2,U$1)</f>
        <v>0</v>
      </c>
      <c r="V10" cm="1">
        <f t="array" ref="V10">_xll.VALEUROUTPUT($A$923,_xlfn.CONCAT("THEME14=",$C10),SCENARIOS!$A$2,SCENARIOS!$B$2,V$1)</f>
        <v>0</v>
      </c>
      <c r="W10" cm="1">
        <f t="array" ref="W10">_xll.VALEUROUTPUT($A$923,_xlfn.CONCAT("THEME14=",$C10),SCENARIOS!$A$2,SCENARIOS!$B$2,W$1)</f>
        <v>0</v>
      </c>
      <c r="X10" cm="1">
        <f t="array" ref="X10">_xll.VALEUROUTPUT($A$923,_xlfn.CONCAT("THEME14=",$C10),SCENARIOS!$A$2,SCENARIOS!$B$2,X$1)</f>
        <v>0</v>
      </c>
      <c r="Y10" cm="1">
        <f t="array" ref="Y10">_xll.VALEUROUTPUT($A$923,_xlfn.CONCAT("THEME14=",$C10),SCENARIOS!$A$2,SCENARIOS!$B$2,Y$1)</f>
        <v>0</v>
      </c>
      <c r="Z10" cm="1">
        <f t="array" ref="Z10">_xll.VALEUROUTPUT($A$923,_xlfn.CONCAT("THEME14=",$C10),SCENARIOS!$A$2,SCENARIOS!$B$2,Z$1)</f>
        <v>0</v>
      </c>
      <c r="AA10" cm="1">
        <f t="array" ref="AA10">_xll.VALEUROUTPUT($A$923,_xlfn.CONCAT("THEME14=",$C10),SCENARIOS!$A$2,SCENARIOS!$B$2,AA$1)</f>
        <v>0</v>
      </c>
      <c r="AB10" cm="1">
        <f t="array" ref="AB10">_xll.VALEUROUTPUT($A$923,_xlfn.CONCAT("THEME14=",$C10),SCENARIOS!$A$2,SCENARIOS!$B$2,AB$1)</f>
        <v>0</v>
      </c>
      <c r="AC10" cm="1">
        <f t="array" ref="AC10">_xll.VALEUROUTPUT($A$923,_xlfn.CONCAT("THEME14=",$C10),SCENARIOS!$A$2,SCENARIOS!$B$2,AC$1)</f>
        <v>0</v>
      </c>
      <c r="AD10" cm="1">
        <f t="array" ref="AD10">_xll.VALEUROUTPUT($A$923,_xlfn.CONCAT("THEME14=",$C10),SCENARIOS!$A$2,SCENARIOS!$B$2,AD$1)</f>
        <v>0</v>
      </c>
      <c r="AE10" cm="1">
        <f t="array" ref="AE10">_xll.VALEUROUTPUT($A$923,_xlfn.CONCAT("THEME14=",$C10),SCENARIOS!$A$2,SCENARIOS!$B$2,AE$1)</f>
        <v>0</v>
      </c>
      <c r="AF10" cm="1">
        <f t="array" ref="AF10">_xll.VALEUROUTPUT($A$923,_xlfn.CONCAT("THEME14=",$C10),SCENARIOS!$A$2,SCENARIOS!$B$2,AF$1)</f>
        <v>0</v>
      </c>
    </row>
    <row r="11" spans="1:33" x14ac:dyDescent="0.25">
      <c r="A11" t="str">
        <v>OSUPDEG_1</v>
      </c>
      <c r="C11" t="str">
        <v>C00010</v>
      </c>
      <c r="D11" cm="1">
        <f t="array" ref="D11">_xll.VALEUROUTPUT($A$923,_xlfn.CONCAT("THEME14=",$C11),SCENARIOS!$A$2,SCENARIOS!$B$2,D$1)</f>
        <v>0</v>
      </c>
      <c r="E11" cm="1">
        <f t="array" ref="E11">_xll.VALEUROUTPUT($A$923,_xlfn.CONCAT("THEME14=",$C11),SCENARIOS!$A$2,SCENARIOS!$B$2,E$1)</f>
        <v>0</v>
      </c>
      <c r="F11" cm="1">
        <f t="array" ref="F11">_xll.VALEUROUTPUT($A$923,_xlfn.CONCAT("THEME14=",$C11),SCENARIOS!$A$2,SCENARIOS!$B$2,F$1)</f>
        <v>0</v>
      </c>
      <c r="G11" cm="1">
        <f t="array" ref="G11">_xll.VALEUROUTPUT($A$923,_xlfn.CONCAT("THEME14=",$C11),SCENARIOS!$A$2,SCENARIOS!$B$2,G$1)</f>
        <v>0</v>
      </c>
      <c r="H11" cm="1">
        <f t="array" ref="H11">_xll.VALEUROUTPUT($A$923,_xlfn.CONCAT("THEME14=",$C11),SCENARIOS!$A$2,SCENARIOS!$B$2,H$1)</f>
        <v>0</v>
      </c>
      <c r="I11" cm="1">
        <f t="array" ref="I11">_xll.VALEUROUTPUT($A$923,_xlfn.CONCAT("THEME14=",$C11),SCENARIOS!$A$2,SCENARIOS!$B$2,I$1)</f>
        <v>0</v>
      </c>
      <c r="J11" cm="1">
        <f t="array" ref="J11">_xll.VALEUROUTPUT($A$923,_xlfn.CONCAT("THEME14=",$C11),SCENARIOS!$A$2,SCENARIOS!$B$2,J$1)</f>
        <v>0</v>
      </c>
      <c r="K11" cm="1">
        <f t="array" ref="K11">_xll.VALEUROUTPUT($A$923,_xlfn.CONCAT("THEME14=",$C11),SCENARIOS!$A$2,SCENARIOS!$B$2,K$1)</f>
        <v>0</v>
      </c>
      <c r="L11" cm="1">
        <f t="array" ref="L11">_xll.VALEUROUTPUT($A$923,_xlfn.CONCAT("THEME14=",$C11),SCENARIOS!$A$2,SCENARIOS!$B$2,L$1)</f>
        <v>0</v>
      </c>
      <c r="M11" cm="1">
        <f t="array" ref="M11">_xll.VALEUROUTPUT($A$923,_xlfn.CONCAT("THEME14=",$C11),SCENARIOS!$A$2,SCENARIOS!$B$2,M$1)</f>
        <v>0</v>
      </c>
      <c r="N11" cm="1">
        <f t="array" ref="N11">_xll.VALEUROUTPUT($A$923,_xlfn.CONCAT("THEME14=",$C11),SCENARIOS!$A$2,SCENARIOS!$B$2,N$1)</f>
        <v>0</v>
      </c>
      <c r="O11" cm="1">
        <f t="array" ref="O11">_xll.VALEUROUTPUT($A$923,_xlfn.CONCAT("THEME14=",$C11),SCENARIOS!$A$2,SCENARIOS!$B$2,O$1)</f>
        <v>0</v>
      </c>
      <c r="P11" cm="1">
        <f t="array" ref="P11">_xll.VALEUROUTPUT($A$923,_xlfn.CONCAT("THEME14=",$C11),SCENARIOS!$A$2,SCENARIOS!$B$2,P$1)</f>
        <v>0</v>
      </c>
      <c r="Q11" cm="1">
        <f t="array" ref="Q11">_xll.VALEUROUTPUT($A$923,_xlfn.CONCAT("THEME14=",$C11),SCENARIOS!$A$2,SCENARIOS!$B$2,Q$1)</f>
        <v>0</v>
      </c>
      <c r="R11" cm="1">
        <f t="array" ref="R11">_xll.VALEUROUTPUT($A$923,_xlfn.CONCAT("THEME14=",$C11),SCENARIOS!$A$2,SCENARIOS!$B$2,R$1)</f>
        <v>0</v>
      </c>
      <c r="S11" cm="1">
        <f t="array" ref="S11">_xll.VALEUROUTPUT($A$923,_xlfn.CONCAT("THEME14=",$C11),SCENARIOS!$A$2,SCENARIOS!$B$2,S$1)</f>
        <v>0</v>
      </c>
      <c r="T11" cm="1">
        <f t="array" ref="T11">_xll.VALEUROUTPUT($A$923,_xlfn.CONCAT("THEME14=",$C11),SCENARIOS!$A$2,SCENARIOS!$B$2,T$1)</f>
        <v>0</v>
      </c>
      <c r="U11" cm="1">
        <f t="array" ref="U11">_xll.VALEUROUTPUT($A$923,_xlfn.CONCAT("THEME14=",$C11),SCENARIOS!$A$2,SCENARIOS!$B$2,U$1)</f>
        <v>0</v>
      </c>
      <c r="V11" cm="1">
        <f t="array" ref="V11">_xll.VALEUROUTPUT($A$923,_xlfn.CONCAT("THEME14=",$C11),SCENARIOS!$A$2,SCENARIOS!$B$2,V$1)</f>
        <v>0</v>
      </c>
      <c r="W11" cm="1">
        <f t="array" ref="W11">_xll.VALEUROUTPUT($A$923,_xlfn.CONCAT("THEME14=",$C11),SCENARIOS!$A$2,SCENARIOS!$B$2,W$1)</f>
        <v>0</v>
      </c>
      <c r="X11" cm="1">
        <f t="array" ref="X11">_xll.VALEUROUTPUT($A$923,_xlfn.CONCAT("THEME14=",$C11),SCENARIOS!$A$2,SCENARIOS!$B$2,X$1)</f>
        <v>0</v>
      </c>
      <c r="Y11" cm="1">
        <f t="array" ref="Y11">_xll.VALEUROUTPUT($A$923,_xlfn.CONCAT("THEME14=",$C11),SCENARIOS!$A$2,SCENARIOS!$B$2,Y$1)</f>
        <v>0</v>
      </c>
      <c r="Z11" cm="1">
        <f t="array" ref="Z11">_xll.VALEUROUTPUT($A$923,_xlfn.CONCAT("THEME14=",$C11),SCENARIOS!$A$2,SCENARIOS!$B$2,Z$1)</f>
        <v>0</v>
      </c>
      <c r="AA11" cm="1">
        <f t="array" ref="AA11">_xll.VALEUROUTPUT($A$923,_xlfn.CONCAT("THEME14=",$C11),SCENARIOS!$A$2,SCENARIOS!$B$2,AA$1)</f>
        <v>0</v>
      </c>
      <c r="AB11" cm="1">
        <f t="array" ref="AB11">_xll.VALEUROUTPUT($A$923,_xlfn.CONCAT("THEME14=",$C11),SCENARIOS!$A$2,SCENARIOS!$B$2,AB$1)</f>
        <v>0</v>
      </c>
      <c r="AC11" cm="1">
        <f t="array" ref="AC11">_xll.VALEUROUTPUT($A$923,_xlfn.CONCAT("THEME14=",$C11),SCENARIOS!$A$2,SCENARIOS!$B$2,AC$1)</f>
        <v>0</v>
      </c>
      <c r="AD11" cm="1">
        <f t="array" ref="AD11">_xll.VALEUROUTPUT($A$923,_xlfn.CONCAT("THEME14=",$C11),SCENARIOS!$A$2,SCENARIOS!$B$2,AD$1)</f>
        <v>0</v>
      </c>
      <c r="AE11" cm="1">
        <f t="array" ref="AE11">_xll.VALEUROUTPUT($A$923,_xlfn.CONCAT("THEME14=",$C11),SCENARIOS!$A$2,SCENARIOS!$B$2,AE$1)</f>
        <v>0</v>
      </c>
      <c r="AF11" cm="1">
        <f t="array" ref="AF11">_xll.VALEUROUTPUT($A$923,_xlfn.CONCAT("THEME14=",$C11),SCENARIOS!$A$2,SCENARIOS!$B$2,AF$1)</f>
        <v>0</v>
      </c>
    </row>
    <row r="12" spans="1:33" x14ac:dyDescent="0.25">
      <c r="A12" t="str">
        <v>OSUPTCSDSCA_LIGN_T100%</v>
      </c>
      <c r="C12" t="str">
        <v>C00011</v>
      </c>
      <c r="D12" cm="1">
        <f t="array" ref="D12">_xll.VALEUROUTPUT($A$923,_xlfn.CONCAT("THEME14=",$C12),SCENARIOS!$A$2,SCENARIOS!$B$2,D$1)</f>
        <v>0</v>
      </c>
      <c r="E12" cm="1">
        <f t="array" ref="E12">_xll.VALEUROUTPUT($A$923,_xlfn.CONCAT("THEME14=",$C12),SCENARIOS!$A$2,SCENARIOS!$B$2,E$1)</f>
        <v>0</v>
      </c>
      <c r="F12" cm="1">
        <f t="array" ref="F12">_xll.VALEUROUTPUT($A$923,_xlfn.CONCAT("THEME14=",$C12),SCENARIOS!$A$2,SCENARIOS!$B$2,F$1)</f>
        <v>0</v>
      </c>
      <c r="G12" cm="1">
        <f t="array" ref="G12">_xll.VALEUROUTPUT($A$923,_xlfn.CONCAT("THEME14=",$C12),SCENARIOS!$A$2,SCENARIOS!$B$2,G$1)</f>
        <v>0</v>
      </c>
      <c r="H12" cm="1">
        <f t="array" ref="H12">_xll.VALEUROUTPUT($A$923,_xlfn.CONCAT("THEME14=",$C12),SCENARIOS!$A$2,SCENARIOS!$B$2,H$1)</f>
        <v>0</v>
      </c>
      <c r="I12" cm="1">
        <f t="array" ref="I12">_xll.VALEUROUTPUT($A$923,_xlfn.CONCAT("THEME14=",$C12),SCENARIOS!$A$2,SCENARIOS!$B$2,I$1)</f>
        <v>0</v>
      </c>
      <c r="J12" cm="1">
        <f t="array" ref="J12">_xll.VALEUROUTPUT($A$923,_xlfn.CONCAT("THEME14=",$C12),SCENARIOS!$A$2,SCENARIOS!$B$2,J$1)</f>
        <v>0</v>
      </c>
      <c r="K12" cm="1">
        <f t="array" ref="K12">_xll.VALEUROUTPUT($A$923,_xlfn.CONCAT("THEME14=",$C12),SCENARIOS!$A$2,SCENARIOS!$B$2,K$1)</f>
        <v>0</v>
      </c>
      <c r="L12" cm="1">
        <f t="array" ref="L12">_xll.VALEUROUTPUT($A$923,_xlfn.CONCAT("THEME14=",$C12),SCENARIOS!$A$2,SCENARIOS!$B$2,L$1)</f>
        <v>0</v>
      </c>
      <c r="M12" cm="1">
        <f t="array" ref="M12">_xll.VALEUROUTPUT($A$923,_xlfn.CONCAT("THEME14=",$C12),SCENARIOS!$A$2,SCENARIOS!$B$2,M$1)</f>
        <v>0</v>
      </c>
      <c r="N12" cm="1">
        <f t="array" ref="N12">_xll.VALEUROUTPUT($A$923,_xlfn.CONCAT("THEME14=",$C12),SCENARIOS!$A$2,SCENARIOS!$B$2,N$1)</f>
        <v>0</v>
      </c>
      <c r="O12" cm="1">
        <f t="array" ref="O12">_xll.VALEUROUTPUT($A$923,_xlfn.CONCAT("THEME14=",$C12),SCENARIOS!$A$2,SCENARIOS!$B$2,O$1)</f>
        <v>0</v>
      </c>
      <c r="P12" cm="1">
        <f t="array" ref="P12">_xll.VALEUROUTPUT($A$923,_xlfn.CONCAT("THEME14=",$C12),SCENARIOS!$A$2,SCENARIOS!$B$2,P$1)</f>
        <v>0</v>
      </c>
      <c r="Q12" cm="1">
        <f t="array" ref="Q12">_xll.VALEUROUTPUT($A$923,_xlfn.CONCAT("THEME14=",$C12),SCENARIOS!$A$2,SCENARIOS!$B$2,Q$1)</f>
        <v>0</v>
      </c>
      <c r="R12" cm="1">
        <f t="array" ref="R12">_xll.VALEUROUTPUT($A$923,_xlfn.CONCAT("THEME14=",$C12),SCENARIOS!$A$2,SCENARIOS!$B$2,R$1)</f>
        <v>0</v>
      </c>
      <c r="S12" cm="1">
        <f t="array" ref="S12">_xll.VALEUROUTPUT($A$923,_xlfn.CONCAT("THEME14=",$C12),SCENARIOS!$A$2,SCENARIOS!$B$2,S$1)</f>
        <v>0</v>
      </c>
      <c r="T12" cm="1">
        <f t="array" ref="T12">_xll.VALEUROUTPUT($A$923,_xlfn.CONCAT("THEME14=",$C12),SCENARIOS!$A$2,SCENARIOS!$B$2,T$1)</f>
        <v>0</v>
      </c>
      <c r="U12" cm="1">
        <f t="array" ref="U12">_xll.VALEUROUTPUT($A$923,_xlfn.CONCAT("THEME14=",$C12),SCENARIOS!$A$2,SCENARIOS!$B$2,U$1)</f>
        <v>0</v>
      </c>
      <c r="V12" cm="1">
        <f t="array" ref="V12">_xll.VALEUROUTPUT($A$923,_xlfn.CONCAT("THEME14=",$C12),SCENARIOS!$A$2,SCENARIOS!$B$2,V$1)</f>
        <v>0</v>
      </c>
      <c r="W12" cm="1">
        <f t="array" ref="W12">_xll.VALEUROUTPUT($A$923,_xlfn.CONCAT("THEME14=",$C12),SCENARIOS!$A$2,SCENARIOS!$B$2,W$1)</f>
        <v>0</v>
      </c>
      <c r="X12" cm="1">
        <f t="array" ref="X12">_xll.VALEUROUTPUT($A$923,_xlfn.CONCAT("THEME14=",$C12),SCENARIOS!$A$2,SCENARIOS!$B$2,X$1)</f>
        <v>0</v>
      </c>
      <c r="Y12" cm="1">
        <f t="array" ref="Y12">_xll.VALEUROUTPUT($A$923,_xlfn.CONCAT("THEME14=",$C12),SCENARIOS!$A$2,SCENARIOS!$B$2,Y$1)</f>
        <v>0</v>
      </c>
      <c r="Z12" cm="1">
        <f t="array" ref="Z12">_xll.VALEUROUTPUT($A$923,_xlfn.CONCAT("THEME14=",$C12),SCENARIOS!$A$2,SCENARIOS!$B$2,Z$1)</f>
        <v>0</v>
      </c>
      <c r="AA12" cm="1">
        <f t="array" ref="AA12">_xll.VALEUROUTPUT($A$923,_xlfn.CONCAT("THEME14=",$C12),SCENARIOS!$A$2,SCENARIOS!$B$2,AA$1)</f>
        <v>0</v>
      </c>
      <c r="AB12" cm="1">
        <f t="array" ref="AB12">_xll.VALEUROUTPUT($A$923,_xlfn.CONCAT("THEME14=",$C12),SCENARIOS!$A$2,SCENARIOS!$B$2,AB$1)</f>
        <v>0</v>
      </c>
      <c r="AC12" cm="1">
        <f t="array" ref="AC12">_xll.VALEUROUTPUT($A$923,_xlfn.CONCAT("THEME14=",$C12),SCENARIOS!$A$2,SCENARIOS!$B$2,AC$1)</f>
        <v>0</v>
      </c>
      <c r="AD12" cm="1">
        <f t="array" ref="AD12">_xll.VALEUROUTPUT($A$923,_xlfn.CONCAT("THEME14=",$C12),SCENARIOS!$A$2,SCENARIOS!$B$2,AD$1)</f>
        <v>0</v>
      </c>
      <c r="AE12" cm="1">
        <f t="array" ref="AE12">_xll.VALEUROUTPUT($A$923,_xlfn.CONCAT("THEME14=",$C12),SCENARIOS!$A$2,SCENARIOS!$B$2,AE$1)</f>
        <v>0</v>
      </c>
      <c r="AF12" cm="1">
        <f t="array" ref="AF12">_xll.VALEUROUTPUT($A$923,_xlfn.CONCAT("THEME14=",$C12),SCENARIOS!$A$2,SCENARIOS!$B$2,AF$1)</f>
        <v>0</v>
      </c>
    </row>
    <row r="13" spans="1:33" x14ac:dyDescent="0.25">
      <c r="A13" t="str">
        <v>OSUPTCSDSCA_PART_T100%</v>
      </c>
      <c r="C13" t="str">
        <v>C00012</v>
      </c>
      <c r="D13" cm="1">
        <f t="array" ref="D13">_xll.VALEUROUTPUT($A$923,_xlfn.CONCAT("THEME14=",$C13),SCENARIOS!$A$2,SCENARIOS!$B$2,D$1)</f>
        <v>0</v>
      </c>
      <c r="E13" cm="1">
        <f t="array" ref="E13">_xll.VALEUROUTPUT($A$923,_xlfn.CONCAT("THEME14=",$C13),SCENARIOS!$A$2,SCENARIOS!$B$2,E$1)</f>
        <v>0</v>
      </c>
      <c r="F13" cm="1">
        <f t="array" ref="F13">_xll.VALEUROUTPUT($A$923,_xlfn.CONCAT("THEME14=",$C13),SCENARIOS!$A$2,SCENARIOS!$B$2,F$1)</f>
        <v>0</v>
      </c>
      <c r="G13" cm="1">
        <f t="array" ref="G13">_xll.VALEUROUTPUT($A$923,_xlfn.CONCAT("THEME14=",$C13),SCENARIOS!$A$2,SCENARIOS!$B$2,G$1)</f>
        <v>0</v>
      </c>
      <c r="H13" cm="1">
        <f t="array" ref="H13">_xll.VALEUROUTPUT($A$923,_xlfn.CONCAT("THEME14=",$C13),SCENARIOS!$A$2,SCENARIOS!$B$2,H$1)</f>
        <v>0</v>
      </c>
      <c r="I13" cm="1">
        <f t="array" ref="I13">_xll.VALEUROUTPUT($A$923,_xlfn.CONCAT("THEME14=",$C13),SCENARIOS!$A$2,SCENARIOS!$B$2,I$1)</f>
        <v>0</v>
      </c>
      <c r="J13" cm="1">
        <f t="array" ref="J13">_xll.VALEUROUTPUT($A$923,_xlfn.CONCAT("THEME14=",$C13),SCENARIOS!$A$2,SCENARIOS!$B$2,J$1)</f>
        <v>0</v>
      </c>
      <c r="K13" cm="1">
        <f t="array" ref="K13">_xll.VALEUROUTPUT($A$923,_xlfn.CONCAT("THEME14=",$C13),SCENARIOS!$A$2,SCENARIOS!$B$2,K$1)</f>
        <v>0</v>
      </c>
      <c r="L13" cm="1">
        <f t="array" ref="L13">_xll.VALEUROUTPUT($A$923,_xlfn.CONCAT("THEME14=",$C13),SCENARIOS!$A$2,SCENARIOS!$B$2,L$1)</f>
        <v>0</v>
      </c>
      <c r="M13" cm="1">
        <f t="array" ref="M13">_xll.VALEUROUTPUT($A$923,_xlfn.CONCAT("THEME14=",$C13),SCENARIOS!$A$2,SCENARIOS!$B$2,M$1)</f>
        <v>0</v>
      </c>
      <c r="N13" cm="1">
        <f t="array" ref="N13">_xll.VALEUROUTPUT($A$923,_xlfn.CONCAT("THEME14=",$C13),SCENARIOS!$A$2,SCENARIOS!$B$2,N$1)</f>
        <v>0</v>
      </c>
      <c r="O13" cm="1">
        <f t="array" ref="O13">_xll.VALEUROUTPUT($A$923,_xlfn.CONCAT("THEME14=",$C13),SCENARIOS!$A$2,SCENARIOS!$B$2,O$1)</f>
        <v>0</v>
      </c>
      <c r="P13" cm="1">
        <f t="array" ref="P13">_xll.VALEUROUTPUT($A$923,_xlfn.CONCAT("THEME14=",$C13),SCENARIOS!$A$2,SCENARIOS!$B$2,P$1)</f>
        <v>0</v>
      </c>
      <c r="Q13" cm="1">
        <f t="array" ref="Q13">_xll.VALEUROUTPUT($A$923,_xlfn.CONCAT("THEME14=",$C13),SCENARIOS!$A$2,SCENARIOS!$B$2,Q$1)</f>
        <v>0</v>
      </c>
      <c r="R13" cm="1">
        <f t="array" ref="R13">_xll.VALEUROUTPUT($A$923,_xlfn.CONCAT("THEME14=",$C13),SCENARIOS!$A$2,SCENARIOS!$B$2,R$1)</f>
        <v>0</v>
      </c>
      <c r="S13" cm="1">
        <f t="array" ref="S13">_xll.VALEUROUTPUT($A$923,_xlfn.CONCAT("THEME14=",$C13),SCENARIOS!$A$2,SCENARIOS!$B$2,S$1)</f>
        <v>0</v>
      </c>
      <c r="T13" cm="1">
        <f t="array" ref="T13">_xll.VALEUROUTPUT($A$923,_xlfn.CONCAT("THEME14=",$C13),SCENARIOS!$A$2,SCENARIOS!$B$2,T$1)</f>
        <v>0</v>
      </c>
      <c r="U13" cm="1">
        <f t="array" ref="U13">_xll.VALEUROUTPUT($A$923,_xlfn.CONCAT("THEME14=",$C13),SCENARIOS!$A$2,SCENARIOS!$B$2,U$1)</f>
        <v>0</v>
      </c>
      <c r="V13" cm="1">
        <f t="array" ref="V13">_xll.VALEUROUTPUT($A$923,_xlfn.CONCAT("THEME14=",$C13),SCENARIOS!$A$2,SCENARIOS!$B$2,V$1)</f>
        <v>0</v>
      </c>
      <c r="W13" cm="1">
        <f t="array" ref="W13">_xll.VALEUROUTPUT($A$923,_xlfn.CONCAT("THEME14=",$C13),SCENARIOS!$A$2,SCENARIOS!$B$2,W$1)</f>
        <v>0</v>
      </c>
      <c r="X13" cm="1">
        <f t="array" ref="X13">_xll.VALEUROUTPUT($A$923,_xlfn.CONCAT("THEME14=",$C13),SCENARIOS!$A$2,SCENARIOS!$B$2,X$1)</f>
        <v>0</v>
      </c>
      <c r="Y13" cm="1">
        <f t="array" ref="Y13">_xll.VALEUROUTPUT($A$923,_xlfn.CONCAT("THEME14=",$C13),SCENARIOS!$A$2,SCENARIOS!$B$2,Y$1)</f>
        <v>0</v>
      </c>
      <c r="Z13" cm="1">
        <f t="array" ref="Z13">_xll.VALEUROUTPUT($A$923,_xlfn.CONCAT("THEME14=",$C13),SCENARIOS!$A$2,SCENARIOS!$B$2,Z$1)</f>
        <v>0</v>
      </c>
      <c r="AA13" cm="1">
        <f t="array" ref="AA13">_xll.VALEUROUTPUT($A$923,_xlfn.CONCAT("THEME14=",$C13),SCENARIOS!$A$2,SCENARIOS!$B$2,AA$1)</f>
        <v>0</v>
      </c>
      <c r="AB13" cm="1">
        <f t="array" ref="AB13">_xll.VALEUROUTPUT($A$923,_xlfn.CONCAT("THEME14=",$C13),SCENARIOS!$A$2,SCENARIOS!$B$2,AB$1)</f>
        <v>0</v>
      </c>
      <c r="AC13" cm="1">
        <f t="array" ref="AC13">_xll.VALEUROUTPUT($A$923,_xlfn.CONCAT("THEME14=",$C13),SCENARIOS!$A$2,SCENARIOS!$B$2,AC$1)</f>
        <v>0</v>
      </c>
      <c r="AD13" cm="1">
        <f t="array" ref="AD13">_xll.VALEUROUTPUT($A$923,_xlfn.CONCAT("THEME14=",$C13),SCENARIOS!$A$2,SCENARIOS!$B$2,AD$1)</f>
        <v>0</v>
      </c>
      <c r="AE13" cm="1">
        <f t="array" ref="AE13">_xll.VALEUROUTPUT($A$923,_xlfn.CONCAT("THEME14=",$C13),SCENARIOS!$A$2,SCENARIOS!$B$2,AE$1)</f>
        <v>0</v>
      </c>
      <c r="AF13" cm="1">
        <f t="array" ref="AF13">_xll.VALEUROUTPUT($A$923,_xlfn.CONCAT("THEME14=",$C13),SCENARIOS!$A$2,SCENARIOS!$B$2,AF$1)</f>
        <v>0</v>
      </c>
    </row>
    <row r="14" spans="1:33" x14ac:dyDescent="0.25">
      <c r="A14" t="str">
        <v>OSUPTCSDSCA_REG_T100%</v>
      </c>
      <c r="C14" t="str">
        <v>C00013</v>
      </c>
      <c r="D14" cm="1">
        <f t="array" ref="D14">_xll.VALEUROUTPUT($A$923,_xlfn.CONCAT("THEME14=",$C14),SCENARIOS!$A$2,SCENARIOS!$B$2,D$1)</f>
        <v>0</v>
      </c>
      <c r="E14" cm="1">
        <f t="array" ref="E14">_xll.VALEUROUTPUT($A$923,_xlfn.CONCAT("THEME14=",$C14),SCENARIOS!$A$2,SCENARIOS!$B$2,E$1)</f>
        <v>0</v>
      </c>
      <c r="F14" cm="1">
        <f t="array" ref="F14">_xll.VALEUROUTPUT($A$923,_xlfn.CONCAT("THEME14=",$C14),SCENARIOS!$A$2,SCENARIOS!$B$2,F$1)</f>
        <v>0</v>
      </c>
      <c r="G14" cm="1">
        <f t="array" ref="G14">_xll.VALEUROUTPUT($A$923,_xlfn.CONCAT("THEME14=",$C14),SCENARIOS!$A$2,SCENARIOS!$B$2,G$1)</f>
        <v>0</v>
      </c>
      <c r="H14" cm="1">
        <f t="array" ref="H14">_xll.VALEUROUTPUT($A$923,_xlfn.CONCAT("THEME14=",$C14),SCENARIOS!$A$2,SCENARIOS!$B$2,H$1)</f>
        <v>0</v>
      </c>
      <c r="I14" cm="1">
        <f t="array" ref="I14">_xll.VALEUROUTPUT($A$923,_xlfn.CONCAT("THEME14=",$C14),SCENARIOS!$A$2,SCENARIOS!$B$2,I$1)</f>
        <v>0</v>
      </c>
      <c r="J14" cm="1">
        <f t="array" ref="J14">_xll.VALEUROUTPUT($A$923,_xlfn.CONCAT("THEME14=",$C14),SCENARIOS!$A$2,SCENARIOS!$B$2,J$1)</f>
        <v>0</v>
      </c>
      <c r="K14" cm="1">
        <f t="array" ref="K14">_xll.VALEUROUTPUT($A$923,_xlfn.CONCAT("THEME14=",$C14),SCENARIOS!$A$2,SCENARIOS!$B$2,K$1)</f>
        <v>0</v>
      </c>
      <c r="L14" cm="1">
        <f t="array" ref="L14">_xll.VALEUROUTPUT($A$923,_xlfn.CONCAT("THEME14=",$C14),SCENARIOS!$A$2,SCENARIOS!$B$2,L$1)</f>
        <v>0</v>
      </c>
      <c r="M14" cm="1">
        <f t="array" ref="M14">_xll.VALEUROUTPUT($A$923,_xlfn.CONCAT("THEME14=",$C14),SCENARIOS!$A$2,SCENARIOS!$B$2,M$1)</f>
        <v>0</v>
      </c>
      <c r="N14" cm="1">
        <f t="array" ref="N14">_xll.VALEUROUTPUT($A$923,_xlfn.CONCAT("THEME14=",$C14),SCENARIOS!$A$2,SCENARIOS!$B$2,N$1)</f>
        <v>0</v>
      </c>
      <c r="O14" cm="1">
        <f t="array" ref="O14">_xll.VALEUROUTPUT($A$923,_xlfn.CONCAT("THEME14=",$C14),SCENARIOS!$A$2,SCENARIOS!$B$2,O$1)</f>
        <v>0</v>
      </c>
      <c r="P14" cm="1">
        <f t="array" ref="P14">_xll.VALEUROUTPUT($A$923,_xlfn.CONCAT("THEME14=",$C14),SCENARIOS!$A$2,SCENARIOS!$B$2,P$1)</f>
        <v>0</v>
      </c>
      <c r="Q14" cm="1">
        <f t="array" ref="Q14">_xll.VALEUROUTPUT($A$923,_xlfn.CONCAT("THEME14=",$C14),SCENARIOS!$A$2,SCENARIOS!$B$2,Q$1)</f>
        <v>0</v>
      </c>
      <c r="R14" cm="1">
        <f t="array" ref="R14">_xll.VALEUROUTPUT($A$923,_xlfn.CONCAT("THEME14=",$C14),SCENARIOS!$A$2,SCENARIOS!$B$2,R$1)</f>
        <v>0</v>
      </c>
      <c r="S14" cm="1">
        <f t="array" ref="S14">_xll.VALEUROUTPUT($A$923,_xlfn.CONCAT("THEME14=",$C14),SCENARIOS!$A$2,SCENARIOS!$B$2,S$1)</f>
        <v>0</v>
      </c>
      <c r="T14" cm="1">
        <f t="array" ref="T14">_xll.VALEUROUTPUT($A$923,_xlfn.CONCAT("THEME14=",$C14),SCENARIOS!$A$2,SCENARIOS!$B$2,T$1)</f>
        <v>0</v>
      </c>
      <c r="U14" cm="1">
        <f t="array" ref="U14">_xll.VALEUROUTPUT($A$923,_xlfn.CONCAT("THEME14=",$C14),SCENARIOS!$A$2,SCENARIOS!$B$2,U$1)</f>
        <v>0</v>
      </c>
      <c r="V14" cm="1">
        <f t="array" ref="V14">_xll.VALEUROUTPUT($A$923,_xlfn.CONCAT("THEME14=",$C14),SCENARIOS!$A$2,SCENARIOS!$B$2,V$1)</f>
        <v>0</v>
      </c>
      <c r="W14" cm="1">
        <f t="array" ref="W14">_xll.VALEUROUTPUT($A$923,_xlfn.CONCAT("THEME14=",$C14),SCENARIOS!$A$2,SCENARIOS!$B$2,W$1)</f>
        <v>0</v>
      </c>
      <c r="X14" cm="1">
        <f t="array" ref="X14">_xll.VALEUROUTPUT($A$923,_xlfn.CONCAT("THEME14=",$C14),SCENARIOS!$A$2,SCENARIOS!$B$2,X$1)</f>
        <v>0</v>
      </c>
      <c r="Y14" cm="1">
        <f t="array" ref="Y14">_xll.VALEUROUTPUT($A$923,_xlfn.CONCAT("THEME14=",$C14),SCENARIOS!$A$2,SCENARIOS!$B$2,Y$1)</f>
        <v>0</v>
      </c>
      <c r="Z14" cm="1">
        <f t="array" ref="Z14">_xll.VALEUROUTPUT($A$923,_xlfn.CONCAT("THEME14=",$C14),SCENARIOS!$A$2,SCENARIOS!$B$2,Z$1)</f>
        <v>0</v>
      </c>
      <c r="AA14" cm="1">
        <f t="array" ref="AA14">_xll.VALEUROUTPUT($A$923,_xlfn.CONCAT("THEME14=",$C14),SCENARIOS!$A$2,SCENARIOS!$B$2,AA$1)</f>
        <v>0</v>
      </c>
      <c r="AB14" cm="1">
        <f t="array" ref="AB14">_xll.VALEUROUTPUT($A$923,_xlfn.CONCAT("THEME14=",$C14),SCENARIOS!$A$2,SCENARIOS!$B$2,AB$1)</f>
        <v>0</v>
      </c>
      <c r="AC14" cm="1">
        <f t="array" ref="AC14">_xll.VALEUROUTPUT($A$923,_xlfn.CONCAT("THEME14=",$C14),SCENARIOS!$A$2,SCENARIOS!$B$2,AC$1)</f>
        <v>0</v>
      </c>
      <c r="AD14" cm="1">
        <f t="array" ref="AD14">_xll.VALEUROUTPUT($A$923,_xlfn.CONCAT("THEME14=",$C14),SCENARIOS!$A$2,SCENARIOS!$B$2,AD$1)</f>
        <v>0</v>
      </c>
      <c r="AE14" cm="1">
        <f t="array" ref="AE14">_xll.VALEUROUTPUT($A$923,_xlfn.CONCAT("THEME14=",$C14),SCENARIOS!$A$2,SCENARIOS!$B$2,AE$1)</f>
        <v>0</v>
      </c>
      <c r="AF14" cm="1">
        <f t="array" ref="AF14">_xll.VALEUROUTPUT($A$923,_xlfn.CONCAT("THEME14=",$C14),SCENARIOS!$A$2,SCENARIOS!$B$2,AF$1)</f>
        <v>0</v>
      </c>
    </row>
    <row r="15" spans="1:33" x14ac:dyDescent="0.25">
      <c r="A15" t="str">
        <v>OSUPSCA_LIGN_T100%</v>
      </c>
      <c r="C15" t="str">
        <v>C00014</v>
      </c>
      <c r="D15" cm="1">
        <f t="array" ref="D15">_xll.VALEUROUTPUT($A$923,_xlfn.CONCAT("THEME14=",$C15),SCENARIOS!$A$2,SCENARIOS!$B$2,D$1)</f>
        <v>0</v>
      </c>
      <c r="E15" cm="1">
        <f t="array" ref="E15">_xll.VALEUROUTPUT($A$923,_xlfn.CONCAT("THEME14=",$C15),SCENARIOS!$A$2,SCENARIOS!$B$2,E$1)</f>
        <v>0</v>
      </c>
      <c r="F15" cm="1">
        <f t="array" ref="F15">_xll.VALEUROUTPUT($A$923,_xlfn.CONCAT("THEME14=",$C15),SCENARIOS!$A$2,SCENARIOS!$B$2,F$1)</f>
        <v>0</v>
      </c>
      <c r="G15" cm="1">
        <f t="array" ref="G15">_xll.VALEUROUTPUT($A$923,_xlfn.CONCAT("THEME14=",$C15),SCENARIOS!$A$2,SCENARIOS!$B$2,G$1)</f>
        <v>0</v>
      </c>
      <c r="H15" cm="1">
        <f t="array" ref="H15">_xll.VALEUROUTPUT($A$923,_xlfn.CONCAT("THEME14=",$C15),SCENARIOS!$A$2,SCENARIOS!$B$2,H$1)</f>
        <v>0</v>
      </c>
      <c r="I15" cm="1">
        <f t="array" ref="I15">_xll.VALEUROUTPUT($A$923,_xlfn.CONCAT("THEME14=",$C15),SCENARIOS!$A$2,SCENARIOS!$B$2,I$1)</f>
        <v>0</v>
      </c>
      <c r="J15" cm="1">
        <f t="array" ref="J15">_xll.VALEUROUTPUT($A$923,_xlfn.CONCAT("THEME14=",$C15),SCENARIOS!$A$2,SCENARIOS!$B$2,J$1)</f>
        <v>0</v>
      </c>
      <c r="K15" cm="1">
        <f t="array" ref="K15">_xll.VALEUROUTPUT($A$923,_xlfn.CONCAT("THEME14=",$C15),SCENARIOS!$A$2,SCENARIOS!$B$2,K$1)</f>
        <v>0</v>
      </c>
      <c r="L15" cm="1">
        <f t="array" ref="L15">_xll.VALEUROUTPUT($A$923,_xlfn.CONCAT("THEME14=",$C15),SCENARIOS!$A$2,SCENARIOS!$B$2,L$1)</f>
        <v>0</v>
      </c>
      <c r="M15" cm="1">
        <f t="array" ref="M15">_xll.VALEUROUTPUT($A$923,_xlfn.CONCAT("THEME14=",$C15),SCENARIOS!$A$2,SCENARIOS!$B$2,M$1)</f>
        <v>0</v>
      </c>
      <c r="N15" cm="1">
        <f t="array" ref="N15">_xll.VALEUROUTPUT($A$923,_xlfn.CONCAT("THEME14=",$C15),SCENARIOS!$A$2,SCENARIOS!$B$2,N$1)</f>
        <v>0</v>
      </c>
      <c r="O15" cm="1">
        <f t="array" ref="O15">_xll.VALEUROUTPUT($A$923,_xlfn.CONCAT("THEME14=",$C15),SCENARIOS!$A$2,SCENARIOS!$B$2,O$1)</f>
        <v>0</v>
      </c>
      <c r="P15" cm="1">
        <f t="array" ref="P15">_xll.VALEUROUTPUT($A$923,_xlfn.CONCAT("THEME14=",$C15),SCENARIOS!$A$2,SCENARIOS!$B$2,P$1)</f>
        <v>0</v>
      </c>
      <c r="Q15" cm="1">
        <f t="array" ref="Q15">_xll.VALEUROUTPUT($A$923,_xlfn.CONCAT("THEME14=",$C15),SCENARIOS!$A$2,SCENARIOS!$B$2,Q$1)</f>
        <v>0</v>
      </c>
      <c r="R15" cm="1">
        <f t="array" ref="R15">_xll.VALEUROUTPUT($A$923,_xlfn.CONCAT("THEME14=",$C15),SCENARIOS!$A$2,SCENARIOS!$B$2,R$1)</f>
        <v>0</v>
      </c>
      <c r="S15" cm="1">
        <f t="array" ref="S15">_xll.VALEUROUTPUT($A$923,_xlfn.CONCAT("THEME14=",$C15),SCENARIOS!$A$2,SCENARIOS!$B$2,S$1)</f>
        <v>0</v>
      </c>
      <c r="T15" cm="1">
        <f t="array" ref="T15">_xll.VALEUROUTPUT($A$923,_xlfn.CONCAT("THEME14=",$C15),SCENARIOS!$A$2,SCENARIOS!$B$2,T$1)</f>
        <v>0</v>
      </c>
      <c r="U15" cm="1">
        <f t="array" ref="U15">_xll.VALEUROUTPUT($A$923,_xlfn.CONCAT("THEME14=",$C15),SCENARIOS!$A$2,SCENARIOS!$B$2,U$1)</f>
        <v>0</v>
      </c>
      <c r="V15" cm="1">
        <f t="array" ref="V15">_xll.VALEUROUTPUT($A$923,_xlfn.CONCAT("THEME14=",$C15),SCENARIOS!$A$2,SCENARIOS!$B$2,V$1)</f>
        <v>0</v>
      </c>
      <c r="W15" cm="1">
        <f t="array" ref="W15">_xll.VALEUROUTPUT($A$923,_xlfn.CONCAT("THEME14=",$C15),SCENARIOS!$A$2,SCENARIOS!$B$2,W$1)</f>
        <v>0</v>
      </c>
      <c r="X15" cm="1">
        <f t="array" ref="X15">_xll.VALEUROUTPUT($A$923,_xlfn.CONCAT("THEME14=",$C15),SCENARIOS!$A$2,SCENARIOS!$B$2,X$1)</f>
        <v>0</v>
      </c>
      <c r="Y15" cm="1">
        <f t="array" ref="Y15">_xll.VALEUROUTPUT($A$923,_xlfn.CONCAT("THEME14=",$C15),SCENARIOS!$A$2,SCENARIOS!$B$2,Y$1)</f>
        <v>0</v>
      </c>
      <c r="Z15" cm="1">
        <f t="array" ref="Z15">_xll.VALEUROUTPUT($A$923,_xlfn.CONCAT("THEME14=",$C15),SCENARIOS!$A$2,SCENARIOS!$B$2,Z$1)</f>
        <v>0</v>
      </c>
      <c r="AA15" cm="1">
        <f t="array" ref="AA15">_xll.VALEUROUTPUT($A$923,_xlfn.CONCAT("THEME14=",$C15),SCENARIOS!$A$2,SCENARIOS!$B$2,AA$1)</f>
        <v>0</v>
      </c>
      <c r="AB15" cm="1">
        <f t="array" ref="AB15">_xll.VALEUROUTPUT($A$923,_xlfn.CONCAT("THEME14=",$C15),SCENARIOS!$A$2,SCENARIOS!$B$2,AB$1)</f>
        <v>0</v>
      </c>
      <c r="AC15" cm="1">
        <f t="array" ref="AC15">_xll.VALEUROUTPUT($A$923,_xlfn.CONCAT("THEME14=",$C15),SCENARIOS!$A$2,SCENARIOS!$B$2,AC$1)</f>
        <v>0</v>
      </c>
      <c r="AD15" cm="1">
        <f t="array" ref="AD15">_xll.VALEUROUTPUT($A$923,_xlfn.CONCAT("THEME14=",$C15),SCENARIOS!$A$2,SCENARIOS!$B$2,AD$1)</f>
        <v>0</v>
      </c>
      <c r="AE15" cm="1">
        <f t="array" ref="AE15">_xll.VALEUROUTPUT($A$923,_xlfn.CONCAT("THEME14=",$C15),SCENARIOS!$A$2,SCENARIOS!$B$2,AE$1)</f>
        <v>0</v>
      </c>
      <c r="AF15" cm="1">
        <f t="array" ref="AF15">_xll.VALEUROUTPUT($A$923,_xlfn.CONCAT("THEME14=",$C15),SCENARIOS!$A$2,SCENARIOS!$B$2,AF$1)</f>
        <v>0</v>
      </c>
    </row>
    <row r="16" spans="1:33" x14ac:dyDescent="0.25">
      <c r="A16" t="str">
        <v>OSUPSCA_PART_T100%</v>
      </c>
      <c r="C16" t="str">
        <v>NA</v>
      </c>
      <c r="D16" cm="1">
        <f t="array" ref="D16">_xll.VALEUROUTPUT($A$923,_xlfn.CONCAT("THEME14=",$C16),SCENARIOS!$A$2,SCENARIOS!$B$2,D$1)</f>
        <v>0</v>
      </c>
      <c r="E16" cm="1">
        <f t="array" ref="E16">_xll.VALEUROUTPUT($A$923,_xlfn.CONCAT("THEME14=",$C16),SCENARIOS!$A$2,SCENARIOS!$B$2,E$1)</f>
        <v>0</v>
      </c>
      <c r="F16" cm="1">
        <f t="array" ref="F16">_xll.VALEUROUTPUT($A$923,_xlfn.CONCAT("THEME14=",$C16),SCENARIOS!$A$2,SCENARIOS!$B$2,F$1)</f>
        <v>0</v>
      </c>
      <c r="G16" cm="1">
        <f t="array" ref="G16">_xll.VALEUROUTPUT($A$923,_xlfn.CONCAT("THEME14=",$C16),SCENARIOS!$A$2,SCENARIOS!$B$2,G$1)</f>
        <v>0</v>
      </c>
      <c r="H16" cm="1">
        <f t="array" ref="H16">_xll.VALEUROUTPUT($A$923,_xlfn.CONCAT("THEME14=",$C16),SCENARIOS!$A$2,SCENARIOS!$B$2,H$1)</f>
        <v>0</v>
      </c>
      <c r="I16" cm="1">
        <f t="array" ref="I16">_xll.VALEUROUTPUT($A$923,_xlfn.CONCAT("THEME14=",$C16),SCENARIOS!$A$2,SCENARIOS!$B$2,I$1)</f>
        <v>0</v>
      </c>
      <c r="J16" cm="1">
        <f t="array" ref="J16">_xll.VALEUROUTPUT($A$923,_xlfn.CONCAT("THEME14=",$C16),SCENARIOS!$A$2,SCENARIOS!$B$2,J$1)</f>
        <v>0</v>
      </c>
      <c r="K16" cm="1">
        <f t="array" ref="K16">_xll.VALEUROUTPUT($A$923,_xlfn.CONCAT("THEME14=",$C16),SCENARIOS!$A$2,SCENARIOS!$B$2,K$1)</f>
        <v>0</v>
      </c>
      <c r="L16" cm="1">
        <f t="array" ref="L16">_xll.VALEUROUTPUT($A$923,_xlfn.CONCAT("THEME14=",$C16),SCENARIOS!$A$2,SCENARIOS!$B$2,L$1)</f>
        <v>0</v>
      </c>
      <c r="M16" cm="1">
        <f t="array" ref="M16">_xll.VALEUROUTPUT($A$923,_xlfn.CONCAT("THEME14=",$C16),SCENARIOS!$A$2,SCENARIOS!$B$2,M$1)</f>
        <v>0</v>
      </c>
      <c r="N16" cm="1">
        <f t="array" ref="N16">_xll.VALEUROUTPUT($A$923,_xlfn.CONCAT("THEME14=",$C16),SCENARIOS!$A$2,SCENARIOS!$B$2,N$1)</f>
        <v>0</v>
      </c>
      <c r="O16" cm="1">
        <f t="array" ref="O16">_xll.VALEUROUTPUT($A$923,_xlfn.CONCAT("THEME14=",$C16),SCENARIOS!$A$2,SCENARIOS!$B$2,O$1)</f>
        <v>0</v>
      </c>
      <c r="P16" cm="1">
        <f t="array" ref="P16">_xll.VALEUROUTPUT($A$923,_xlfn.CONCAT("THEME14=",$C16),SCENARIOS!$A$2,SCENARIOS!$B$2,P$1)</f>
        <v>0</v>
      </c>
      <c r="Q16" cm="1">
        <f t="array" ref="Q16">_xll.VALEUROUTPUT($A$923,_xlfn.CONCAT("THEME14=",$C16),SCENARIOS!$A$2,SCENARIOS!$B$2,Q$1)</f>
        <v>0</v>
      </c>
      <c r="R16" cm="1">
        <f t="array" ref="R16">_xll.VALEUROUTPUT($A$923,_xlfn.CONCAT("THEME14=",$C16),SCENARIOS!$A$2,SCENARIOS!$B$2,R$1)</f>
        <v>0</v>
      </c>
      <c r="S16" cm="1">
        <f t="array" ref="S16">_xll.VALEUROUTPUT($A$923,_xlfn.CONCAT("THEME14=",$C16),SCENARIOS!$A$2,SCENARIOS!$B$2,S$1)</f>
        <v>0</v>
      </c>
      <c r="T16" cm="1">
        <f t="array" ref="T16">_xll.VALEUROUTPUT($A$923,_xlfn.CONCAT("THEME14=",$C16),SCENARIOS!$A$2,SCENARIOS!$B$2,T$1)</f>
        <v>0</v>
      </c>
      <c r="U16" cm="1">
        <f t="array" ref="U16">_xll.VALEUROUTPUT($A$923,_xlfn.CONCAT("THEME14=",$C16),SCENARIOS!$A$2,SCENARIOS!$B$2,U$1)</f>
        <v>0</v>
      </c>
      <c r="V16" cm="1">
        <f t="array" ref="V16">_xll.VALEUROUTPUT($A$923,_xlfn.CONCAT("THEME14=",$C16),SCENARIOS!$A$2,SCENARIOS!$B$2,V$1)</f>
        <v>0</v>
      </c>
      <c r="W16" cm="1">
        <f t="array" ref="W16">_xll.VALEUROUTPUT($A$923,_xlfn.CONCAT("THEME14=",$C16),SCENARIOS!$A$2,SCENARIOS!$B$2,W$1)</f>
        <v>0</v>
      </c>
      <c r="X16" cm="1">
        <f t="array" ref="X16">_xll.VALEUROUTPUT($A$923,_xlfn.CONCAT("THEME14=",$C16),SCENARIOS!$A$2,SCENARIOS!$B$2,X$1)</f>
        <v>0</v>
      </c>
      <c r="Y16" cm="1">
        <f t="array" ref="Y16">_xll.VALEUROUTPUT($A$923,_xlfn.CONCAT("THEME14=",$C16),SCENARIOS!$A$2,SCENARIOS!$B$2,Y$1)</f>
        <v>0</v>
      </c>
      <c r="Z16" cm="1">
        <f t="array" ref="Z16">_xll.VALEUROUTPUT($A$923,_xlfn.CONCAT("THEME14=",$C16),SCENARIOS!$A$2,SCENARIOS!$B$2,Z$1)</f>
        <v>0</v>
      </c>
      <c r="AA16" cm="1">
        <f t="array" ref="AA16">_xll.VALEUROUTPUT($A$923,_xlfn.CONCAT("THEME14=",$C16),SCENARIOS!$A$2,SCENARIOS!$B$2,AA$1)</f>
        <v>0</v>
      </c>
      <c r="AB16" cm="1">
        <f t="array" ref="AB16">_xll.VALEUROUTPUT($A$923,_xlfn.CONCAT("THEME14=",$C16),SCENARIOS!$A$2,SCENARIOS!$B$2,AB$1)</f>
        <v>0</v>
      </c>
      <c r="AC16" cm="1">
        <f t="array" ref="AC16">_xll.VALEUROUTPUT($A$923,_xlfn.CONCAT("THEME14=",$C16),SCENARIOS!$A$2,SCENARIOS!$B$2,AC$1)</f>
        <v>0</v>
      </c>
      <c r="AD16" cm="1">
        <f t="array" ref="AD16">_xll.VALEUROUTPUT($A$923,_xlfn.CONCAT("THEME14=",$C16),SCENARIOS!$A$2,SCENARIOS!$B$2,AD$1)</f>
        <v>0</v>
      </c>
      <c r="AE16" cm="1">
        <f t="array" ref="AE16">_xll.VALEUROUTPUT($A$923,_xlfn.CONCAT("THEME14=",$C16),SCENARIOS!$A$2,SCENARIOS!$B$2,AE$1)</f>
        <v>0</v>
      </c>
      <c r="AF16" cm="1">
        <f t="array" ref="AF16">_xll.VALEUROUTPUT($A$923,_xlfn.CONCAT("THEME14=",$C16),SCENARIOS!$A$2,SCENARIOS!$B$2,AF$1)</f>
        <v>0</v>
      </c>
    </row>
    <row r="17" spans="1:32" x14ac:dyDescent="0.25">
      <c r="A17" t="str">
        <v>OSUPSCA_REG_T100%</v>
      </c>
      <c r="D17" cm="1">
        <f t="array" ref="D17">_xll.VALEUROUTPUT($A$923,_xlfn.CONCAT("THEME14=",$C17),SCENARIOS!$A$2,SCENARIOS!$B$2,D$1)</f>
        <v>0</v>
      </c>
      <c r="E17" cm="1">
        <f t="array" ref="E17">_xll.VALEUROUTPUT($A$923,_xlfn.CONCAT("THEME14=",$C17),SCENARIOS!$A$2,SCENARIOS!$B$2,E$1)</f>
        <v>0</v>
      </c>
      <c r="F17" cm="1">
        <f t="array" ref="F17">_xll.VALEUROUTPUT($A$923,_xlfn.CONCAT("THEME14=",$C17),SCENARIOS!$A$2,SCENARIOS!$B$2,F$1)</f>
        <v>0</v>
      </c>
      <c r="G17" cm="1">
        <f t="array" ref="G17">_xll.VALEUROUTPUT($A$923,_xlfn.CONCAT("THEME14=",$C17),SCENARIOS!$A$2,SCENARIOS!$B$2,G$1)</f>
        <v>0</v>
      </c>
      <c r="H17" cm="1">
        <f t="array" ref="H17">_xll.VALEUROUTPUT($A$923,_xlfn.CONCAT("THEME14=",$C17),SCENARIOS!$A$2,SCENARIOS!$B$2,H$1)</f>
        <v>0</v>
      </c>
      <c r="I17" cm="1">
        <f t="array" ref="I17">_xll.VALEUROUTPUT($A$923,_xlfn.CONCAT("THEME14=",$C17),SCENARIOS!$A$2,SCENARIOS!$B$2,I$1)</f>
        <v>0</v>
      </c>
      <c r="J17" cm="1">
        <f t="array" ref="J17">_xll.VALEUROUTPUT($A$923,_xlfn.CONCAT("THEME14=",$C17),SCENARIOS!$A$2,SCENARIOS!$B$2,J$1)</f>
        <v>0</v>
      </c>
      <c r="K17" cm="1">
        <f t="array" ref="K17">_xll.VALEUROUTPUT($A$923,_xlfn.CONCAT("THEME14=",$C17),SCENARIOS!$A$2,SCENARIOS!$B$2,K$1)</f>
        <v>0</v>
      </c>
      <c r="L17" cm="1">
        <f t="array" ref="L17">_xll.VALEUROUTPUT($A$923,_xlfn.CONCAT("THEME14=",$C17),SCENARIOS!$A$2,SCENARIOS!$B$2,L$1)</f>
        <v>0</v>
      </c>
      <c r="M17" cm="1">
        <f t="array" ref="M17">_xll.VALEUROUTPUT($A$923,_xlfn.CONCAT("THEME14=",$C17),SCENARIOS!$A$2,SCENARIOS!$B$2,M$1)</f>
        <v>0</v>
      </c>
      <c r="N17" cm="1">
        <f t="array" ref="N17">_xll.VALEUROUTPUT($A$923,_xlfn.CONCAT("THEME14=",$C17),SCENARIOS!$A$2,SCENARIOS!$B$2,N$1)</f>
        <v>0</v>
      </c>
      <c r="O17" cm="1">
        <f t="array" ref="O17">_xll.VALEUROUTPUT($A$923,_xlfn.CONCAT("THEME14=",$C17),SCENARIOS!$A$2,SCENARIOS!$B$2,O$1)</f>
        <v>0</v>
      </c>
      <c r="P17" cm="1">
        <f t="array" ref="P17">_xll.VALEUROUTPUT($A$923,_xlfn.CONCAT("THEME14=",$C17),SCENARIOS!$A$2,SCENARIOS!$B$2,P$1)</f>
        <v>0</v>
      </c>
      <c r="Q17" cm="1">
        <f t="array" ref="Q17">_xll.VALEUROUTPUT($A$923,_xlfn.CONCAT("THEME14=",$C17),SCENARIOS!$A$2,SCENARIOS!$B$2,Q$1)</f>
        <v>0</v>
      </c>
      <c r="R17" cm="1">
        <f t="array" ref="R17">_xll.VALEUROUTPUT($A$923,_xlfn.CONCAT("THEME14=",$C17),SCENARIOS!$A$2,SCENARIOS!$B$2,R$1)</f>
        <v>0</v>
      </c>
      <c r="S17" cm="1">
        <f t="array" ref="S17">_xll.VALEUROUTPUT($A$923,_xlfn.CONCAT("THEME14=",$C17),SCENARIOS!$A$2,SCENARIOS!$B$2,S$1)</f>
        <v>0</v>
      </c>
      <c r="T17" cm="1">
        <f t="array" ref="T17">_xll.VALEUROUTPUT($A$923,_xlfn.CONCAT("THEME14=",$C17),SCENARIOS!$A$2,SCENARIOS!$B$2,T$1)</f>
        <v>0</v>
      </c>
      <c r="U17" cm="1">
        <f t="array" ref="U17">_xll.VALEUROUTPUT($A$923,_xlfn.CONCAT("THEME14=",$C17),SCENARIOS!$A$2,SCENARIOS!$B$2,U$1)</f>
        <v>0</v>
      </c>
      <c r="V17" cm="1">
        <f t="array" ref="V17">_xll.VALEUROUTPUT($A$923,_xlfn.CONCAT("THEME14=",$C17),SCENARIOS!$A$2,SCENARIOS!$B$2,V$1)</f>
        <v>0</v>
      </c>
      <c r="W17" cm="1">
        <f t="array" ref="W17">_xll.VALEUROUTPUT($A$923,_xlfn.CONCAT("THEME14=",$C17),SCENARIOS!$A$2,SCENARIOS!$B$2,W$1)</f>
        <v>0</v>
      </c>
      <c r="X17" cm="1">
        <f t="array" ref="X17">_xll.VALEUROUTPUT($A$923,_xlfn.CONCAT("THEME14=",$C17),SCENARIOS!$A$2,SCENARIOS!$B$2,X$1)</f>
        <v>0</v>
      </c>
      <c r="Y17" cm="1">
        <f t="array" ref="Y17">_xll.VALEUROUTPUT($A$923,_xlfn.CONCAT("THEME14=",$C17),SCENARIOS!$A$2,SCENARIOS!$B$2,Y$1)</f>
        <v>0</v>
      </c>
      <c r="Z17" cm="1">
        <f t="array" ref="Z17">_xll.VALEUROUTPUT($A$923,_xlfn.CONCAT("THEME14=",$C17),SCENARIOS!$A$2,SCENARIOS!$B$2,Z$1)</f>
        <v>0</v>
      </c>
      <c r="AA17" cm="1">
        <f t="array" ref="AA17">_xll.VALEUROUTPUT($A$923,_xlfn.CONCAT("THEME14=",$C17),SCENARIOS!$A$2,SCENARIOS!$B$2,AA$1)</f>
        <v>0</v>
      </c>
      <c r="AB17" cm="1">
        <f t="array" ref="AB17">_xll.VALEUROUTPUT($A$923,_xlfn.CONCAT("THEME14=",$C17),SCENARIOS!$A$2,SCENARIOS!$B$2,AB$1)</f>
        <v>0</v>
      </c>
      <c r="AC17" cm="1">
        <f t="array" ref="AC17">_xll.VALEUROUTPUT($A$923,_xlfn.CONCAT("THEME14=",$C17),SCENARIOS!$A$2,SCENARIOS!$B$2,AC$1)</f>
        <v>0</v>
      </c>
      <c r="AD17" cm="1">
        <f t="array" ref="AD17">_xll.VALEUROUTPUT($A$923,_xlfn.CONCAT("THEME14=",$C17),SCENARIOS!$A$2,SCENARIOS!$B$2,AD$1)</f>
        <v>0</v>
      </c>
      <c r="AE17" cm="1">
        <f t="array" ref="AE17">_xll.VALEUROUTPUT($A$923,_xlfn.CONCAT("THEME14=",$C17),SCENARIOS!$A$2,SCENARIOS!$B$2,AE$1)</f>
        <v>0</v>
      </c>
      <c r="AF17" cm="1">
        <f t="array" ref="AF17">_xll.VALEUROUTPUT($A$923,_xlfn.CONCAT("THEME14=",$C17),SCENARIOS!$A$2,SCENARIOS!$B$2,AF$1)</f>
        <v>0</v>
      </c>
    </row>
    <row r="18" spans="1:32" x14ac:dyDescent="0.25">
      <c r="A18" t="str">
        <v>OSUPSCA_LIGN</v>
      </c>
      <c r="D18" cm="1">
        <f t="array" ref="D18">_xll.VALEUROUTPUT($A$923,_xlfn.CONCAT("THEME14=",$C18),SCENARIOS!$A$2,SCENARIOS!$B$2,D$1)</f>
        <v>0</v>
      </c>
      <c r="E18" cm="1">
        <f t="array" ref="E18">_xll.VALEUROUTPUT($A$923,_xlfn.CONCAT("THEME14=",$C18),SCENARIOS!$A$2,SCENARIOS!$B$2,E$1)</f>
        <v>0</v>
      </c>
      <c r="F18" cm="1">
        <f t="array" ref="F18">_xll.VALEUROUTPUT($A$923,_xlfn.CONCAT("THEME14=",$C18),SCENARIOS!$A$2,SCENARIOS!$B$2,F$1)</f>
        <v>0</v>
      </c>
      <c r="G18" cm="1">
        <f t="array" ref="G18">_xll.VALEUROUTPUT($A$923,_xlfn.CONCAT("THEME14=",$C18),SCENARIOS!$A$2,SCENARIOS!$B$2,G$1)</f>
        <v>0</v>
      </c>
      <c r="H18" cm="1">
        <f t="array" ref="H18">_xll.VALEUROUTPUT($A$923,_xlfn.CONCAT("THEME14=",$C18),SCENARIOS!$A$2,SCENARIOS!$B$2,H$1)</f>
        <v>0</v>
      </c>
      <c r="I18" cm="1">
        <f t="array" ref="I18">_xll.VALEUROUTPUT($A$923,_xlfn.CONCAT("THEME14=",$C18),SCENARIOS!$A$2,SCENARIOS!$B$2,I$1)</f>
        <v>0</v>
      </c>
      <c r="J18" cm="1">
        <f t="array" ref="J18">_xll.VALEUROUTPUT($A$923,_xlfn.CONCAT("THEME14=",$C18),SCENARIOS!$A$2,SCENARIOS!$B$2,J$1)</f>
        <v>0</v>
      </c>
      <c r="K18" cm="1">
        <f t="array" ref="K18">_xll.VALEUROUTPUT($A$923,_xlfn.CONCAT("THEME14=",$C18),SCENARIOS!$A$2,SCENARIOS!$B$2,K$1)</f>
        <v>0</v>
      </c>
      <c r="L18" cm="1">
        <f t="array" ref="L18">_xll.VALEUROUTPUT($A$923,_xlfn.CONCAT("THEME14=",$C18),SCENARIOS!$A$2,SCENARIOS!$B$2,L$1)</f>
        <v>0</v>
      </c>
      <c r="M18" cm="1">
        <f t="array" ref="M18">_xll.VALEUROUTPUT($A$923,_xlfn.CONCAT("THEME14=",$C18),SCENARIOS!$A$2,SCENARIOS!$B$2,M$1)</f>
        <v>0</v>
      </c>
      <c r="N18" cm="1">
        <f t="array" ref="N18">_xll.VALEUROUTPUT($A$923,_xlfn.CONCAT("THEME14=",$C18),SCENARIOS!$A$2,SCENARIOS!$B$2,N$1)</f>
        <v>0</v>
      </c>
      <c r="O18" cm="1">
        <f t="array" ref="O18">_xll.VALEUROUTPUT($A$923,_xlfn.CONCAT("THEME14=",$C18),SCENARIOS!$A$2,SCENARIOS!$B$2,O$1)</f>
        <v>0</v>
      </c>
      <c r="P18" cm="1">
        <f t="array" ref="P18">_xll.VALEUROUTPUT($A$923,_xlfn.CONCAT("THEME14=",$C18),SCENARIOS!$A$2,SCENARIOS!$B$2,P$1)</f>
        <v>0</v>
      </c>
      <c r="Q18" cm="1">
        <f t="array" ref="Q18">_xll.VALEUROUTPUT($A$923,_xlfn.CONCAT("THEME14=",$C18),SCENARIOS!$A$2,SCENARIOS!$B$2,Q$1)</f>
        <v>0</v>
      </c>
      <c r="R18" cm="1">
        <f t="array" ref="R18">_xll.VALEUROUTPUT($A$923,_xlfn.CONCAT("THEME14=",$C18),SCENARIOS!$A$2,SCENARIOS!$B$2,R$1)</f>
        <v>0</v>
      </c>
      <c r="S18" cm="1">
        <f t="array" ref="S18">_xll.VALEUROUTPUT($A$923,_xlfn.CONCAT("THEME14=",$C18),SCENARIOS!$A$2,SCENARIOS!$B$2,S$1)</f>
        <v>0</v>
      </c>
      <c r="T18" cm="1">
        <f t="array" ref="T18">_xll.VALEUROUTPUT($A$923,_xlfn.CONCAT("THEME14=",$C18),SCENARIOS!$A$2,SCENARIOS!$B$2,T$1)</f>
        <v>0</v>
      </c>
      <c r="U18" cm="1">
        <f t="array" ref="U18">_xll.VALEUROUTPUT($A$923,_xlfn.CONCAT("THEME14=",$C18),SCENARIOS!$A$2,SCENARIOS!$B$2,U$1)</f>
        <v>0</v>
      </c>
      <c r="V18" cm="1">
        <f t="array" ref="V18">_xll.VALEUROUTPUT($A$923,_xlfn.CONCAT("THEME14=",$C18),SCENARIOS!$A$2,SCENARIOS!$B$2,V$1)</f>
        <v>0</v>
      </c>
      <c r="W18" cm="1">
        <f t="array" ref="W18">_xll.VALEUROUTPUT($A$923,_xlfn.CONCAT("THEME14=",$C18),SCENARIOS!$A$2,SCENARIOS!$B$2,W$1)</f>
        <v>0</v>
      </c>
      <c r="X18" cm="1">
        <f t="array" ref="X18">_xll.VALEUROUTPUT($A$923,_xlfn.CONCAT("THEME14=",$C18),SCENARIOS!$A$2,SCENARIOS!$B$2,X$1)</f>
        <v>0</v>
      </c>
      <c r="Y18" cm="1">
        <f t="array" ref="Y18">_xll.VALEUROUTPUT($A$923,_xlfn.CONCAT("THEME14=",$C18),SCENARIOS!$A$2,SCENARIOS!$B$2,Y$1)</f>
        <v>0</v>
      </c>
      <c r="Z18" cm="1">
        <f t="array" ref="Z18">_xll.VALEUROUTPUT($A$923,_xlfn.CONCAT("THEME14=",$C18),SCENARIOS!$A$2,SCENARIOS!$B$2,Z$1)</f>
        <v>0</v>
      </c>
      <c r="AA18" cm="1">
        <f t="array" ref="AA18">_xll.VALEUROUTPUT($A$923,_xlfn.CONCAT("THEME14=",$C18),SCENARIOS!$A$2,SCENARIOS!$B$2,AA$1)</f>
        <v>0</v>
      </c>
      <c r="AB18" cm="1">
        <f t="array" ref="AB18">_xll.VALEUROUTPUT($A$923,_xlfn.CONCAT("THEME14=",$C18),SCENARIOS!$A$2,SCENARIOS!$B$2,AB$1)</f>
        <v>0</v>
      </c>
      <c r="AC18" cm="1">
        <f t="array" ref="AC18">_xll.VALEUROUTPUT($A$923,_xlfn.CONCAT("THEME14=",$C18),SCENARIOS!$A$2,SCENARIOS!$B$2,AC$1)</f>
        <v>0</v>
      </c>
      <c r="AD18" cm="1">
        <f t="array" ref="AD18">_xll.VALEUROUTPUT($A$923,_xlfn.CONCAT("THEME14=",$C18),SCENARIOS!$A$2,SCENARIOS!$B$2,AD$1)</f>
        <v>0</v>
      </c>
      <c r="AE18" cm="1">
        <f t="array" ref="AE18">_xll.VALEUROUTPUT($A$923,_xlfn.CONCAT("THEME14=",$C18),SCENARIOS!$A$2,SCENARIOS!$B$2,AE$1)</f>
        <v>0</v>
      </c>
      <c r="AF18" cm="1">
        <f t="array" ref="AF18">_xll.VALEUROUTPUT($A$923,_xlfn.CONCAT("THEME14=",$C18),SCENARIOS!$A$2,SCENARIOS!$B$2,AF$1)</f>
        <v>0</v>
      </c>
    </row>
    <row r="19" spans="1:32" x14ac:dyDescent="0.25">
      <c r="A19" t="str">
        <v>OSUPSCA_PART</v>
      </c>
      <c r="D19" cm="1">
        <f t="array" ref="D19">_xll.VALEUROUTPUT($A$923,_xlfn.CONCAT("THEME14=",$C19),SCENARIOS!$A$2,SCENARIOS!$B$2,D$1)</f>
        <v>0</v>
      </c>
      <c r="E19" cm="1">
        <f t="array" ref="E19">_xll.VALEUROUTPUT($A$923,_xlfn.CONCAT("THEME14=",$C19),SCENARIOS!$A$2,SCENARIOS!$B$2,E$1)</f>
        <v>0</v>
      </c>
      <c r="F19" cm="1">
        <f t="array" ref="F19">_xll.VALEUROUTPUT($A$923,_xlfn.CONCAT("THEME14=",$C19),SCENARIOS!$A$2,SCENARIOS!$B$2,F$1)</f>
        <v>0</v>
      </c>
      <c r="G19" cm="1">
        <f t="array" ref="G19">_xll.VALEUROUTPUT($A$923,_xlfn.CONCAT("THEME14=",$C19),SCENARIOS!$A$2,SCENARIOS!$B$2,G$1)</f>
        <v>0</v>
      </c>
      <c r="H19" cm="1">
        <f t="array" ref="H19">_xll.VALEUROUTPUT($A$923,_xlfn.CONCAT("THEME14=",$C19),SCENARIOS!$A$2,SCENARIOS!$B$2,H$1)</f>
        <v>0</v>
      </c>
      <c r="I19" cm="1">
        <f t="array" ref="I19">_xll.VALEUROUTPUT($A$923,_xlfn.CONCAT("THEME14=",$C19),SCENARIOS!$A$2,SCENARIOS!$B$2,I$1)</f>
        <v>0</v>
      </c>
      <c r="J19" cm="1">
        <f t="array" ref="J19">_xll.VALEUROUTPUT($A$923,_xlfn.CONCAT("THEME14=",$C19),SCENARIOS!$A$2,SCENARIOS!$B$2,J$1)</f>
        <v>0</v>
      </c>
      <c r="K19" cm="1">
        <f t="array" ref="K19">_xll.VALEUROUTPUT($A$923,_xlfn.CONCAT("THEME14=",$C19),SCENARIOS!$A$2,SCENARIOS!$B$2,K$1)</f>
        <v>0</v>
      </c>
      <c r="L19" cm="1">
        <f t="array" ref="L19">_xll.VALEUROUTPUT($A$923,_xlfn.CONCAT("THEME14=",$C19),SCENARIOS!$A$2,SCENARIOS!$B$2,L$1)</f>
        <v>0</v>
      </c>
      <c r="M19" cm="1">
        <f t="array" ref="M19">_xll.VALEUROUTPUT($A$923,_xlfn.CONCAT("THEME14=",$C19),SCENARIOS!$A$2,SCENARIOS!$B$2,M$1)</f>
        <v>0</v>
      </c>
      <c r="N19" cm="1">
        <f t="array" ref="N19">_xll.VALEUROUTPUT($A$923,_xlfn.CONCAT("THEME14=",$C19),SCENARIOS!$A$2,SCENARIOS!$B$2,N$1)</f>
        <v>0</v>
      </c>
      <c r="O19" cm="1">
        <f t="array" ref="O19">_xll.VALEUROUTPUT($A$923,_xlfn.CONCAT("THEME14=",$C19),SCENARIOS!$A$2,SCENARIOS!$B$2,O$1)</f>
        <v>0</v>
      </c>
      <c r="P19" cm="1">
        <f t="array" ref="P19">_xll.VALEUROUTPUT($A$923,_xlfn.CONCAT("THEME14=",$C19),SCENARIOS!$A$2,SCENARIOS!$B$2,P$1)</f>
        <v>0</v>
      </c>
      <c r="Q19" cm="1">
        <f t="array" ref="Q19">_xll.VALEUROUTPUT($A$923,_xlfn.CONCAT("THEME14=",$C19),SCENARIOS!$A$2,SCENARIOS!$B$2,Q$1)</f>
        <v>0</v>
      </c>
      <c r="R19" cm="1">
        <f t="array" ref="R19">_xll.VALEUROUTPUT($A$923,_xlfn.CONCAT("THEME14=",$C19),SCENARIOS!$A$2,SCENARIOS!$B$2,R$1)</f>
        <v>0</v>
      </c>
      <c r="S19" cm="1">
        <f t="array" ref="S19">_xll.VALEUROUTPUT($A$923,_xlfn.CONCAT("THEME14=",$C19),SCENARIOS!$A$2,SCENARIOS!$B$2,S$1)</f>
        <v>0</v>
      </c>
      <c r="T19" cm="1">
        <f t="array" ref="T19">_xll.VALEUROUTPUT($A$923,_xlfn.CONCAT("THEME14=",$C19),SCENARIOS!$A$2,SCENARIOS!$B$2,T$1)</f>
        <v>0</v>
      </c>
      <c r="U19" cm="1">
        <f t="array" ref="U19">_xll.VALEUROUTPUT($A$923,_xlfn.CONCAT("THEME14=",$C19),SCENARIOS!$A$2,SCENARIOS!$B$2,U$1)</f>
        <v>0</v>
      </c>
      <c r="V19" cm="1">
        <f t="array" ref="V19">_xll.VALEUROUTPUT($A$923,_xlfn.CONCAT("THEME14=",$C19),SCENARIOS!$A$2,SCENARIOS!$B$2,V$1)</f>
        <v>0</v>
      </c>
      <c r="W19" cm="1">
        <f t="array" ref="W19">_xll.VALEUROUTPUT($A$923,_xlfn.CONCAT("THEME14=",$C19),SCENARIOS!$A$2,SCENARIOS!$B$2,W$1)</f>
        <v>0</v>
      </c>
      <c r="X19" cm="1">
        <f t="array" ref="X19">_xll.VALEUROUTPUT($A$923,_xlfn.CONCAT("THEME14=",$C19),SCENARIOS!$A$2,SCENARIOS!$B$2,X$1)</f>
        <v>0</v>
      </c>
      <c r="Y19" cm="1">
        <f t="array" ref="Y19">_xll.VALEUROUTPUT($A$923,_xlfn.CONCAT("THEME14=",$C19),SCENARIOS!$A$2,SCENARIOS!$B$2,Y$1)</f>
        <v>0</v>
      </c>
      <c r="Z19" cm="1">
        <f t="array" ref="Z19">_xll.VALEUROUTPUT($A$923,_xlfn.CONCAT("THEME14=",$C19),SCENARIOS!$A$2,SCENARIOS!$B$2,Z$1)</f>
        <v>0</v>
      </c>
      <c r="AA19" cm="1">
        <f t="array" ref="AA19">_xll.VALEUROUTPUT($A$923,_xlfn.CONCAT("THEME14=",$C19),SCENARIOS!$A$2,SCENARIOS!$B$2,AA$1)</f>
        <v>0</v>
      </c>
      <c r="AB19" cm="1">
        <f t="array" ref="AB19">_xll.VALEUROUTPUT($A$923,_xlfn.CONCAT("THEME14=",$C19),SCENARIOS!$A$2,SCENARIOS!$B$2,AB$1)</f>
        <v>0</v>
      </c>
      <c r="AC19" cm="1">
        <f t="array" ref="AC19">_xll.VALEUROUTPUT($A$923,_xlfn.CONCAT("THEME14=",$C19),SCENARIOS!$A$2,SCENARIOS!$B$2,AC$1)</f>
        <v>0</v>
      </c>
      <c r="AD19" cm="1">
        <f t="array" ref="AD19">_xll.VALEUROUTPUT($A$923,_xlfn.CONCAT("THEME14=",$C19),SCENARIOS!$A$2,SCENARIOS!$B$2,AD$1)</f>
        <v>0</v>
      </c>
      <c r="AE19" cm="1">
        <f t="array" ref="AE19">_xll.VALEUROUTPUT($A$923,_xlfn.CONCAT("THEME14=",$C19),SCENARIOS!$A$2,SCENARIOS!$B$2,AE$1)</f>
        <v>0</v>
      </c>
      <c r="AF19" cm="1">
        <f t="array" ref="AF19">_xll.VALEUROUTPUT($A$923,_xlfn.CONCAT("THEME14=",$C19),SCENARIOS!$A$2,SCENARIOS!$B$2,AF$1)</f>
        <v>0</v>
      </c>
    </row>
    <row r="20" spans="1:32" x14ac:dyDescent="0.25">
      <c r="A20" t="str">
        <v>OSUPSCA_REG</v>
      </c>
      <c r="D20" cm="1">
        <f t="array" ref="D20">_xll.VALEUROUTPUT($A$923,_xlfn.CONCAT("THEME14=",$C20),SCENARIOS!$A$2,SCENARIOS!$B$2,D$1)</f>
        <v>0</v>
      </c>
      <c r="E20" cm="1">
        <f t="array" ref="E20">_xll.VALEUROUTPUT($A$923,_xlfn.CONCAT("THEME14=",$C20),SCENARIOS!$A$2,SCENARIOS!$B$2,E$1)</f>
        <v>0</v>
      </c>
      <c r="F20" cm="1">
        <f t="array" ref="F20">_xll.VALEUROUTPUT($A$923,_xlfn.CONCAT("THEME14=",$C20),SCENARIOS!$A$2,SCENARIOS!$B$2,F$1)</f>
        <v>0</v>
      </c>
      <c r="G20" cm="1">
        <f t="array" ref="G20">_xll.VALEUROUTPUT($A$923,_xlfn.CONCAT("THEME14=",$C20),SCENARIOS!$A$2,SCENARIOS!$B$2,G$1)</f>
        <v>0</v>
      </c>
      <c r="H20" cm="1">
        <f t="array" ref="H20">_xll.VALEUROUTPUT($A$923,_xlfn.CONCAT("THEME14=",$C20),SCENARIOS!$A$2,SCENARIOS!$B$2,H$1)</f>
        <v>0</v>
      </c>
      <c r="I20" cm="1">
        <f t="array" ref="I20">_xll.VALEUROUTPUT($A$923,_xlfn.CONCAT("THEME14=",$C20),SCENARIOS!$A$2,SCENARIOS!$B$2,I$1)</f>
        <v>0</v>
      </c>
      <c r="J20" cm="1">
        <f t="array" ref="J20">_xll.VALEUROUTPUT($A$923,_xlfn.CONCAT("THEME14=",$C20),SCENARIOS!$A$2,SCENARIOS!$B$2,J$1)</f>
        <v>0</v>
      </c>
      <c r="K20" cm="1">
        <f t="array" ref="K20">_xll.VALEUROUTPUT($A$923,_xlfn.CONCAT("THEME14=",$C20),SCENARIOS!$A$2,SCENARIOS!$B$2,K$1)</f>
        <v>0</v>
      </c>
      <c r="L20" cm="1">
        <f t="array" ref="L20">_xll.VALEUROUTPUT($A$923,_xlfn.CONCAT("THEME14=",$C20),SCENARIOS!$A$2,SCENARIOS!$B$2,L$1)</f>
        <v>0</v>
      </c>
      <c r="M20" cm="1">
        <f t="array" ref="M20">_xll.VALEUROUTPUT($A$923,_xlfn.CONCAT("THEME14=",$C20),SCENARIOS!$A$2,SCENARIOS!$B$2,M$1)</f>
        <v>0</v>
      </c>
      <c r="N20" cm="1">
        <f t="array" ref="N20">_xll.VALEUROUTPUT($A$923,_xlfn.CONCAT("THEME14=",$C20),SCENARIOS!$A$2,SCENARIOS!$B$2,N$1)</f>
        <v>0</v>
      </c>
      <c r="O20" cm="1">
        <f t="array" ref="O20">_xll.VALEUROUTPUT($A$923,_xlfn.CONCAT("THEME14=",$C20),SCENARIOS!$A$2,SCENARIOS!$B$2,O$1)</f>
        <v>0</v>
      </c>
      <c r="P20" cm="1">
        <f t="array" ref="P20">_xll.VALEUROUTPUT($A$923,_xlfn.CONCAT("THEME14=",$C20),SCENARIOS!$A$2,SCENARIOS!$B$2,P$1)</f>
        <v>0</v>
      </c>
      <c r="Q20" cm="1">
        <f t="array" ref="Q20">_xll.VALEUROUTPUT($A$923,_xlfn.CONCAT("THEME14=",$C20),SCENARIOS!$A$2,SCENARIOS!$B$2,Q$1)</f>
        <v>0</v>
      </c>
      <c r="R20" cm="1">
        <f t="array" ref="R20">_xll.VALEUROUTPUT($A$923,_xlfn.CONCAT("THEME14=",$C20),SCENARIOS!$A$2,SCENARIOS!$B$2,R$1)</f>
        <v>0</v>
      </c>
      <c r="S20" cm="1">
        <f t="array" ref="S20">_xll.VALEUROUTPUT($A$923,_xlfn.CONCAT("THEME14=",$C20),SCENARIOS!$A$2,SCENARIOS!$B$2,S$1)</f>
        <v>0</v>
      </c>
      <c r="T20" cm="1">
        <f t="array" ref="T20">_xll.VALEUROUTPUT($A$923,_xlfn.CONCAT("THEME14=",$C20),SCENARIOS!$A$2,SCENARIOS!$B$2,T$1)</f>
        <v>0</v>
      </c>
      <c r="U20" cm="1">
        <f t="array" ref="U20">_xll.VALEUROUTPUT($A$923,_xlfn.CONCAT("THEME14=",$C20),SCENARIOS!$A$2,SCENARIOS!$B$2,U$1)</f>
        <v>0</v>
      </c>
      <c r="V20" cm="1">
        <f t="array" ref="V20">_xll.VALEUROUTPUT($A$923,_xlfn.CONCAT("THEME14=",$C20),SCENARIOS!$A$2,SCENARIOS!$B$2,V$1)</f>
        <v>0</v>
      </c>
      <c r="W20" cm="1">
        <f t="array" ref="W20">_xll.VALEUROUTPUT($A$923,_xlfn.CONCAT("THEME14=",$C20),SCENARIOS!$A$2,SCENARIOS!$B$2,W$1)</f>
        <v>0</v>
      </c>
      <c r="X20" cm="1">
        <f t="array" ref="X20">_xll.VALEUROUTPUT($A$923,_xlfn.CONCAT("THEME14=",$C20),SCENARIOS!$A$2,SCENARIOS!$B$2,X$1)</f>
        <v>0</v>
      </c>
      <c r="Y20" cm="1">
        <f t="array" ref="Y20">_xll.VALEUROUTPUT($A$923,_xlfn.CONCAT("THEME14=",$C20),SCENARIOS!$A$2,SCENARIOS!$B$2,Y$1)</f>
        <v>0</v>
      </c>
      <c r="Z20" cm="1">
        <f t="array" ref="Z20">_xll.VALEUROUTPUT($A$923,_xlfn.CONCAT("THEME14=",$C20),SCENARIOS!$A$2,SCENARIOS!$B$2,Z$1)</f>
        <v>0</v>
      </c>
      <c r="AA20" cm="1">
        <f t="array" ref="AA20">_xll.VALEUROUTPUT($A$923,_xlfn.CONCAT("THEME14=",$C20),SCENARIOS!$A$2,SCENARIOS!$B$2,AA$1)</f>
        <v>0</v>
      </c>
      <c r="AB20" cm="1">
        <f t="array" ref="AB20">_xll.VALEUROUTPUT($A$923,_xlfn.CONCAT("THEME14=",$C20),SCENARIOS!$A$2,SCENARIOS!$B$2,AB$1)</f>
        <v>0</v>
      </c>
      <c r="AC20" cm="1">
        <f t="array" ref="AC20">_xll.VALEUROUTPUT($A$923,_xlfn.CONCAT("THEME14=",$C20),SCENARIOS!$A$2,SCENARIOS!$B$2,AC$1)</f>
        <v>0</v>
      </c>
      <c r="AD20" cm="1">
        <f t="array" ref="AD20">_xll.VALEUROUTPUT($A$923,_xlfn.CONCAT("THEME14=",$C20),SCENARIOS!$A$2,SCENARIOS!$B$2,AD$1)</f>
        <v>0</v>
      </c>
      <c r="AE20" cm="1">
        <f t="array" ref="AE20">_xll.VALEUROUTPUT($A$923,_xlfn.CONCAT("THEME14=",$C20),SCENARIOS!$A$2,SCENARIOS!$B$2,AE$1)</f>
        <v>0</v>
      </c>
      <c r="AF20" cm="1">
        <f t="array" ref="AF20">_xll.VALEUROUTPUT($A$923,_xlfn.CONCAT("THEME14=",$C20),SCENARIOS!$A$2,SCENARIOS!$B$2,AF$1)</f>
        <v>0</v>
      </c>
    </row>
    <row r="21" spans="1:32" x14ac:dyDescent="0.25">
      <c r="A21" t="str">
        <v>OSUPACTREG_T100%</v>
      </c>
      <c r="D21" cm="1">
        <f t="array" ref="D21">_xll.VALEUROUTPUT($A$923,_xlfn.CONCAT("THEME14=",$C21),SCENARIOS!$A$2,SCENARIOS!$B$2,D$1)</f>
        <v>0</v>
      </c>
      <c r="E21" cm="1">
        <f t="array" ref="E21">_xll.VALEUROUTPUT($A$923,_xlfn.CONCAT("THEME14=",$C21),SCENARIOS!$A$2,SCENARIOS!$B$2,E$1)</f>
        <v>0</v>
      </c>
      <c r="F21" cm="1">
        <f t="array" ref="F21">_xll.VALEUROUTPUT($A$923,_xlfn.CONCAT("THEME14=",$C21),SCENARIOS!$A$2,SCENARIOS!$B$2,F$1)</f>
        <v>0</v>
      </c>
      <c r="G21" cm="1">
        <f t="array" ref="G21">_xll.VALEUROUTPUT($A$923,_xlfn.CONCAT("THEME14=",$C21),SCENARIOS!$A$2,SCENARIOS!$B$2,G$1)</f>
        <v>0</v>
      </c>
      <c r="H21" cm="1">
        <f t="array" ref="H21">_xll.VALEUROUTPUT($A$923,_xlfn.CONCAT("THEME14=",$C21),SCENARIOS!$A$2,SCENARIOS!$B$2,H$1)</f>
        <v>0</v>
      </c>
      <c r="I21" cm="1">
        <f t="array" ref="I21">_xll.VALEUROUTPUT($A$923,_xlfn.CONCAT("THEME14=",$C21),SCENARIOS!$A$2,SCENARIOS!$B$2,I$1)</f>
        <v>0</v>
      </c>
      <c r="J21" cm="1">
        <f t="array" ref="J21">_xll.VALEUROUTPUT($A$923,_xlfn.CONCAT("THEME14=",$C21),SCENARIOS!$A$2,SCENARIOS!$B$2,J$1)</f>
        <v>0</v>
      </c>
      <c r="K21" cm="1">
        <f t="array" ref="K21">_xll.VALEUROUTPUT($A$923,_xlfn.CONCAT("THEME14=",$C21),SCENARIOS!$A$2,SCENARIOS!$B$2,K$1)</f>
        <v>0</v>
      </c>
      <c r="L21" cm="1">
        <f t="array" ref="L21">_xll.VALEUROUTPUT($A$923,_xlfn.CONCAT("THEME14=",$C21),SCENARIOS!$A$2,SCENARIOS!$B$2,L$1)</f>
        <v>0</v>
      </c>
      <c r="M21" cm="1">
        <f t="array" ref="M21">_xll.VALEUROUTPUT($A$923,_xlfn.CONCAT("THEME14=",$C21),SCENARIOS!$A$2,SCENARIOS!$B$2,M$1)</f>
        <v>0</v>
      </c>
      <c r="N21" cm="1">
        <f t="array" ref="N21">_xll.VALEUROUTPUT($A$923,_xlfn.CONCAT("THEME14=",$C21),SCENARIOS!$A$2,SCENARIOS!$B$2,N$1)</f>
        <v>0</v>
      </c>
      <c r="O21" cm="1">
        <f t="array" ref="O21">_xll.VALEUROUTPUT($A$923,_xlfn.CONCAT("THEME14=",$C21),SCENARIOS!$A$2,SCENARIOS!$B$2,O$1)</f>
        <v>0</v>
      </c>
      <c r="P21" cm="1">
        <f t="array" ref="P21">_xll.VALEUROUTPUT($A$923,_xlfn.CONCAT("THEME14=",$C21),SCENARIOS!$A$2,SCENARIOS!$B$2,P$1)</f>
        <v>0</v>
      </c>
      <c r="Q21" cm="1">
        <f t="array" ref="Q21">_xll.VALEUROUTPUT($A$923,_xlfn.CONCAT("THEME14=",$C21),SCENARIOS!$A$2,SCENARIOS!$B$2,Q$1)</f>
        <v>0</v>
      </c>
      <c r="R21" cm="1">
        <f t="array" ref="R21">_xll.VALEUROUTPUT($A$923,_xlfn.CONCAT("THEME14=",$C21),SCENARIOS!$A$2,SCENARIOS!$B$2,R$1)</f>
        <v>0</v>
      </c>
      <c r="S21" cm="1">
        <f t="array" ref="S21">_xll.VALEUROUTPUT($A$923,_xlfn.CONCAT("THEME14=",$C21),SCENARIOS!$A$2,SCENARIOS!$B$2,S$1)</f>
        <v>0</v>
      </c>
      <c r="T21" cm="1">
        <f t="array" ref="T21">_xll.VALEUROUTPUT($A$923,_xlfn.CONCAT("THEME14=",$C21),SCENARIOS!$A$2,SCENARIOS!$B$2,T$1)</f>
        <v>0</v>
      </c>
      <c r="U21" cm="1">
        <f t="array" ref="U21">_xll.VALEUROUTPUT($A$923,_xlfn.CONCAT("THEME14=",$C21),SCENARIOS!$A$2,SCENARIOS!$B$2,U$1)</f>
        <v>0</v>
      </c>
      <c r="V21" cm="1">
        <f t="array" ref="V21">_xll.VALEUROUTPUT($A$923,_xlfn.CONCAT("THEME14=",$C21),SCENARIOS!$A$2,SCENARIOS!$B$2,V$1)</f>
        <v>0</v>
      </c>
      <c r="W21" cm="1">
        <f t="array" ref="W21">_xll.VALEUROUTPUT($A$923,_xlfn.CONCAT("THEME14=",$C21),SCENARIOS!$A$2,SCENARIOS!$B$2,W$1)</f>
        <v>0</v>
      </c>
      <c r="X21" cm="1">
        <f t="array" ref="X21">_xll.VALEUROUTPUT($A$923,_xlfn.CONCAT("THEME14=",$C21),SCENARIOS!$A$2,SCENARIOS!$B$2,X$1)</f>
        <v>0</v>
      </c>
      <c r="Y21" cm="1">
        <f t="array" ref="Y21">_xll.VALEUROUTPUT($A$923,_xlfn.CONCAT("THEME14=",$C21),SCENARIOS!$A$2,SCENARIOS!$B$2,Y$1)</f>
        <v>0</v>
      </c>
      <c r="Z21" cm="1">
        <f t="array" ref="Z21">_xll.VALEUROUTPUT($A$923,_xlfn.CONCAT("THEME14=",$C21),SCENARIOS!$A$2,SCENARIOS!$B$2,Z$1)</f>
        <v>0</v>
      </c>
      <c r="AA21" cm="1">
        <f t="array" ref="AA21">_xll.VALEUROUTPUT($A$923,_xlfn.CONCAT("THEME14=",$C21),SCENARIOS!$A$2,SCENARIOS!$B$2,AA$1)</f>
        <v>0</v>
      </c>
      <c r="AB21" cm="1">
        <f t="array" ref="AB21">_xll.VALEUROUTPUT($A$923,_xlfn.CONCAT("THEME14=",$C21),SCENARIOS!$A$2,SCENARIOS!$B$2,AB$1)</f>
        <v>0</v>
      </c>
      <c r="AC21" cm="1">
        <f t="array" ref="AC21">_xll.VALEUROUTPUT($A$923,_xlfn.CONCAT("THEME14=",$C21),SCENARIOS!$A$2,SCENARIOS!$B$2,AC$1)</f>
        <v>0</v>
      </c>
      <c r="AD21" cm="1">
        <f t="array" ref="AD21">_xll.VALEUROUTPUT($A$923,_xlfn.CONCAT("THEME14=",$C21),SCENARIOS!$A$2,SCENARIOS!$B$2,AD$1)</f>
        <v>0</v>
      </c>
      <c r="AE21" cm="1">
        <f t="array" ref="AE21">_xll.VALEUROUTPUT($A$923,_xlfn.CONCAT("THEME14=",$C21),SCENARIOS!$A$2,SCENARIOS!$B$2,AE$1)</f>
        <v>0</v>
      </c>
      <c r="AF21" cm="1">
        <f t="array" ref="AF21">_xll.VALEUROUTPUT($A$923,_xlfn.CONCAT("THEME14=",$C21),SCENARIOS!$A$2,SCENARIOS!$B$2,AF$1)</f>
        <v>0</v>
      </c>
    </row>
    <row r="22" spans="1:32" x14ac:dyDescent="0.25">
      <c r="A22" t="str">
        <v>OSUPREG_T100%</v>
      </c>
      <c r="D22" cm="1">
        <f t="array" ref="D22">_xll.VALEUROUTPUT($A$923,_xlfn.CONCAT("THEME14=",$C22),SCENARIOS!$A$2,SCENARIOS!$B$2,D$1)</f>
        <v>0</v>
      </c>
      <c r="E22" cm="1">
        <f t="array" ref="E22">_xll.VALEUROUTPUT($A$923,_xlfn.CONCAT("THEME14=",$C22),SCENARIOS!$A$2,SCENARIOS!$B$2,E$1)</f>
        <v>0</v>
      </c>
      <c r="F22" cm="1">
        <f t="array" ref="F22">_xll.VALEUROUTPUT($A$923,_xlfn.CONCAT("THEME14=",$C22),SCENARIOS!$A$2,SCENARIOS!$B$2,F$1)</f>
        <v>0</v>
      </c>
      <c r="G22" cm="1">
        <f t="array" ref="G22">_xll.VALEUROUTPUT($A$923,_xlfn.CONCAT("THEME14=",$C22),SCENARIOS!$A$2,SCENARIOS!$B$2,G$1)</f>
        <v>0</v>
      </c>
      <c r="H22" cm="1">
        <f t="array" ref="H22">_xll.VALEUROUTPUT($A$923,_xlfn.CONCAT("THEME14=",$C22),SCENARIOS!$A$2,SCENARIOS!$B$2,H$1)</f>
        <v>0</v>
      </c>
      <c r="I22" cm="1">
        <f t="array" ref="I22">_xll.VALEUROUTPUT($A$923,_xlfn.CONCAT("THEME14=",$C22),SCENARIOS!$A$2,SCENARIOS!$B$2,I$1)</f>
        <v>0</v>
      </c>
      <c r="J22" cm="1">
        <f t="array" ref="J22">_xll.VALEUROUTPUT($A$923,_xlfn.CONCAT("THEME14=",$C22),SCENARIOS!$A$2,SCENARIOS!$B$2,J$1)</f>
        <v>0</v>
      </c>
      <c r="K22" cm="1">
        <f t="array" ref="K22">_xll.VALEUROUTPUT($A$923,_xlfn.CONCAT("THEME14=",$C22),SCENARIOS!$A$2,SCENARIOS!$B$2,K$1)</f>
        <v>0</v>
      </c>
      <c r="L22" cm="1">
        <f t="array" ref="L22">_xll.VALEUROUTPUT($A$923,_xlfn.CONCAT("THEME14=",$C22),SCENARIOS!$A$2,SCENARIOS!$B$2,L$1)</f>
        <v>0</v>
      </c>
      <c r="M22" cm="1">
        <f t="array" ref="M22">_xll.VALEUROUTPUT($A$923,_xlfn.CONCAT("THEME14=",$C22),SCENARIOS!$A$2,SCENARIOS!$B$2,M$1)</f>
        <v>0</v>
      </c>
      <c r="N22" cm="1">
        <f t="array" ref="N22">_xll.VALEUROUTPUT($A$923,_xlfn.CONCAT("THEME14=",$C22),SCENARIOS!$A$2,SCENARIOS!$B$2,N$1)</f>
        <v>0</v>
      </c>
      <c r="O22" cm="1">
        <f t="array" ref="O22">_xll.VALEUROUTPUT($A$923,_xlfn.CONCAT("THEME14=",$C22),SCENARIOS!$A$2,SCENARIOS!$B$2,O$1)</f>
        <v>0</v>
      </c>
      <c r="P22" cm="1">
        <f t="array" ref="P22">_xll.VALEUROUTPUT($A$923,_xlfn.CONCAT("THEME14=",$C22),SCENARIOS!$A$2,SCENARIOS!$B$2,P$1)</f>
        <v>0</v>
      </c>
      <c r="Q22" cm="1">
        <f t="array" ref="Q22">_xll.VALEUROUTPUT($A$923,_xlfn.CONCAT("THEME14=",$C22),SCENARIOS!$A$2,SCENARIOS!$B$2,Q$1)</f>
        <v>0</v>
      </c>
      <c r="R22" cm="1">
        <f t="array" ref="R22">_xll.VALEUROUTPUT($A$923,_xlfn.CONCAT("THEME14=",$C22),SCENARIOS!$A$2,SCENARIOS!$B$2,R$1)</f>
        <v>0</v>
      </c>
      <c r="S22" cm="1">
        <f t="array" ref="S22">_xll.VALEUROUTPUT($A$923,_xlfn.CONCAT("THEME14=",$C22),SCENARIOS!$A$2,SCENARIOS!$B$2,S$1)</f>
        <v>0</v>
      </c>
      <c r="T22" cm="1">
        <f t="array" ref="T22">_xll.VALEUROUTPUT($A$923,_xlfn.CONCAT("THEME14=",$C22),SCENARIOS!$A$2,SCENARIOS!$B$2,T$1)</f>
        <v>0</v>
      </c>
      <c r="U22" cm="1">
        <f t="array" ref="U22">_xll.VALEUROUTPUT($A$923,_xlfn.CONCAT("THEME14=",$C22),SCENARIOS!$A$2,SCENARIOS!$B$2,U$1)</f>
        <v>0</v>
      </c>
      <c r="V22" cm="1">
        <f t="array" ref="V22">_xll.VALEUROUTPUT($A$923,_xlfn.CONCAT("THEME14=",$C22),SCENARIOS!$A$2,SCENARIOS!$B$2,V$1)</f>
        <v>0</v>
      </c>
      <c r="W22" cm="1">
        <f t="array" ref="W22">_xll.VALEUROUTPUT($A$923,_xlfn.CONCAT("THEME14=",$C22),SCENARIOS!$A$2,SCENARIOS!$B$2,W$1)</f>
        <v>0</v>
      </c>
      <c r="X22" cm="1">
        <f t="array" ref="X22">_xll.VALEUROUTPUT($A$923,_xlfn.CONCAT("THEME14=",$C22),SCENARIOS!$A$2,SCENARIOS!$B$2,X$1)</f>
        <v>0</v>
      </c>
      <c r="Y22" cm="1">
        <f t="array" ref="Y22">_xll.VALEUROUTPUT($A$923,_xlfn.CONCAT("THEME14=",$C22),SCENARIOS!$A$2,SCENARIOS!$B$2,Y$1)</f>
        <v>0</v>
      </c>
      <c r="Z22" cm="1">
        <f t="array" ref="Z22">_xll.VALEUROUTPUT($A$923,_xlfn.CONCAT("THEME14=",$C22),SCENARIOS!$A$2,SCENARIOS!$B$2,Z$1)</f>
        <v>0</v>
      </c>
      <c r="AA22" cm="1">
        <f t="array" ref="AA22">_xll.VALEUROUTPUT($A$923,_xlfn.CONCAT("THEME14=",$C22),SCENARIOS!$A$2,SCENARIOS!$B$2,AA$1)</f>
        <v>0</v>
      </c>
      <c r="AB22" cm="1">
        <f t="array" ref="AB22">_xll.VALEUROUTPUT($A$923,_xlfn.CONCAT("THEME14=",$C22),SCENARIOS!$A$2,SCENARIOS!$B$2,AB$1)</f>
        <v>0</v>
      </c>
      <c r="AC22" cm="1">
        <f t="array" ref="AC22">_xll.VALEUROUTPUT($A$923,_xlfn.CONCAT("THEME14=",$C22),SCENARIOS!$A$2,SCENARIOS!$B$2,AC$1)</f>
        <v>0</v>
      </c>
      <c r="AD22" cm="1">
        <f t="array" ref="AD22">_xll.VALEUROUTPUT($A$923,_xlfn.CONCAT("THEME14=",$C22),SCENARIOS!$A$2,SCENARIOS!$B$2,AD$1)</f>
        <v>0</v>
      </c>
      <c r="AE22" cm="1">
        <f t="array" ref="AE22">_xll.VALEUROUTPUT($A$923,_xlfn.CONCAT("THEME14=",$C22),SCENARIOS!$A$2,SCENARIOS!$B$2,AE$1)</f>
        <v>0</v>
      </c>
      <c r="AF22" cm="1">
        <f t="array" ref="AF22">_xll.VALEUROUTPUT($A$923,_xlfn.CONCAT("THEME14=",$C22),SCENARIOS!$A$2,SCENARIOS!$B$2,AF$1)</f>
        <v>0</v>
      </c>
    </row>
    <row r="23" spans="1:32" x14ac:dyDescent="0.25">
      <c r="A23" t="str">
        <v>OSUPREG</v>
      </c>
      <c r="D23" cm="1">
        <f t="array" ref="D23">_xll.VALEUROUTPUT($A$923,_xlfn.CONCAT("THEME14=",$C23),SCENARIOS!$A$2,SCENARIOS!$B$2,D$1)</f>
        <v>0</v>
      </c>
      <c r="E23" cm="1">
        <f t="array" ref="E23">_xll.VALEUROUTPUT($A$923,_xlfn.CONCAT("THEME14=",$C23),SCENARIOS!$A$2,SCENARIOS!$B$2,E$1)</f>
        <v>0</v>
      </c>
      <c r="F23" cm="1">
        <f t="array" ref="F23">_xll.VALEUROUTPUT($A$923,_xlfn.CONCAT("THEME14=",$C23),SCENARIOS!$A$2,SCENARIOS!$B$2,F$1)</f>
        <v>0</v>
      </c>
      <c r="G23" cm="1">
        <f t="array" ref="G23">_xll.VALEUROUTPUT($A$923,_xlfn.CONCAT("THEME14=",$C23),SCENARIOS!$A$2,SCENARIOS!$B$2,G$1)</f>
        <v>0</v>
      </c>
      <c r="H23" cm="1">
        <f t="array" ref="H23">_xll.VALEUROUTPUT($A$923,_xlfn.CONCAT("THEME14=",$C23),SCENARIOS!$A$2,SCENARIOS!$B$2,H$1)</f>
        <v>0</v>
      </c>
      <c r="I23" cm="1">
        <f t="array" ref="I23">_xll.VALEUROUTPUT($A$923,_xlfn.CONCAT("THEME14=",$C23),SCENARIOS!$A$2,SCENARIOS!$B$2,I$1)</f>
        <v>0</v>
      </c>
      <c r="J23" cm="1">
        <f t="array" ref="J23">_xll.VALEUROUTPUT($A$923,_xlfn.CONCAT("THEME14=",$C23),SCENARIOS!$A$2,SCENARIOS!$B$2,J$1)</f>
        <v>0</v>
      </c>
      <c r="K23" cm="1">
        <f t="array" ref="K23">_xll.VALEUROUTPUT($A$923,_xlfn.CONCAT("THEME14=",$C23),SCENARIOS!$A$2,SCENARIOS!$B$2,K$1)</f>
        <v>0</v>
      </c>
      <c r="L23" cm="1">
        <f t="array" ref="L23">_xll.VALEUROUTPUT($A$923,_xlfn.CONCAT("THEME14=",$C23),SCENARIOS!$A$2,SCENARIOS!$B$2,L$1)</f>
        <v>0</v>
      </c>
      <c r="M23" cm="1">
        <f t="array" ref="M23">_xll.VALEUROUTPUT($A$923,_xlfn.CONCAT("THEME14=",$C23),SCENARIOS!$A$2,SCENARIOS!$B$2,M$1)</f>
        <v>0</v>
      </c>
      <c r="N23" cm="1">
        <f t="array" ref="N23">_xll.VALEUROUTPUT($A$923,_xlfn.CONCAT("THEME14=",$C23),SCENARIOS!$A$2,SCENARIOS!$B$2,N$1)</f>
        <v>0</v>
      </c>
      <c r="O23" cm="1">
        <f t="array" ref="O23">_xll.VALEUROUTPUT($A$923,_xlfn.CONCAT("THEME14=",$C23),SCENARIOS!$A$2,SCENARIOS!$B$2,O$1)</f>
        <v>0</v>
      </c>
      <c r="P23" cm="1">
        <f t="array" ref="P23">_xll.VALEUROUTPUT($A$923,_xlfn.CONCAT("THEME14=",$C23),SCENARIOS!$A$2,SCENARIOS!$B$2,P$1)</f>
        <v>0</v>
      </c>
      <c r="Q23" cm="1">
        <f t="array" ref="Q23">_xll.VALEUROUTPUT($A$923,_xlfn.CONCAT("THEME14=",$C23),SCENARIOS!$A$2,SCENARIOS!$B$2,Q$1)</f>
        <v>0</v>
      </c>
      <c r="R23" cm="1">
        <f t="array" ref="R23">_xll.VALEUROUTPUT($A$923,_xlfn.CONCAT("THEME14=",$C23),SCENARIOS!$A$2,SCENARIOS!$B$2,R$1)</f>
        <v>0</v>
      </c>
      <c r="S23" cm="1">
        <f t="array" ref="S23">_xll.VALEUROUTPUT($A$923,_xlfn.CONCAT("THEME14=",$C23),SCENARIOS!$A$2,SCENARIOS!$B$2,S$1)</f>
        <v>0</v>
      </c>
      <c r="T23" cm="1">
        <f t="array" ref="T23">_xll.VALEUROUTPUT($A$923,_xlfn.CONCAT("THEME14=",$C23),SCENARIOS!$A$2,SCENARIOS!$B$2,T$1)</f>
        <v>0</v>
      </c>
      <c r="U23" cm="1">
        <f t="array" ref="U23">_xll.VALEUROUTPUT($A$923,_xlfn.CONCAT("THEME14=",$C23),SCENARIOS!$A$2,SCENARIOS!$B$2,U$1)</f>
        <v>0</v>
      </c>
      <c r="V23" cm="1">
        <f t="array" ref="V23">_xll.VALEUROUTPUT($A$923,_xlfn.CONCAT("THEME14=",$C23),SCENARIOS!$A$2,SCENARIOS!$B$2,V$1)</f>
        <v>0</v>
      </c>
      <c r="W23" cm="1">
        <f t="array" ref="W23">_xll.VALEUROUTPUT($A$923,_xlfn.CONCAT("THEME14=",$C23),SCENARIOS!$A$2,SCENARIOS!$B$2,W$1)</f>
        <v>0</v>
      </c>
      <c r="X23" cm="1">
        <f t="array" ref="X23">_xll.VALEUROUTPUT($A$923,_xlfn.CONCAT("THEME14=",$C23),SCENARIOS!$A$2,SCENARIOS!$B$2,X$1)</f>
        <v>0</v>
      </c>
      <c r="Y23" cm="1">
        <f t="array" ref="Y23">_xll.VALEUROUTPUT($A$923,_xlfn.CONCAT("THEME14=",$C23),SCENARIOS!$A$2,SCENARIOS!$B$2,Y$1)</f>
        <v>0</v>
      </c>
      <c r="Z23" cm="1">
        <f t="array" ref="Z23">_xll.VALEUROUTPUT($A$923,_xlfn.CONCAT("THEME14=",$C23),SCENARIOS!$A$2,SCENARIOS!$B$2,Z$1)</f>
        <v>0</v>
      </c>
      <c r="AA23" cm="1">
        <f t="array" ref="AA23">_xll.VALEUROUTPUT($A$923,_xlfn.CONCAT("THEME14=",$C23),SCENARIOS!$A$2,SCENARIOS!$B$2,AA$1)</f>
        <v>0</v>
      </c>
      <c r="AB23" cm="1">
        <f t="array" ref="AB23">_xll.VALEUROUTPUT($A$923,_xlfn.CONCAT("THEME14=",$C23),SCENARIOS!$A$2,SCENARIOS!$B$2,AB$1)</f>
        <v>0</v>
      </c>
      <c r="AC23" cm="1">
        <f t="array" ref="AC23">_xll.VALEUROUTPUT($A$923,_xlfn.CONCAT("THEME14=",$C23),SCENARIOS!$A$2,SCENARIOS!$B$2,AC$1)</f>
        <v>0</v>
      </c>
      <c r="AD23" cm="1">
        <f t="array" ref="AD23">_xll.VALEUROUTPUT($A$923,_xlfn.CONCAT("THEME14=",$C23),SCENARIOS!$A$2,SCENARIOS!$B$2,AD$1)</f>
        <v>0</v>
      </c>
      <c r="AE23" cm="1">
        <f t="array" ref="AE23">_xll.VALEUROUTPUT($A$923,_xlfn.CONCAT("THEME14=",$C23),SCENARIOS!$A$2,SCENARIOS!$B$2,AE$1)</f>
        <v>0</v>
      </c>
      <c r="AF23" cm="1">
        <f t="array" ref="AF23">_xll.VALEUROUTPUT($A$923,_xlfn.CONCAT("THEME14=",$C23),SCENARIOS!$A$2,SCENARIOS!$B$2,AF$1)</f>
        <v>0</v>
      </c>
    </row>
    <row r="24" spans="1:32" x14ac:dyDescent="0.25">
      <c r="A24" t="str">
        <v>OSUPACTCPICP_T100%</v>
      </c>
      <c r="D24" cm="1">
        <f t="array" ref="D24">_xll.VALEUROUTPUT($A$923,_xlfn.CONCAT("THEME14=",$C24),SCENARIOS!$A$2,SCENARIOS!$B$2,D$1)</f>
        <v>0</v>
      </c>
      <c r="E24" cm="1">
        <f t="array" ref="E24">_xll.VALEUROUTPUT($A$923,_xlfn.CONCAT("THEME14=",$C24),SCENARIOS!$A$2,SCENARIOS!$B$2,E$1)</f>
        <v>0</v>
      </c>
      <c r="F24" cm="1">
        <f t="array" ref="F24">_xll.VALEUROUTPUT($A$923,_xlfn.CONCAT("THEME14=",$C24),SCENARIOS!$A$2,SCENARIOS!$B$2,F$1)</f>
        <v>0</v>
      </c>
      <c r="G24" cm="1">
        <f t="array" ref="G24">_xll.VALEUROUTPUT($A$923,_xlfn.CONCAT("THEME14=",$C24),SCENARIOS!$A$2,SCENARIOS!$B$2,G$1)</f>
        <v>0</v>
      </c>
      <c r="H24" cm="1">
        <f t="array" ref="H24">_xll.VALEUROUTPUT($A$923,_xlfn.CONCAT("THEME14=",$C24),SCENARIOS!$A$2,SCENARIOS!$B$2,H$1)</f>
        <v>0</v>
      </c>
      <c r="I24" cm="1">
        <f t="array" ref="I24">_xll.VALEUROUTPUT($A$923,_xlfn.CONCAT("THEME14=",$C24),SCENARIOS!$A$2,SCENARIOS!$B$2,I$1)</f>
        <v>0</v>
      </c>
      <c r="J24" cm="1">
        <f t="array" ref="J24">_xll.VALEUROUTPUT($A$923,_xlfn.CONCAT("THEME14=",$C24),SCENARIOS!$A$2,SCENARIOS!$B$2,J$1)</f>
        <v>0</v>
      </c>
      <c r="K24" cm="1">
        <f t="array" ref="K24">_xll.VALEUROUTPUT($A$923,_xlfn.CONCAT("THEME14=",$C24),SCENARIOS!$A$2,SCENARIOS!$B$2,K$1)</f>
        <v>0</v>
      </c>
      <c r="L24" cm="1">
        <f t="array" ref="L24">_xll.VALEUROUTPUT($A$923,_xlfn.CONCAT("THEME14=",$C24),SCENARIOS!$A$2,SCENARIOS!$B$2,L$1)</f>
        <v>0</v>
      </c>
      <c r="M24" cm="1">
        <f t="array" ref="M24">_xll.VALEUROUTPUT($A$923,_xlfn.CONCAT("THEME14=",$C24),SCENARIOS!$A$2,SCENARIOS!$B$2,M$1)</f>
        <v>0</v>
      </c>
      <c r="N24" cm="1">
        <f t="array" ref="N24">_xll.VALEUROUTPUT($A$923,_xlfn.CONCAT("THEME14=",$C24),SCENARIOS!$A$2,SCENARIOS!$B$2,N$1)</f>
        <v>0</v>
      </c>
      <c r="O24" cm="1">
        <f t="array" ref="O24">_xll.VALEUROUTPUT($A$923,_xlfn.CONCAT("THEME14=",$C24),SCENARIOS!$A$2,SCENARIOS!$B$2,O$1)</f>
        <v>0</v>
      </c>
      <c r="P24" cm="1">
        <f t="array" ref="P24">_xll.VALEUROUTPUT($A$923,_xlfn.CONCAT("THEME14=",$C24),SCENARIOS!$A$2,SCENARIOS!$B$2,P$1)</f>
        <v>0</v>
      </c>
      <c r="Q24" cm="1">
        <f t="array" ref="Q24">_xll.VALEUROUTPUT($A$923,_xlfn.CONCAT("THEME14=",$C24),SCENARIOS!$A$2,SCENARIOS!$B$2,Q$1)</f>
        <v>0</v>
      </c>
      <c r="R24" cm="1">
        <f t="array" ref="R24">_xll.VALEUROUTPUT($A$923,_xlfn.CONCAT("THEME14=",$C24),SCENARIOS!$A$2,SCENARIOS!$B$2,R$1)</f>
        <v>0</v>
      </c>
      <c r="S24" cm="1">
        <f t="array" ref="S24">_xll.VALEUROUTPUT($A$923,_xlfn.CONCAT("THEME14=",$C24),SCENARIOS!$A$2,SCENARIOS!$B$2,S$1)</f>
        <v>0</v>
      </c>
      <c r="T24" cm="1">
        <f t="array" ref="T24">_xll.VALEUROUTPUT($A$923,_xlfn.CONCAT("THEME14=",$C24),SCENARIOS!$A$2,SCENARIOS!$B$2,T$1)</f>
        <v>0</v>
      </c>
      <c r="U24" cm="1">
        <f t="array" ref="U24">_xll.VALEUROUTPUT($A$923,_xlfn.CONCAT("THEME14=",$C24),SCENARIOS!$A$2,SCENARIOS!$B$2,U$1)</f>
        <v>0</v>
      </c>
      <c r="V24" cm="1">
        <f t="array" ref="V24">_xll.VALEUROUTPUT($A$923,_xlfn.CONCAT("THEME14=",$C24),SCENARIOS!$A$2,SCENARIOS!$B$2,V$1)</f>
        <v>0</v>
      </c>
      <c r="W24" cm="1">
        <f t="array" ref="W24">_xll.VALEUROUTPUT($A$923,_xlfn.CONCAT("THEME14=",$C24),SCENARIOS!$A$2,SCENARIOS!$B$2,W$1)</f>
        <v>0</v>
      </c>
      <c r="X24" cm="1">
        <f t="array" ref="X24">_xll.VALEUROUTPUT($A$923,_xlfn.CONCAT("THEME14=",$C24),SCENARIOS!$A$2,SCENARIOS!$B$2,X$1)</f>
        <v>0</v>
      </c>
      <c r="Y24" cm="1">
        <f t="array" ref="Y24">_xll.VALEUROUTPUT($A$923,_xlfn.CONCAT("THEME14=",$C24),SCENARIOS!$A$2,SCENARIOS!$B$2,Y$1)</f>
        <v>0</v>
      </c>
      <c r="Z24" cm="1">
        <f t="array" ref="Z24">_xll.VALEUROUTPUT($A$923,_xlfn.CONCAT("THEME14=",$C24),SCENARIOS!$A$2,SCENARIOS!$B$2,Z$1)</f>
        <v>0</v>
      </c>
      <c r="AA24" cm="1">
        <f t="array" ref="AA24">_xll.VALEUROUTPUT($A$923,_xlfn.CONCAT("THEME14=",$C24),SCENARIOS!$A$2,SCENARIOS!$B$2,AA$1)</f>
        <v>0</v>
      </c>
      <c r="AB24" cm="1">
        <f t="array" ref="AB24">_xll.VALEUROUTPUT($A$923,_xlfn.CONCAT("THEME14=",$C24),SCENARIOS!$A$2,SCENARIOS!$B$2,AB$1)</f>
        <v>0</v>
      </c>
      <c r="AC24" cm="1">
        <f t="array" ref="AC24">_xll.VALEUROUTPUT($A$923,_xlfn.CONCAT("THEME14=",$C24),SCENARIOS!$A$2,SCENARIOS!$B$2,AC$1)</f>
        <v>0</v>
      </c>
      <c r="AD24" cm="1">
        <f t="array" ref="AD24">_xll.VALEUROUTPUT($A$923,_xlfn.CONCAT("THEME14=",$C24),SCENARIOS!$A$2,SCENARIOS!$B$2,AD$1)</f>
        <v>0</v>
      </c>
      <c r="AE24" cm="1">
        <f t="array" ref="AE24">_xll.VALEUROUTPUT($A$923,_xlfn.CONCAT("THEME14=",$C24),SCENARIOS!$A$2,SCENARIOS!$B$2,AE$1)</f>
        <v>0</v>
      </c>
      <c r="AF24" cm="1">
        <f t="array" ref="AF24">_xll.VALEUROUTPUT($A$923,_xlfn.CONCAT("THEME14=",$C24),SCENARIOS!$A$2,SCENARIOS!$B$2,AF$1)</f>
        <v>0</v>
      </c>
    </row>
    <row r="25" spans="1:32" x14ac:dyDescent="0.25">
      <c r="A25" t="str">
        <v>OSUPACTCPIRL_FIN_T100%</v>
      </c>
      <c r="D25" cm="1">
        <f t="array" ref="D25">_xll.VALEUROUTPUT($A$923,_xlfn.CONCAT("THEME14=",$C25),SCENARIOS!$A$2,SCENARIOS!$B$2,D$1)</f>
        <v>0</v>
      </c>
      <c r="E25" cm="1">
        <f t="array" ref="E25">_xll.VALEUROUTPUT($A$923,_xlfn.CONCAT("THEME14=",$C25),SCENARIOS!$A$2,SCENARIOS!$B$2,E$1)</f>
        <v>0</v>
      </c>
      <c r="F25" cm="1">
        <f t="array" ref="F25">_xll.VALEUROUTPUT($A$923,_xlfn.CONCAT("THEME14=",$C25),SCENARIOS!$A$2,SCENARIOS!$B$2,F$1)</f>
        <v>0</v>
      </c>
      <c r="G25" cm="1">
        <f t="array" ref="G25">_xll.VALEUROUTPUT($A$923,_xlfn.CONCAT("THEME14=",$C25),SCENARIOS!$A$2,SCENARIOS!$B$2,G$1)</f>
        <v>0</v>
      </c>
      <c r="H25" cm="1">
        <f t="array" ref="H25">_xll.VALEUROUTPUT($A$923,_xlfn.CONCAT("THEME14=",$C25),SCENARIOS!$A$2,SCENARIOS!$B$2,H$1)</f>
        <v>0</v>
      </c>
      <c r="I25" cm="1">
        <f t="array" ref="I25">_xll.VALEUROUTPUT($A$923,_xlfn.CONCAT("THEME14=",$C25),SCENARIOS!$A$2,SCENARIOS!$B$2,I$1)</f>
        <v>0</v>
      </c>
      <c r="J25" cm="1">
        <f t="array" ref="J25">_xll.VALEUROUTPUT($A$923,_xlfn.CONCAT("THEME14=",$C25),SCENARIOS!$A$2,SCENARIOS!$B$2,J$1)</f>
        <v>0</v>
      </c>
      <c r="K25" cm="1">
        <f t="array" ref="K25">_xll.VALEUROUTPUT($A$923,_xlfn.CONCAT("THEME14=",$C25),SCENARIOS!$A$2,SCENARIOS!$B$2,K$1)</f>
        <v>0</v>
      </c>
      <c r="L25" cm="1">
        <f t="array" ref="L25">_xll.VALEUROUTPUT($A$923,_xlfn.CONCAT("THEME14=",$C25),SCENARIOS!$A$2,SCENARIOS!$B$2,L$1)</f>
        <v>0</v>
      </c>
      <c r="M25" cm="1">
        <f t="array" ref="M25">_xll.VALEUROUTPUT($A$923,_xlfn.CONCAT("THEME14=",$C25),SCENARIOS!$A$2,SCENARIOS!$B$2,M$1)</f>
        <v>0</v>
      </c>
      <c r="N25" cm="1">
        <f t="array" ref="N25">_xll.VALEUROUTPUT($A$923,_xlfn.CONCAT("THEME14=",$C25),SCENARIOS!$A$2,SCENARIOS!$B$2,N$1)</f>
        <v>0</v>
      </c>
      <c r="O25" cm="1">
        <f t="array" ref="O25">_xll.VALEUROUTPUT($A$923,_xlfn.CONCAT("THEME14=",$C25),SCENARIOS!$A$2,SCENARIOS!$B$2,O$1)</f>
        <v>0</v>
      </c>
      <c r="P25" cm="1">
        <f t="array" ref="P25">_xll.VALEUROUTPUT($A$923,_xlfn.CONCAT("THEME14=",$C25),SCENARIOS!$A$2,SCENARIOS!$B$2,P$1)</f>
        <v>0</v>
      </c>
      <c r="Q25" cm="1">
        <f t="array" ref="Q25">_xll.VALEUROUTPUT($A$923,_xlfn.CONCAT("THEME14=",$C25),SCENARIOS!$A$2,SCENARIOS!$B$2,Q$1)</f>
        <v>0</v>
      </c>
      <c r="R25" cm="1">
        <f t="array" ref="R25">_xll.VALEUROUTPUT($A$923,_xlfn.CONCAT("THEME14=",$C25),SCENARIOS!$A$2,SCENARIOS!$B$2,R$1)</f>
        <v>0</v>
      </c>
      <c r="S25" cm="1">
        <f t="array" ref="S25">_xll.VALEUROUTPUT($A$923,_xlfn.CONCAT("THEME14=",$C25),SCENARIOS!$A$2,SCENARIOS!$B$2,S$1)</f>
        <v>0</v>
      </c>
      <c r="T25" cm="1">
        <f t="array" ref="T25">_xll.VALEUROUTPUT($A$923,_xlfn.CONCAT("THEME14=",$C25),SCENARIOS!$A$2,SCENARIOS!$B$2,T$1)</f>
        <v>0</v>
      </c>
      <c r="U25" cm="1">
        <f t="array" ref="U25">_xll.VALEUROUTPUT($A$923,_xlfn.CONCAT("THEME14=",$C25),SCENARIOS!$A$2,SCENARIOS!$B$2,U$1)</f>
        <v>0</v>
      </c>
      <c r="V25" cm="1">
        <f t="array" ref="V25">_xll.VALEUROUTPUT($A$923,_xlfn.CONCAT("THEME14=",$C25),SCENARIOS!$A$2,SCENARIOS!$B$2,V$1)</f>
        <v>0</v>
      </c>
      <c r="W25" cm="1">
        <f t="array" ref="W25">_xll.VALEUROUTPUT($A$923,_xlfn.CONCAT("THEME14=",$C25),SCENARIOS!$A$2,SCENARIOS!$B$2,W$1)</f>
        <v>0</v>
      </c>
      <c r="X25" cm="1">
        <f t="array" ref="X25">_xll.VALEUROUTPUT($A$923,_xlfn.CONCAT("THEME14=",$C25),SCENARIOS!$A$2,SCENARIOS!$B$2,X$1)</f>
        <v>0</v>
      </c>
      <c r="Y25" cm="1">
        <f t="array" ref="Y25">_xll.VALEUROUTPUT($A$923,_xlfn.CONCAT("THEME14=",$C25),SCENARIOS!$A$2,SCENARIOS!$B$2,Y$1)</f>
        <v>0</v>
      </c>
      <c r="Z25" cm="1">
        <f t="array" ref="Z25">_xll.VALEUROUTPUT($A$923,_xlfn.CONCAT("THEME14=",$C25),SCENARIOS!$A$2,SCENARIOS!$B$2,Z$1)</f>
        <v>0</v>
      </c>
      <c r="AA25" cm="1">
        <f t="array" ref="AA25">_xll.VALEUROUTPUT($A$923,_xlfn.CONCAT("THEME14=",$C25),SCENARIOS!$A$2,SCENARIOS!$B$2,AA$1)</f>
        <v>0</v>
      </c>
      <c r="AB25" cm="1">
        <f t="array" ref="AB25">_xll.VALEUROUTPUT($A$923,_xlfn.CONCAT("THEME14=",$C25),SCENARIOS!$A$2,SCENARIOS!$B$2,AB$1)</f>
        <v>0</v>
      </c>
      <c r="AC25" cm="1">
        <f t="array" ref="AC25">_xll.VALEUROUTPUT($A$923,_xlfn.CONCAT("THEME14=",$C25),SCENARIOS!$A$2,SCENARIOS!$B$2,AC$1)</f>
        <v>0</v>
      </c>
      <c r="AD25" cm="1">
        <f t="array" ref="AD25">_xll.VALEUROUTPUT($A$923,_xlfn.CONCAT("THEME14=",$C25),SCENARIOS!$A$2,SCENARIOS!$B$2,AD$1)</f>
        <v>0</v>
      </c>
      <c r="AE25" cm="1">
        <f t="array" ref="AE25">_xll.VALEUROUTPUT($A$923,_xlfn.CONCAT("THEME14=",$C25),SCENARIOS!$A$2,SCENARIOS!$B$2,AE$1)</f>
        <v>0</v>
      </c>
      <c r="AF25" cm="1">
        <f t="array" ref="AF25">_xll.VALEUROUTPUT($A$923,_xlfn.CONCAT("THEME14=",$C25),SCENARIOS!$A$2,SCENARIOS!$B$2,AF$1)</f>
        <v>0</v>
      </c>
    </row>
    <row r="26" spans="1:32" x14ac:dyDescent="0.25">
      <c r="A26" t="str">
        <v>OSUPACTCPIRL_INI_T100%</v>
      </c>
      <c r="D26" cm="1">
        <f t="array" ref="D26">_xll.VALEUROUTPUT($A$923,_xlfn.CONCAT("THEME14=",$C26),SCENARIOS!$A$2,SCENARIOS!$B$2,D$1)</f>
        <v>0</v>
      </c>
      <c r="E26" cm="1">
        <f t="array" ref="E26">_xll.VALEUROUTPUT($A$923,_xlfn.CONCAT("THEME14=",$C26),SCENARIOS!$A$2,SCENARIOS!$B$2,E$1)</f>
        <v>0</v>
      </c>
      <c r="F26" cm="1">
        <f t="array" ref="F26">_xll.VALEUROUTPUT($A$923,_xlfn.CONCAT("THEME14=",$C26),SCENARIOS!$A$2,SCENARIOS!$B$2,F$1)</f>
        <v>0</v>
      </c>
      <c r="G26" cm="1">
        <f t="array" ref="G26">_xll.VALEUROUTPUT($A$923,_xlfn.CONCAT("THEME14=",$C26),SCENARIOS!$A$2,SCENARIOS!$B$2,G$1)</f>
        <v>0</v>
      </c>
      <c r="H26" cm="1">
        <f t="array" ref="H26">_xll.VALEUROUTPUT($A$923,_xlfn.CONCAT("THEME14=",$C26),SCENARIOS!$A$2,SCENARIOS!$B$2,H$1)</f>
        <v>0</v>
      </c>
      <c r="I26" cm="1">
        <f t="array" ref="I26">_xll.VALEUROUTPUT($A$923,_xlfn.CONCAT("THEME14=",$C26),SCENARIOS!$A$2,SCENARIOS!$B$2,I$1)</f>
        <v>0</v>
      </c>
      <c r="J26" cm="1">
        <f t="array" ref="J26">_xll.VALEUROUTPUT($A$923,_xlfn.CONCAT("THEME14=",$C26),SCENARIOS!$A$2,SCENARIOS!$B$2,J$1)</f>
        <v>0</v>
      </c>
      <c r="K26" cm="1">
        <f t="array" ref="K26">_xll.VALEUROUTPUT($A$923,_xlfn.CONCAT("THEME14=",$C26),SCENARIOS!$A$2,SCENARIOS!$B$2,K$1)</f>
        <v>0</v>
      </c>
      <c r="L26" cm="1">
        <f t="array" ref="L26">_xll.VALEUROUTPUT($A$923,_xlfn.CONCAT("THEME14=",$C26),SCENARIOS!$A$2,SCENARIOS!$B$2,L$1)</f>
        <v>0</v>
      </c>
      <c r="M26" cm="1">
        <f t="array" ref="M26">_xll.VALEUROUTPUT($A$923,_xlfn.CONCAT("THEME14=",$C26),SCENARIOS!$A$2,SCENARIOS!$B$2,M$1)</f>
        <v>0</v>
      </c>
      <c r="N26" cm="1">
        <f t="array" ref="N26">_xll.VALEUROUTPUT($A$923,_xlfn.CONCAT("THEME14=",$C26),SCENARIOS!$A$2,SCENARIOS!$B$2,N$1)</f>
        <v>0</v>
      </c>
      <c r="O26" cm="1">
        <f t="array" ref="O26">_xll.VALEUROUTPUT($A$923,_xlfn.CONCAT("THEME14=",$C26),SCENARIOS!$A$2,SCENARIOS!$B$2,O$1)</f>
        <v>0</v>
      </c>
      <c r="P26" cm="1">
        <f t="array" ref="P26">_xll.VALEUROUTPUT($A$923,_xlfn.CONCAT("THEME14=",$C26),SCENARIOS!$A$2,SCENARIOS!$B$2,P$1)</f>
        <v>0</v>
      </c>
      <c r="Q26" cm="1">
        <f t="array" ref="Q26">_xll.VALEUROUTPUT($A$923,_xlfn.CONCAT("THEME14=",$C26),SCENARIOS!$A$2,SCENARIOS!$B$2,Q$1)</f>
        <v>0</v>
      </c>
      <c r="R26" cm="1">
        <f t="array" ref="R26">_xll.VALEUROUTPUT($A$923,_xlfn.CONCAT("THEME14=",$C26),SCENARIOS!$A$2,SCENARIOS!$B$2,R$1)</f>
        <v>0</v>
      </c>
      <c r="S26" cm="1">
        <f t="array" ref="S26">_xll.VALEUROUTPUT($A$923,_xlfn.CONCAT("THEME14=",$C26),SCENARIOS!$A$2,SCENARIOS!$B$2,S$1)</f>
        <v>0</v>
      </c>
      <c r="T26" cm="1">
        <f t="array" ref="T26">_xll.VALEUROUTPUT($A$923,_xlfn.CONCAT("THEME14=",$C26),SCENARIOS!$A$2,SCENARIOS!$B$2,T$1)</f>
        <v>0</v>
      </c>
      <c r="U26" cm="1">
        <f t="array" ref="U26">_xll.VALEUROUTPUT($A$923,_xlfn.CONCAT("THEME14=",$C26),SCENARIOS!$A$2,SCENARIOS!$B$2,U$1)</f>
        <v>0</v>
      </c>
      <c r="V26" cm="1">
        <f t="array" ref="V26">_xll.VALEUROUTPUT($A$923,_xlfn.CONCAT("THEME14=",$C26),SCENARIOS!$A$2,SCENARIOS!$B$2,V$1)</f>
        <v>0</v>
      </c>
      <c r="W26" cm="1">
        <f t="array" ref="W26">_xll.VALEUROUTPUT($A$923,_xlfn.CONCAT("THEME14=",$C26),SCENARIOS!$A$2,SCENARIOS!$B$2,W$1)</f>
        <v>0</v>
      </c>
      <c r="X26" cm="1">
        <f t="array" ref="X26">_xll.VALEUROUTPUT($A$923,_xlfn.CONCAT("THEME14=",$C26),SCENARIOS!$A$2,SCENARIOS!$B$2,X$1)</f>
        <v>0</v>
      </c>
      <c r="Y26" cm="1">
        <f t="array" ref="Y26">_xll.VALEUROUTPUT($A$923,_xlfn.CONCAT("THEME14=",$C26),SCENARIOS!$A$2,SCENARIOS!$B$2,Y$1)</f>
        <v>0</v>
      </c>
      <c r="Z26" cm="1">
        <f t="array" ref="Z26">_xll.VALEUROUTPUT($A$923,_xlfn.CONCAT("THEME14=",$C26),SCENARIOS!$A$2,SCENARIOS!$B$2,Z$1)</f>
        <v>0</v>
      </c>
      <c r="AA26" cm="1">
        <f t="array" ref="AA26">_xll.VALEUROUTPUT($A$923,_xlfn.CONCAT("THEME14=",$C26),SCENARIOS!$A$2,SCENARIOS!$B$2,AA$1)</f>
        <v>0</v>
      </c>
      <c r="AB26" cm="1">
        <f t="array" ref="AB26">_xll.VALEUROUTPUT($A$923,_xlfn.CONCAT("THEME14=",$C26),SCENARIOS!$A$2,SCENARIOS!$B$2,AB$1)</f>
        <v>0</v>
      </c>
      <c r="AC26" cm="1">
        <f t="array" ref="AC26">_xll.VALEUROUTPUT($A$923,_xlfn.CONCAT("THEME14=",$C26),SCENARIOS!$A$2,SCENARIOS!$B$2,AC$1)</f>
        <v>0</v>
      </c>
      <c r="AD26" cm="1">
        <f t="array" ref="AD26">_xll.VALEUROUTPUT($A$923,_xlfn.CONCAT("THEME14=",$C26),SCENARIOS!$A$2,SCENARIOS!$B$2,AD$1)</f>
        <v>0</v>
      </c>
      <c r="AE26" cm="1">
        <f t="array" ref="AE26">_xll.VALEUROUTPUT($A$923,_xlfn.CONCAT("THEME14=",$C26),SCENARIOS!$A$2,SCENARIOS!$B$2,AE$1)</f>
        <v>0</v>
      </c>
      <c r="AF26" cm="1">
        <f t="array" ref="AF26">_xll.VALEUROUTPUT($A$923,_xlfn.CONCAT("THEME14=",$C26),SCENARIOS!$A$2,SCENARIOS!$B$2,AF$1)</f>
        <v>0</v>
      </c>
    </row>
    <row r="27" spans="1:32" x14ac:dyDescent="0.25">
      <c r="A27" t="str">
        <v>OSUPCPICP_T100%</v>
      </c>
      <c r="D27" cm="1">
        <f t="array" ref="D27">_xll.VALEUROUTPUT($A$923,_xlfn.CONCAT("THEME14=",$C27),SCENARIOS!$A$2,SCENARIOS!$B$2,D$1)</f>
        <v>0</v>
      </c>
      <c r="E27" cm="1">
        <f t="array" ref="E27">_xll.VALEUROUTPUT($A$923,_xlfn.CONCAT("THEME14=",$C27),SCENARIOS!$A$2,SCENARIOS!$B$2,E$1)</f>
        <v>0</v>
      </c>
      <c r="F27" cm="1">
        <f t="array" ref="F27">_xll.VALEUROUTPUT($A$923,_xlfn.CONCAT("THEME14=",$C27),SCENARIOS!$A$2,SCENARIOS!$B$2,F$1)</f>
        <v>0</v>
      </c>
      <c r="G27" cm="1">
        <f t="array" ref="G27">_xll.VALEUROUTPUT($A$923,_xlfn.CONCAT("THEME14=",$C27),SCENARIOS!$A$2,SCENARIOS!$B$2,G$1)</f>
        <v>0</v>
      </c>
      <c r="H27" cm="1">
        <f t="array" ref="H27">_xll.VALEUROUTPUT($A$923,_xlfn.CONCAT("THEME14=",$C27),SCENARIOS!$A$2,SCENARIOS!$B$2,H$1)</f>
        <v>0</v>
      </c>
      <c r="I27" cm="1">
        <f t="array" ref="I27">_xll.VALEUROUTPUT($A$923,_xlfn.CONCAT("THEME14=",$C27),SCENARIOS!$A$2,SCENARIOS!$B$2,I$1)</f>
        <v>0</v>
      </c>
      <c r="J27" cm="1">
        <f t="array" ref="J27">_xll.VALEUROUTPUT($A$923,_xlfn.CONCAT("THEME14=",$C27),SCENARIOS!$A$2,SCENARIOS!$B$2,J$1)</f>
        <v>0</v>
      </c>
      <c r="K27" cm="1">
        <f t="array" ref="K27">_xll.VALEUROUTPUT($A$923,_xlfn.CONCAT("THEME14=",$C27),SCENARIOS!$A$2,SCENARIOS!$B$2,K$1)</f>
        <v>0</v>
      </c>
      <c r="L27" cm="1">
        <f t="array" ref="L27">_xll.VALEUROUTPUT($A$923,_xlfn.CONCAT("THEME14=",$C27),SCENARIOS!$A$2,SCENARIOS!$B$2,L$1)</f>
        <v>0</v>
      </c>
      <c r="M27" cm="1">
        <f t="array" ref="M27">_xll.VALEUROUTPUT($A$923,_xlfn.CONCAT("THEME14=",$C27),SCENARIOS!$A$2,SCENARIOS!$B$2,M$1)</f>
        <v>0</v>
      </c>
      <c r="N27" cm="1">
        <f t="array" ref="N27">_xll.VALEUROUTPUT($A$923,_xlfn.CONCAT("THEME14=",$C27),SCENARIOS!$A$2,SCENARIOS!$B$2,N$1)</f>
        <v>0</v>
      </c>
      <c r="O27" cm="1">
        <f t="array" ref="O27">_xll.VALEUROUTPUT($A$923,_xlfn.CONCAT("THEME14=",$C27),SCENARIOS!$A$2,SCENARIOS!$B$2,O$1)</f>
        <v>0</v>
      </c>
      <c r="P27" cm="1">
        <f t="array" ref="P27">_xll.VALEUROUTPUT($A$923,_xlfn.CONCAT("THEME14=",$C27),SCENARIOS!$A$2,SCENARIOS!$B$2,P$1)</f>
        <v>0</v>
      </c>
      <c r="Q27" cm="1">
        <f t="array" ref="Q27">_xll.VALEUROUTPUT($A$923,_xlfn.CONCAT("THEME14=",$C27),SCENARIOS!$A$2,SCENARIOS!$B$2,Q$1)</f>
        <v>0</v>
      </c>
      <c r="R27" cm="1">
        <f t="array" ref="R27">_xll.VALEUROUTPUT($A$923,_xlfn.CONCAT("THEME14=",$C27),SCENARIOS!$A$2,SCENARIOS!$B$2,R$1)</f>
        <v>0</v>
      </c>
      <c r="S27" cm="1">
        <f t="array" ref="S27">_xll.VALEUROUTPUT($A$923,_xlfn.CONCAT("THEME14=",$C27),SCENARIOS!$A$2,SCENARIOS!$B$2,S$1)</f>
        <v>0</v>
      </c>
      <c r="T27" cm="1">
        <f t="array" ref="T27">_xll.VALEUROUTPUT($A$923,_xlfn.CONCAT("THEME14=",$C27),SCENARIOS!$A$2,SCENARIOS!$B$2,T$1)</f>
        <v>0</v>
      </c>
      <c r="U27" cm="1">
        <f t="array" ref="U27">_xll.VALEUROUTPUT($A$923,_xlfn.CONCAT("THEME14=",$C27),SCENARIOS!$A$2,SCENARIOS!$B$2,U$1)</f>
        <v>0</v>
      </c>
      <c r="V27" cm="1">
        <f t="array" ref="V27">_xll.VALEUROUTPUT($A$923,_xlfn.CONCAT("THEME14=",$C27),SCENARIOS!$A$2,SCENARIOS!$B$2,V$1)</f>
        <v>0</v>
      </c>
      <c r="W27" cm="1">
        <f t="array" ref="W27">_xll.VALEUROUTPUT($A$923,_xlfn.CONCAT("THEME14=",$C27),SCENARIOS!$A$2,SCENARIOS!$B$2,W$1)</f>
        <v>0</v>
      </c>
      <c r="X27" cm="1">
        <f t="array" ref="X27">_xll.VALEUROUTPUT($A$923,_xlfn.CONCAT("THEME14=",$C27),SCENARIOS!$A$2,SCENARIOS!$B$2,X$1)</f>
        <v>0</v>
      </c>
      <c r="Y27" cm="1">
        <f t="array" ref="Y27">_xll.VALEUROUTPUT($A$923,_xlfn.CONCAT("THEME14=",$C27),SCENARIOS!$A$2,SCENARIOS!$B$2,Y$1)</f>
        <v>0</v>
      </c>
      <c r="Z27" cm="1">
        <f t="array" ref="Z27">_xll.VALEUROUTPUT($A$923,_xlfn.CONCAT("THEME14=",$C27),SCENARIOS!$A$2,SCENARIOS!$B$2,Z$1)</f>
        <v>0</v>
      </c>
      <c r="AA27" cm="1">
        <f t="array" ref="AA27">_xll.VALEUROUTPUT($A$923,_xlfn.CONCAT("THEME14=",$C27),SCENARIOS!$A$2,SCENARIOS!$B$2,AA$1)</f>
        <v>0</v>
      </c>
      <c r="AB27" cm="1">
        <f t="array" ref="AB27">_xll.VALEUROUTPUT($A$923,_xlfn.CONCAT("THEME14=",$C27),SCENARIOS!$A$2,SCENARIOS!$B$2,AB$1)</f>
        <v>0</v>
      </c>
      <c r="AC27" cm="1">
        <f t="array" ref="AC27">_xll.VALEUROUTPUT($A$923,_xlfn.CONCAT("THEME14=",$C27),SCENARIOS!$A$2,SCENARIOS!$B$2,AC$1)</f>
        <v>0</v>
      </c>
      <c r="AD27" cm="1">
        <f t="array" ref="AD27">_xll.VALEUROUTPUT($A$923,_xlfn.CONCAT("THEME14=",$C27),SCENARIOS!$A$2,SCENARIOS!$B$2,AD$1)</f>
        <v>0</v>
      </c>
      <c r="AE27" cm="1">
        <f t="array" ref="AE27">_xll.VALEUROUTPUT($A$923,_xlfn.CONCAT("THEME14=",$C27),SCENARIOS!$A$2,SCENARIOS!$B$2,AE$1)</f>
        <v>0</v>
      </c>
      <c r="AF27" cm="1">
        <f t="array" ref="AF27">_xll.VALEUROUTPUT($A$923,_xlfn.CONCAT("THEME14=",$C27),SCENARIOS!$A$2,SCENARIOS!$B$2,AF$1)</f>
        <v>0</v>
      </c>
    </row>
    <row r="28" spans="1:32" x14ac:dyDescent="0.25">
      <c r="A28" t="str">
        <v>OSUPCPIRL_FIN_T100%</v>
      </c>
      <c r="D28" cm="1">
        <f t="array" ref="D28">_xll.VALEUROUTPUT($A$923,_xlfn.CONCAT("THEME14=",$C28),SCENARIOS!$A$2,SCENARIOS!$B$2,D$1)</f>
        <v>0</v>
      </c>
      <c r="E28" cm="1">
        <f t="array" ref="E28">_xll.VALEUROUTPUT($A$923,_xlfn.CONCAT("THEME14=",$C28),SCENARIOS!$A$2,SCENARIOS!$B$2,E$1)</f>
        <v>0</v>
      </c>
      <c r="F28" cm="1">
        <f t="array" ref="F28">_xll.VALEUROUTPUT($A$923,_xlfn.CONCAT("THEME14=",$C28),SCENARIOS!$A$2,SCENARIOS!$B$2,F$1)</f>
        <v>0</v>
      </c>
      <c r="G28" cm="1">
        <f t="array" ref="G28">_xll.VALEUROUTPUT($A$923,_xlfn.CONCAT("THEME14=",$C28),SCENARIOS!$A$2,SCENARIOS!$B$2,G$1)</f>
        <v>0</v>
      </c>
      <c r="H28" cm="1">
        <f t="array" ref="H28">_xll.VALEUROUTPUT($A$923,_xlfn.CONCAT("THEME14=",$C28),SCENARIOS!$A$2,SCENARIOS!$B$2,H$1)</f>
        <v>0</v>
      </c>
      <c r="I28" cm="1">
        <f t="array" ref="I28">_xll.VALEUROUTPUT($A$923,_xlfn.CONCAT("THEME14=",$C28),SCENARIOS!$A$2,SCENARIOS!$B$2,I$1)</f>
        <v>0</v>
      </c>
      <c r="J28" cm="1">
        <f t="array" ref="J28">_xll.VALEUROUTPUT($A$923,_xlfn.CONCAT("THEME14=",$C28),SCENARIOS!$A$2,SCENARIOS!$B$2,J$1)</f>
        <v>0</v>
      </c>
      <c r="K28" cm="1">
        <f t="array" ref="K28">_xll.VALEUROUTPUT($A$923,_xlfn.CONCAT("THEME14=",$C28),SCENARIOS!$A$2,SCENARIOS!$B$2,K$1)</f>
        <v>0</v>
      </c>
      <c r="L28" cm="1">
        <f t="array" ref="L28">_xll.VALEUROUTPUT($A$923,_xlfn.CONCAT("THEME14=",$C28),SCENARIOS!$A$2,SCENARIOS!$B$2,L$1)</f>
        <v>0</v>
      </c>
      <c r="M28" cm="1">
        <f t="array" ref="M28">_xll.VALEUROUTPUT($A$923,_xlfn.CONCAT("THEME14=",$C28),SCENARIOS!$A$2,SCENARIOS!$B$2,M$1)</f>
        <v>0</v>
      </c>
      <c r="N28" cm="1">
        <f t="array" ref="N28">_xll.VALEUROUTPUT($A$923,_xlfn.CONCAT("THEME14=",$C28),SCENARIOS!$A$2,SCENARIOS!$B$2,N$1)</f>
        <v>0</v>
      </c>
      <c r="O28" cm="1">
        <f t="array" ref="O28">_xll.VALEUROUTPUT($A$923,_xlfn.CONCAT("THEME14=",$C28),SCENARIOS!$A$2,SCENARIOS!$B$2,O$1)</f>
        <v>0</v>
      </c>
      <c r="P28" cm="1">
        <f t="array" ref="P28">_xll.VALEUROUTPUT($A$923,_xlfn.CONCAT("THEME14=",$C28),SCENARIOS!$A$2,SCENARIOS!$B$2,P$1)</f>
        <v>0</v>
      </c>
      <c r="Q28" cm="1">
        <f t="array" ref="Q28">_xll.VALEUROUTPUT($A$923,_xlfn.CONCAT("THEME14=",$C28),SCENARIOS!$A$2,SCENARIOS!$B$2,Q$1)</f>
        <v>0</v>
      </c>
      <c r="R28" cm="1">
        <f t="array" ref="R28">_xll.VALEUROUTPUT($A$923,_xlfn.CONCAT("THEME14=",$C28),SCENARIOS!$A$2,SCENARIOS!$B$2,R$1)</f>
        <v>0</v>
      </c>
      <c r="S28" cm="1">
        <f t="array" ref="S28">_xll.VALEUROUTPUT($A$923,_xlfn.CONCAT("THEME14=",$C28),SCENARIOS!$A$2,SCENARIOS!$B$2,S$1)</f>
        <v>0</v>
      </c>
      <c r="T28" cm="1">
        <f t="array" ref="T28">_xll.VALEUROUTPUT($A$923,_xlfn.CONCAT("THEME14=",$C28),SCENARIOS!$A$2,SCENARIOS!$B$2,T$1)</f>
        <v>0</v>
      </c>
      <c r="U28" cm="1">
        <f t="array" ref="U28">_xll.VALEUROUTPUT($A$923,_xlfn.CONCAT("THEME14=",$C28),SCENARIOS!$A$2,SCENARIOS!$B$2,U$1)</f>
        <v>0</v>
      </c>
      <c r="V28" cm="1">
        <f t="array" ref="V28">_xll.VALEUROUTPUT($A$923,_xlfn.CONCAT("THEME14=",$C28),SCENARIOS!$A$2,SCENARIOS!$B$2,V$1)</f>
        <v>0</v>
      </c>
      <c r="W28" cm="1">
        <f t="array" ref="W28">_xll.VALEUROUTPUT($A$923,_xlfn.CONCAT("THEME14=",$C28),SCENARIOS!$A$2,SCENARIOS!$B$2,W$1)</f>
        <v>0</v>
      </c>
      <c r="X28" cm="1">
        <f t="array" ref="X28">_xll.VALEUROUTPUT($A$923,_xlfn.CONCAT("THEME14=",$C28),SCENARIOS!$A$2,SCENARIOS!$B$2,X$1)</f>
        <v>0</v>
      </c>
      <c r="Y28" cm="1">
        <f t="array" ref="Y28">_xll.VALEUROUTPUT($A$923,_xlfn.CONCAT("THEME14=",$C28),SCENARIOS!$A$2,SCENARIOS!$B$2,Y$1)</f>
        <v>0</v>
      </c>
      <c r="Z28" cm="1">
        <f t="array" ref="Z28">_xll.VALEUROUTPUT($A$923,_xlfn.CONCAT("THEME14=",$C28),SCENARIOS!$A$2,SCENARIOS!$B$2,Z$1)</f>
        <v>0</v>
      </c>
      <c r="AA28" cm="1">
        <f t="array" ref="AA28">_xll.VALEUROUTPUT($A$923,_xlfn.CONCAT("THEME14=",$C28),SCENARIOS!$A$2,SCENARIOS!$B$2,AA$1)</f>
        <v>0</v>
      </c>
      <c r="AB28" cm="1">
        <f t="array" ref="AB28">_xll.VALEUROUTPUT($A$923,_xlfn.CONCAT("THEME14=",$C28),SCENARIOS!$A$2,SCENARIOS!$B$2,AB$1)</f>
        <v>0</v>
      </c>
      <c r="AC28" cm="1">
        <f t="array" ref="AC28">_xll.VALEUROUTPUT($A$923,_xlfn.CONCAT("THEME14=",$C28),SCENARIOS!$A$2,SCENARIOS!$B$2,AC$1)</f>
        <v>0</v>
      </c>
      <c r="AD28" cm="1">
        <f t="array" ref="AD28">_xll.VALEUROUTPUT($A$923,_xlfn.CONCAT("THEME14=",$C28),SCENARIOS!$A$2,SCENARIOS!$B$2,AD$1)</f>
        <v>0</v>
      </c>
      <c r="AE28" cm="1">
        <f t="array" ref="AE28">_xll.VALEUROUTPUT($A$923,_xlfn.CONCAT("THEME14=",$C28),SCENARIOS!$A$2,SCENARIOS!$B$2,AE$1)</f>
        <v>0</v>
      </c>
      <c r="AF28" cm="1">
        <f t="array" ref="AF28">_xll.VALEUROUTPUT($A$923,_xlfn.CONCAT("THEME14=",$C28),SCENARIOS!$A$2,SCENARIOS!$B$2,AF$1)</f>
        <v>0</v>
      </c>
    </row>
    <row r="29" spans="1:32" x14ac:dyDescent="0.25">
      <c r="A29" t="str">
        <v>OSUPCPIRL_INI_T100%</v>
      </c>
      <c r="D29" cm="1">
        <f t="array" ref="D29">_xll.VALEUROUTPUT($A$923,_xlfn.CONCAT("THEME14=",$C29),SCENARIOS!$A$2,SCENARIOS!$B$2,D$1)</f>
        <v>0</v>
      </c>
      <c r="E29" cm="1">
        <f t="array" ref="E29">_xll.VALEUROUTPUT($A$923,_xlfn.CONCAT("THEME14=",$C29),SCENARIOS!$A$2,SCENARIOS!$B$2,E$1)</f>
        <v>0</v>
      </c>
      <c r="F29" cm="1">
        <f t="array" ref="F29">_xll.VALEUROUTPUT($A$923,_xlfn.CONCAT("THEME14=",$C29),SCENARIOS!$A$2,SCENARIOS!$B$2,F$1)</f>
        <v>0</v>
      </c>
      <c r="G29" cm="1">
        <f t="array" ref="G29">_xll.VALEUROUTPUT($A$923,_xlfn.CONCAT("THEME14=",$C29),SCENARIOS!$A$2,SCENARIOS!$B$2,G$1)</f>
        <v>0</v>
      </c>
      <c r="H29" cm="1">
        <f t="array" ref="H29">_xll.VALEUROUTPUT($A$923,_xlfn.CONCAT("THEME14=",$C29),SCENARIOS!$A$2,SCENARIOS!$B$2,H$1)</f>
        <v>0</v>
      </c>
      <c r="I29" cm="1">
        <f t="array" ref="I29">_xll.VALEUROUTPUT($A$923,_xlfn.CONCAT("THEME14=",$C29),SCENARIOS!$A$2,SCENARIOS!$B$2,I$1)</f>
        <v>0</v>
      </c>
      <c r="J29" cm="1">
        <f t="array" ref="J29">_xll.VALEUROUTPUT($A$923,_xlfn.CONCAT("THEME14=",$C29),SCENARIOS!$A$2,SCENARIOS!$B$2,J$1)</f>
        <v>0</v>
      </c>
      <c r="K29" cm="1">
        <f t="array" ref="K29">_xll.VALEUROUTPUT($A$923,_xlfn.CONCAT("THEME14=",$C29),SCENARIOS!$A$2,SCENARIOS!$B$2,K$1)</f>
        <v>0</v>
      </c>
      <c r="L29" cm="1">
        <f t="array" ref="L29">_xll.VALEUROUTPUT($A$923,_xlfn.CONCAT("THEME14=",$C29),SCENARIOS!$A$2,SCENARIOS!$B$2,L$1)</f>
        <v>0</v>
      </c>
      <c r="M29" cm="1">
        <f t="array" ref="M29">_xll.VALEUROUTPUT($A$923,_xlfn.CONCAT("THEME14=",$C29),SCENARIOS!$A$2,SCENARIOS!$B$2,M$1)</f>
        <v>0</v>
      </c>
      <c r="N29" cm="1">
        <f t="array" ref="N29">_xll.VALEUROUTPUT($A$923,_xlfn.CONCAT("THEME14=",$C29),SCENARIOS!$A$2,SCENARIOS!$B$2,N$1)</f>
        <v>0</v>
      </c>
      <c r="O29" cm="1">
        <f t="array" ref="O29">_xll.VALEUROUTPUT($A$923,_xlfn.CONCAT("THEME14=",$C29),SCENARIOS!$A$2,SCENARIOS!$B$2,O$1)</f>
        <v>0</v>
      </c>
      <c r="P29" cm="1">
        <f t="array" ref="P29">_xll.VALEUROUTPUT($A$923,_xlfn.CONCAT("THEME14=",$C29),SCENARIOS!$A$2,SCENARIOS!$B$2,P$1)</f>
        <v>0</v>
      </c>
      <c r="Q29" cm="1">
        <f t="array" ref="Q29">_xll.VALEUROUTPUT($A$923,_xlfn.CONCAT("THEME14=",$C29),SCENARIOS!$A$2,SCENARIOS!$B$2,Q$1)</f>
        <v>0</v>
      </c>
      <c r="R29" cm="1">
        <f t="array" ref="R29">_xll.VALEUROUTPUT($A$923,_xlfn.CONCAT("THEME14=",$C29),SCENARIOS!$A$2,SCENARIOS!$B$2,R$1)</f>
        <v>0</v>
      </c>
      <c r="S29" cm="1">
        <f t="array" ref="S29">_xll.VALEUROUTPUT($A$923,_xlfn.CONCAT("THEME14=",$C29),SCENARIOS!$A$2,SCENARIOS!$B$2,S$1)</f>
        <v>0</v>
      </c>
      <c r="T29" cm="1">
        <f t="array" ref="T29">_xll.VALEUROUTPUT($A$923,_xlfn.CONCAT("THEME14=",$C29),SCENARIOS!$A$2,SCENARIOS!$B$2,T$1)</f>
        <v>0</v>
      </c>
      <c r="U29" cm="1">
        <f t="array" ref="U29">_xll.VALEUROUTPUT($A$923,_xlfn.CONCAT("THEME14=",$C29),SCENARIOS!$A$2,SCENARIOS!$B$2,U$1)</f>
        <v>0</v>
      </c>
      <c r="V29" cm="1">
        <f t="array" ref="V29">_xll.VALEUROUTPUT($A$923,_xlfn.CONCAT("THEME14=",$C29),SCENARIOS!$A$2,SCENARIOS!$B$2,V$1)</f>
        <v>0</v>
      </c>
      <c r="W29" cm="1">
        <f t="array" ref="W29">_xll.VALEUROUTPUT($A$923,_xlfn.CONCAT("THEME14=",$C29),SCENARIOS!$A$2,SCENARIOS!$B$2,W$1)</f>
        <v>0</v>
      </c>
      <c r="X29" cm="1">
        <f t="array" ref="X29">_xll.VALEUROUTPUT($A$923,_xlfn.CONCAT("THEME14=",$C29),SCENARIOS!$A$2,SCENARIOS!$B$2,X$1)</f>
        <v>0</v>
      </c>
      <c r="Y29" cm="1">
        <f t="array" ref="Y29">_xll.VALEUROUTPUT($A$923,_xlfn.CONCAT("THEME14=",$C29),SCENARIOS!$A$2,SCENARIOS!$B$2,Y$1)</f>
        <v>0</v>
      </c>
      <c r="Z29" cm="1">
        <f t="array" ref="Z29">_xll.VALEUROUTPUT($A$923,_xlfn.CONCAT("THEME14=",$C29),SCENARIOS!$A$2,SCENARIOS!$B$2,Z$1)</f>
        <v>0</v>
      </c>
      <c r="AA29" cm="1">
        <f t="array" ref="AA29">_xll.VALEUROUTPUT($A$923,_xlfn.CONCAT("THEME14=",$C29),SCENARIOS!$A$2,SCENARIOS!$B$2,AA$1)</f>
        <v>0</v>
      </c>
      <c r="AB29" cm="1">
        <f t="array" ref="AB29">_xll.VALEUROUTPUT($A$923,_xlfn.CONCAT("THEME14=",$C29),SCENARIOS!$A$2,SCENARIOS!$B$2,AB$1)</f>
        <v>0</v>
      </c>
      <c r="AC29" cm="1">
        <f t="array" ref="AC29">_xll.VALEUROUTPUT($A$923,_xlfn.CONCAT("THEME14=",$C29),SCENARIOS!$A$2,SCENARIOS!$B$2,AC$1)</f>
        <v>0</v>
      </c>
      <c r="AD29" cm="1">
        <f t="array" ref="AD29">_xll.VALEUROUTPUT($A$923,_xlfn.CONCAT("THEME14=",$C29),SCENARIOS!$A$2,SCENARIOS!$B$2,AD$1)</f>
        <v>0</v>
      </c>
      <c r="AE29" cm="1">
        <f t="array" ref="AE29">_xll.VALEUROUTPUT($A$923,_xlfn.CONCAT("THEME14=",$C29),SCENARIOS!$A$2,SCENARIOS!$B$2,AE$1)</f>
        <v>0</v>
      </c>
      <c r="AF29" cm="1">
        <f t="array" ref="AF29">_xll.VALEUROUTPUT($A$923,_xlfn.CONCAT("THEME14=",$C29),SCENARIOS!$A$2,SCENARIOS!$B$2,AF$1)</f>
        <v>0</v>
      </c>
    </row>
    <row r="30" spans="1:32" x14ac:dyDescent="0.25">
      <c r="A30" t="str">
        <v>OSUPCPIRL_FIN</v>
      </c>
      <c r="D30" cm="1">
        <f t="array" ref="D30">_xll.VALEUROUTPUT($A$923,_xlfn.CONCAT("THEME14=",$C30),SCENARIOS!$A$2,SCENARIOS!$B$2,D$1)</f>
        <v>0</v>
      </c>
      <c r="E30" cm="1">
        <f t="array" ref="E30">_xll.VALEUROUTPUT($A$923,_xlfn.CONCAT("THEME14=",$C30),SCENARIOS!$A$2,SCENARIOS!$B$2,E$1)</f>
        <v>0</v>
      </c>
      <c r="F30" cm="1">
        <f t="array" ref="F30">_xll.VALEUROUTPUT($A$923,_xlfn.CONCAT("THEME14=",$C30),SCENARIOS!$A$2,SCENARIOS!$B$2,F$1)</f>
        <v>0</v>
      </c>
      <c r="G30" cm="1">
        <f t="array" ref="G30">_xll.VALEUROUTPUT($A$923,_xlfn.CONCAT("THEME14=",$C30),SCENARIOS!$A$2,SCENARIOS!$B$2,G$1)</f>
        <v>0</v>
      </c>
      <c r="H30" cm="1">
        <f t="array" ref="H30">_xll.VALEUROUTPUT($A$923,_xlfn.CONCAT("THEME14=",$C30),SCENARIOS!$A$2,SCENARIOS!$B$2,H$1)</f>
        <v>0</v>
      </c>
      <c r="I30" cm="1">
        <f t="array" ref="I30">_xll.VALEUROUTPUT($A$923,_xlfn.CONCAT("THEME14=",$C30),SCENARIOS!$A$2,SCENARIOS!$B$2,I$1)</f>
        <v>0</v>
      </c>
      <c r="J30" cm="1">
        <f t="array" ref="J30">_xll.VALEUROUTPUT($A$923,_xlfn.CONCAT("THEME14=",$C30),SCENARIOS!$A$2,SCENARIOS!$B$2,J$1)</f>
        <v>0</v>
      </c>
      <c r="K30" cm="1">
        <f t="array" ref="K30">_xll.VALEUROUTPUT($A$923,_xlfn.CONCAT("THEME14=",$C30),SCENARIOS!$A$2,SCENARIOS!$B$2,K$1)</f>
        <v>0</v>
      </c>
      <c r="L30" cm="1">
        <f t="array" ref="L30">_xll.VALEUROUTPUT($A$923,_xlfn.CONCAT("THEME14=",$C30),SCENARIOS!$A$2,SCENARIOS!$B$2,L$1)</f>
        <v>0</v>
      </c>
      <c r="M30" cm="1">
        <f t="array" ref="M30">_xll.VALEUROUTPUT($A$923,_xlfn.CONCAT("THEME14=",$C30),SCENARIOS!$A$2,SCENARIOS!$B$2,M$1)</f>
        <v>0</v>
      </c>
      <c r="N30" cm="1">
        <f t="array" ref="N30">_xll.VALEUROUTPUT($A$923,_xlfn.CONCAT("THEME14=",$C30),SCENARIOS!$A$2,SCENARIOS!$B$2,N$1)</f>
        <v>0</v>
      </c>
      <c r="O30" cm="1">
        <f t="array" ref="O30">_xll.VALEUROUTPUT($A$923,_xlfn.CONCAT("THEME14=",$C30),SCENARIOS!$A$2,SCENARIOS!$B$2,O$1)</f>
        <v>0</v>
      </c>
      <c r="P30" cm="1">
        <f t="array" ref="P30">_xll.VALEUROUTPUT($A$923,_xlfn.CONCAT("THEME14=",$C30),SCENARIOS!$A$2,SCENARIOS!$B$2,P$1)</f>
        <v>0</v>
      </c>
      <c r="Q30" cm="1">
        <f t="array" ref="Q30">_xll.VALEUROUTPUT($A$923,_xlfn.CONCAT("THEME14=",$C30),SCENARIOS!$A$2,SCENARIOS!$B$2,Q$1)</f>
        <v>0</v>
      </c>
      <c r="R30" cm="1">
        <f t="array" ref="R30">_xll.VALEUROUTPUT($A$923,_xlfn.CONCAT("THEME14=",$C30),SCENARIOS!$A$2,SCENARIOS!$B$2,R$1)</f>
        <v>0</v>
      </c>
      <c r="S30" cm="1">
        <f t="array" ref="S30">_xll.VALEUROUTPUT($A$923,_xlfn.CONCAT("THEME14=",$C30),SCENARIOS!$A$2,SCENARIOS!$B$2,S$1)</f>
        <v>0</v>
      </c>
      <c r="T30" cm="1">
        <f t="array" ref="T30">_xll.VALEUROUTPUT($A$923,_xlfn.CONCAT("THEME14=",$C30),SCENARIOS!$A$2,SCENARIOS!$B$2,T$1)</f>
        <v>0</v>
      </c>
      <c r="U30" cm="1">
        <f t="array" ref="U30">_xll.VALEUROUTPUT($A$923,_xlfn.CONCAT("THEME14=",$C30),SCENARIOS!$A$2,SCENARIOS!$B$2,U$1)</f>
        <v>0</v>
      </c>
      <c r="V30" cm="1">
        <f t="array" ref="V30">_xll.VALEUROUTPUT($A$923,_xlfn.CONCAT("THEME14=",$C30),SCENARIOS!$A$2,SCENARIOS!$B$2,V$1)</f>
        <v>0</v>
      </c>
      <c r="W30" cm="1">
        <f t="array" ref="W30">_xll.VALEUROUTPUT($A$923,_xlfn.CONCAT("THEME14=",$C30),SCENARIOS!$A$2,SCENARIOS!$B$2,W$1)</f>
        <v>0</v>
      </c>
      <c r="X30" cm="1">
        <f t="array" ref="X30">_xll.VALEUROUTPUT($A$923,_xlfn.CONCAT("THEME14=",$C30),SCENARIOS!$A$2,SCENARIOS!$B$2,X$1)</f>
        <v>0</v>
      </c>
      <c r="Y30" cm="1">
        <f t="array" ref="Y30">_xll.VALEUROUTPUT($A$923,_xlfn.CONCAT("THEME14=",$C30),SCENARIOS!$A$2,SCENARIOS!$B$2,Y$1)</f>
        <v>0</v>
      </c>
      <c r="Z30" cm="1">
        <f t="array" ref="Z30">_xll.VALEUROUTPUT($A$923,_xlfn.CONCAT("THEME14=",$C30),SCENARIOS!$A$2,SCENARIOS!$B$2,Z$1)</f>
        <v>0</v>
      </c>
      <c r="AA30" cm="1">
        <f t="array" ref="AA30">_xll.VALEUROUTPUT($A$923,_xlfn.CONCAT("THEME14=",$C30),SCENARIOS!$A$2,SCENARIOS!$B$2,AA$1)</f>
        <v>0</v>
      </c>
      <c r="AB30" cm="1">
        <f t="array" ref="AB30">_xll.VALEUROUTPUT($A$923,_xlfn.CONCAT("THEME14=",$C30),SCENARIOS!$A$2,SCENARIOS!$B$2,AB$1)</f>
        <v>0</v>
      </c>
      <c r="AC30" cm="1">
        <f t="array" ref="AC30">_xll.VALEUROUTPUT($A$923,_xlfn.CONCAT("THEME14=",$C30),SCENARIOS!$A$2,SCENARIOS!$B$2,AC$1)</f>
        <v>0</v>
      </c>
      <c r="AD30" cm="1">
        <f t="array" ref="AD30">_xll.VALEUROUTPUT($A$923,_xlfn.CONCAT("THEME14=",$C30),SCENARIOS!$A$2,SCENARIOS!$B$2,AD$1)</f>
        <v>0</v>
      </c>
      <c r="AE30" cm="1">
        <f t="array" ref="AE30">_xll.VALEUROUTPUT($A$923,_xlfn.CONCAT("THEME14=",$C30),SCENARIOS!$A$2,SCENARIOS!$B$2,AE$1)</f>
        <v>0</v>
      </c>
      <c r="AF30" cm="1">
        <f t="array" ref="AF30">_xll.VALEUROUTPUT($A$923,_xlfn.CONCAT("THEME14=",$C30),SCENARIOS!$A$2,SCENARIOS!$B$2,AF$1)</f>
        <v>0</v>
      </c>
    </row>
    <row r="31" spans="1:32" x14ac:dyDescent="0.25">
      <c r="A31" t="str">
        <v>OSUPCPIRL_INI</v>
      </c>
      <c r="D31" cm="1">
        <f t="array" ref="D31">_xll.VALEUROUTPUT($A$923,_xlfn.CONCAT("THEME14=",$C31),SCENARIOS!$A$2,SCENARIOS!$B$2,D$1)</f>
        <v>0</v>
      </c>
      <c r="E31" cm="1">
        <f t="array" ref="E31">_xll.VALEUROUTPUT($A$923,_xlfn.CONCAT("THEME14=",$C31),SCENARIOS!$A$2,SCENARIOS!$B$2,E$1)</f>
        <v>0</v>
      </c>
      <c r="F31" cm="1">
        <f t="array" ref="F31">_xll.VALEUROUTPUT($A$923,_xlfn.CONCAT("THEME14=",$C31),SCENARIOS!$A$2,SCENARIOS!$B$2,F$1)</f>
        <v>0</v>
      </c>
      <c r="G31" cm="1">
        <f t="array" ref="G31">_xll.VALEUROUTPUT($A$923,_xlfn.CONCAT("THEME14=",$C31),SCENARIOS!$A$2,SCENARIOS!$B$2,G$1)</f>
        <v>0</v>
      </c>
      <c r="H31" cm="1">
        <f t="array" ref="H31">_xll.VALEUROUTPUT($A$923,_xlfn.CONCAT("THEME14=",$C31),SCENARIOS!$A$2,SCENARIOS!$B$2,H$1)</f>
        <v>0</v>
      </c>
      <c r="I31" cm="1">
        <f t="array" ref="I31">_xll.VALEUROUTPUT($A$923,_xlfn.CONCAT("THEME14=",$C31),SCENARIOS!$A$2,SCENARIOS!$B$2,I$1)</f>
        <v>0</v>
      </c>
      <c r="J31" cm="1">
        <f t="array" ref="J31">_xll.VALEUROUTPUT($A$923,_xlfn.CONCAT("THEME14=",$C31),SCENARIOS!$A$2,SCENARIOS!$B$2,J$1)</f>
        <v>0</v>
      </c>
      <c r="K31" cm="1">
        <f t="array" ref="K31">_xll.VALEUROUTPUT($A$923,_xlfn.CONCAT("THEME14=",$C31),SCENARIOS!$A$2,SCENARIOS!$B$2,K$1)</f>
        <v>0</v>
      </c>
      <c r="L31" cm="1">
        <f t="array" ref="L31">_xll.VALEUROUTPUT($A$923,_xlfn.CONCAT("THEME14=",$C31),SCENARIOS!$A$2,SCENARIOS!$B$2,L$1)</f>
        <v>0</v>
      </c>
      <c r="M31" cm="1">
        <f t="array" ref="M31">_xll.VALEUROUTPUT($A$923,_xlfn.CONCAT("THEME14=",$C31),SCENARIOS!$A$2,SCENARIOS!$B$2,M$1)</f>
        <v>0</v>
      </c>
      <c r="N31" cm="1">
        <f t="array" ref="N31">_xll.VALEUROUTPUT($A$923,_xlfn.CONCAT("THEME14=",$C31),SCENARIOS!$A$2,SCENARIOS!$B$2,N$1)</f>
        <v>0</v>
      </c>
      <c r="O31" cm="1">
        <f t="array" ref="O31">_xll.VALEUROUTPUT($A$923,_xlfn.CONCAT("THEME14=",$C31),SCENARIOS!$A$2,SCENARIOS!$B$2,O$1)</f>
        <v>0</v>
      </c>
      <c r="P31" cm="1">
        <f t="array" ref="P31">_xll.VALEUROUTPUT($A$923,_xlfn.CONCAT("THEME14=",$C31),SCENARIOS!$A$2,SCENARIOS!$B$2,P$1)</f>
        <v>0</v>
      </c>
      <c r="Q31" cm="1">
        <f t="array" ref="Q31">_xll.VALEUROUTPUT($A$923,_xlfn.CONCAT("THEME14=",$C31),SCENARIOS!$A$2,SCENARIOS!$B$2,Q$1)</f>
        <v>0</v>
      </c>
      <c r="R31" cm="1">
        <f t="array" ref="R31">_xll.VALEUROUTPUT($A$923,_xlfn.CONCAT("THEME14=",$C31),SCENARIOS!$A$2,SCENARIOS!$B$2,R$1)</f>
        <v>0</v>
      </c>
      <c r="S31" cm="1">
        <f t="array" ref="S31">_xll.VALEUROUTPUT($A$923,_xlfn.CONCAT("THEME14=",$C31),SCENARIOS!$A$2,SCENARIOS!$B$2,S$1)</f>
        <v>0</v>
      </c>
      <c r="T31" cm="1">
        <f t="array" ref="T31">_xll.VALEUROUTPUT($A$923,_xlfn.CONCAT("THEME14=",$C31),SCENARIOS!$A$2,SCENARIOS!$B$2,T$1)</f>
        <v>0</v>
      </c>
      <c r="U31" cm="1">
        <f t="array" ref="U31">_xll.VALEUROUTPUT($A$923,_xlfn.CONCAT("THEME14=",$C31),SCENARIOS!$A$2,SCENARIOS!$B$2,U$1)</f>
        <v>0</v>
      </c>
      <c r="V31" cm="1">
        <f t="array" ref="V31">_xll.VALEUROUTPUT($A$923,_xlfn.CONCAT("THEME14=",$C31),SCENARIOS!$A$2,SCENARIOS!$B$2,V$1)</f>
        <v>0</v>
      </c>
      <c r="W31" cm="1">
        <f t="array" ref="W31">_xll.VALEUROUTPUT($A$923,_xlfn.CONCAT("THEME14=",$C31),SCENARIOS!$A$2,SCENARIOS!$B$2,W$1)</f>
        <v>0</v>
      </c>
      <c r="X31" cm="1">
        <f t="array" ref="X31">_xll.VALEUROUTPUT($A$923,_xlfn.CONCAT("THEME14=",$C31),SCENARIOS!$A$2,SCENARIOS!$B$2,X$1)</f>
        <v>0</v>
      </c>
      <c r="Y31" cm="1">
        <f t="array" ref="Y31">_xll.VALEUROUTPUT($A$923,_xlfn.CONCAT("THEME14=",$C31),SCENARIOS!$A$2,SCENARIOS!$B$2,Y$1)</f>
        <v>0</v>
      </c>
      <c r="Z31" cm="1">
        <f t="array" ref="Z31">_xll.VALEUROUTPUT($A$923,_xlfn.CONCAT("THEME14=",$C31),SCENARIOS!$A$2,SCENARIOS!$B$2,Z$1)</f>
        <v>0</v>
      </c>
      <c r="AA31" cm="1">
        <f t="array" ref="AA31">_xll.VALEUROUTPUT($A$923,_xlfn.CONCAT("THEME14=",$C31),SCENARIOS!$A$2,SCENARIOS!$B$2,AA$1)</f>
        <v>0</v>
      </c>
      <c r="AB31" cm="1">
        <f t="array" ref="AB31">_xll.VALEUROUTPUT($A$923,_xlfn.CONCAT("THEME14=",$C31),SCENARIOS!$A$2,SCENARIOS!$B$2,AB$1)</f>
        <v>0</v>
      </c>
      <c r="AC31" cm="1">
        <f t="array" ref="AC31">_xll.VALEUROUTPUT($A$923,_xlfn.CONCAT("THEME14=",$C31),SCENARIOS!$A$2,SCENARIOS!$B$2,AC$1)</f>
        <v>0</v>
      </c>
      <c r="AD31" cm="1">
        <f t="array" ref="AD31">_xll.VALEUROUTPUT($A$923,_xlfn.CONCAT("THEME14=",$C31),SCENARIOS!$A$2,SCENARIOS!$B$2,AD$1)</f>
        <v>0</v>
      </c>
      <c r="AE31" cm="1">
        <f t="array" ref="AE31">_xll.VALEUROUTPUT($A$923,_xlfn.CONCAT("THEME14=",$C31),SCENARIOS!$A$2,SCENARIOS!$B$2,AE$1)</f>
        <v>0</v>
      </c>
      <c r="AF31" cm="1">
        <f t="array" ref="AF31">_xll.VALEUROUTPUT($A$923,_xlfn.CONCAT("THEME14=",$C31),SCENARIOS!$A$2,SCENARIOS!$B$2,AF$1)</f>
        <v>0</v>
      </c>
    </row>
    <row r="32" spans="1:32" x14ac:dyDescent="0.25">
      <c r="A32" t="str">
        <v>OSUPCPICP</v>
      </c>
      <c r="D32" cm="1">
        <f t="array" ref="D32">_xll.VALEUROUTPUT($A$923,_xlfn.CONCAT("THEME14=",$C32),SCENARIOS!$A$2,SCENARIOS!$B$2,D$1)</f>
        <v>0</v>
      </c>
      <c r="E32" cm="1">
        <f t="array" ref="E32">_xll.VALEUROUTPUT($A$923,_xlfn.CONCAT("THEME14=",$C32),SCENARIOS!$A$2,SCENARIOS!$B$2,E$1)</f>
        <v>0</v>
      </c>
      <c r="F32" cm="1">
        <f t="array" ref="F32">_xll.VALEUROUTPUT($A$923,_xlfn.CONCAT("THEME14=",$C32),SCENARIOS!$A$2,SCENARIOS!$B$2,F$1)</f>
        <v>0</v>
      </c>
      <c r="G32" cm="1">
        <f t="array" ref="G32">_xll.VALEUROUTPUT($A$923,_xlfn.CONCAT("THEME14=",$C32),SCENARIOS!$A$2,SCENARIOS!$B$2,G$1)</f>
        <v>0</v>
      </c>
      <c r="H32" cm="1">
        <f t="array" ref="H32">_xll.VALEUROUTPUT($A$923,_xlfn.CONCAT("THEME14=",$C32),SCENARIOS!$A$2,SCENARIOS!$B$2,H$1)</f>
        <v>0</v>
      </c>
      <c r="I32" cm="1">
        <f t="array" ref="I32">_xll.VALEUROUTPUT($A$923,_xlfn.CONCAT("THEME14=",$C32),SCENARIOS!$A$2,SCENARIOS!$B$2,I$1)</f>
        <v>0</v>
      </c>
      <c r="J32" cm="1">
        <f t="array" ref="J32">_xll.VALEUROUTPUT($A$923,_xlfn.CONCAT("THEME14=",$C32),SCENARIOS!$A$2,SCENARIOS!$B$2,J$1)</f>
        <v>0</v>
      </c>
      <c r="K32" cm="1">
        <f t="array" ref="K32">_xll.VALEUROUTPUT($A$923,_xlfn.CONCAT("THEME14=",$C32),SCENARIOS!$A$2,SCENARIOS!$B$2,K$1)</f>
        <v>0</v>
      </c>
      <c r="L32" cm="1">
        <f t="array" ref="L32">_xll.VALEUROUTPUT($A$923,_xlfn.CONCAT("THEME14=",$C32),SCENARIOS!$A$2,SCENARIOS!$B$2,L$1)</f>
        <v>0</v>
      </c>
      <c r="M32" cm="1">
        <f t="array" ref="M32">_xll.VALEUROUTPUT($A$923,_xlfn.CONCAT("THEME14=",$C32),SCENARIOS!$A$2,SCENARIOS!$B$2,M$1)</f>
        <v>0</v>
      </c>
      <c r="N32" cm="1">
        <f t="array" ref="N32">_xll.VALEUROUTPUT($A$923,_xlfn.CONCAT("THEME14=",$C32),SCENARIOS!$A$2,SCENARIOS!$B$2,N$1)</f>
        <v>0</v>
      </c>
      <c r="O32" cm="1">
        <f t="array" ref="O32">_xll.VALEUROUTPUT($A$923,_xlfn.CONCAT("THEME14=",$C32),SCENARIOS!$A$2,SCENARIOS!$B$2,O$1)</f>
        <v>0</v>
      </c>
      <c r="P32" cm="1">
        <f t="array" ref="P32">_xll.VALEUROUTPUT($A$923,_xlfn.CONCAT("THEME14=",$C32),SCENARIOS!$A$2,SCENARIOS!$B$2,P$1)</f>
        <v>0</v>
      </c>
      <c r="Q32" cm="1">
        <f t="array" ref="Q32">_xll.VALEUROUTPUT($A$923,_xlfn.CONCAT("THEME14=",$C32),SCENARIOS!$A$2,SCENARIOS!$B$2,Q$1)</f>
        <v>0</v>
      </c>
      <c r="R32" cm="1">
        <f t="array" ref="R32">_xll.VALEUROUTPUT($A$923,_xlfn.CONCAT("THEME14=",$C32),SCENARIOS!$A$2,SCENARIOS!$B$2,R$1)</f>
        <v>0</v>
      </c>
      <c r="S32" cm="1">
        <f t="array" ref="S32">_xll.VALEUROUTPUT($A$923,_xlfn.CONCAT("THEME14=",$C32),SCENARIOS!$A$2,SCENARIOS!$B$2,S$1)</f>
        <v>0</v>
      </c>
      <c r="T32" cm="1">
        <f t="array" ref="T32">_xll.VALEUROUTPUT($A$923,_xlfn.CONCAT("THEME14=",$C32),SCENARIOS!$A$2,SCENARIOS!$B$2,T$1)</f>
        <v>0</v>
      </c>
      <c r="U32" cm="1">
        <f t="array" ref="U32">_xll.VALEUROUTPUT($A$923,_xlfn.CONCAT("THEME14=",$C32),SCENARIOS!$A$2,SCENARIOS!$B$2,U$1)</f>
        <v>0</v>
      </c>
      <c r="V32" cm="1">
        <f t="array" ref="V32">_xll.VALEUROUTPUT($A$923,_xlfn.CONCAT("THEME14=",$C32),SCENARIOS!$A$2,SCENARIOS!$B$2,V$1)</f>
        <v>0</v>
      </c>
      <c r="W32" cm="1">
        <f t="array" ref="W32">_xll.VALEUROUTPUT($A$923,_xlfn.CONCAT("THEME14=",$C32),SCENARIOS!$A$2,SCENARIOS!$B$2,W$1)</f>
        <v>0</v>
      </c>
      <c r="X32" cm="1">
        <f t="array" ref="X32">_xll.VALEUROUTPUT($A$923,_xlfn.CONCAT("THEME14=",$C32),SCENARIOS!$A$2,SCENARIOS!$B$2,X$1)</f>
        <v>0</v>
      </c>
      <c r="Y32" cm="1">
        <f t="array" ref="Y32">_xll.VALEUROUTPUT($A$923,_xlfn.CONCAT("THEME14=",$C32),SCENARIOS!$A$2,SCENARIOS!$B$2,Y$1)</f>
        <v>0</v>
      </c>
      <c r="Z32" cm="1">
        <f t="array" ref="Z32">_xll.VALEUROUTPUT($A$923,_xlfn.CONCAT("THEME14=",$C32),SCENARIOS!$A$2,SCENARIOS!$B$2,Z$1)</f>
        <v>0</v>
      </c>
      <c r="AA32" cm="1">
        <f t="array" ref="AA32">_xll.VALEUROUTPUT($A$923,_xlfn.CONCAT("THEME14=",$C32),SCENARIOS!$A$2,SCENARIOS!$B$2,AA$1)</f>
        <v>0</v>
      </c>
      <c r="AB32" cm="1">
        <f t="array" ref="AB32">_xll.VALEUROUTPUT($A$923,_xlfn.CONCAT("THEME14=",$C32),SCENARIOS!$A$2,SCENARIOS!$B$2,AB$1)</f>
        <v>0</v>
      </c>
      <c r="AC32" cm="1">
        <f t="array" ref="AC32">_xll.VALEUROUTPUT($A$923,_xlfn.CONCAT("THEME14=",$C32),SCENARIOS!$A$2,SCENARIOS!$B$2,AC$1)</f>
        <v>0</v>
      </c>
      <c r="AD32" cm="1">
        <f t="array" ref="AD32">_xll.VALEUROUTPUT($A$923,_xlfn.CONCAT("THEME14=",$C32),SCENARIOS!$A$2,SCENARIOS!$B$2,AD$1)</f>
        <v>0</v>
      </c>
      <c r="AE32" cm="1">
        <f t="array" ref="AE32">_xll.VALEUROUTPUT($A$923,_xlfn.CONCAT("THEME14=",$C32),SCENARIOS!$A$2,SCENARIOS!$B$2,AE$1)</f>
        <v>0</v>
      </c>
      <c r="AF32" cm="1">
        <f t="array" ref="AF32">_xll.VALEUROUTPUT($A$923,_xlfn.CONCAT("THEME14=",$C32),SCENARIOS!$A$2,SCENARIOS!$B$2,AF$1)</f>
        <v>0</v>
      </c>
    </row>
    <row r="33" spans="1:32" x14ac:dyDescent="0.25">
      <c r="A33" t="str">
        <v>OSUPACTCT_T100%</v>
      </c>
      <c r="D33" cm="1">
        <f t="array" ref="D33">_xll.VALEUROUTPUT($A$923,_xlfn.CONCAT("THEME14=",$C33),SCENARIOS!$A$2,SCENARIOS!$B$2,D$1)</f>
        <v>0</v>
      </c>
      <c r="E33" cm="1">
        <f t="array" ref="E33">_xll.VALEUROUTPUT($A$923,_xlfn.CONCAT("THEME14=",$C33),SCENARIOS!$A$2,SCENARIOS!$B$2,E$1)</f>
        <v>0</v>
      </c>
      <c r="F33" cm="1">
        <f t="array" ref="F33">_xll.VALEUROUTPUT($A$923,_xlfn.CONCAT("THEME14=",$C33),SCENARIOS!$A$2,SCENARIOS!$B$2,F$1)</f>
        <v>0</v>
      </c>
      <c r="G33" cm="1">
        <f t="array" ref="G33">_xll.VALEUROUTPUT($A$923,_xlfn.CONCAT("THEME14=",$C33),SCENARIOS!$A$2,SCENARIOS!$B$2,G$1)</f>
        <v>0</v>
      </c>
      <c r="H33" cm="1">
        <f t="array" ref="H33">_xll.VALEUROUTPUT($A$923,_xlfn.CONCAT("THEME14=",$C33),SCENARIOS!$A$2,SCENARIOS!$B$2,H$1)</f>
        <v>0</v>
      </c>
      <c r="I33" cm="1">
        <f t="array" ref="I33">_xll.VALEUROUTPUT($A$923,_xlfn.CONCAT("THEME14=",$C33),SCENARIOS!$A$2,SCENARIOS!$B$2,I$1)</f>
        <v>0</v>
      </c>
      <c r="J33" cm="1">
        <f t="array" ref="J33">_xll.VALEUROUTPUT($A$923,_xlfn.CONCAT("THEME14=",$C33),SCENARIOS!$A$2,SCENARIOS!$B$2,J$1)</f>
        <v>0</v>
      </c>
      <c r="K33" cm="1">
        <f t="array" ref="K33">_xll.VALEUROUTPUT($A$923,_xlfn.CONCAT("THEME14=",$C33),SCENARIOS!$A$2,SCENARIOS!$B$2,K$1)</f>
        <v>0</v>
      </c>
      <c r="L33" cm="1">
        <f t="array" ref="L33">_xll.VALEUROUTPUT($A$923,_xlfn.CONCAT("THEME14=",$C33),SCENARIOS!$A$2,SCENARIOS!$B$2,L$1)</f>
        <v>0</v>
      </c>
      <c r="M33" cm="1">
        <f t="array" ref="M33">_xll.VALEUROUTPUT($A$923,_xlfn.CONCAT("THEME14=",$C33),SCENARIOS!$A$2,SCENARIOS!$B$2,M$1)</f>
        <v>0</v>
      </c>
      <c r="N33" cm="1">
        <f t="array" ref="N33">_xll.VALEUROUTPUT($A$923,_xlfn.CONCAT("THEME14=",$C33),SCENARIOS!$A$2,SCENARIOS!$B$2,N$1)</f>
        <v>0</v>
      </c>
      <c r="O33" cm="1">
        <f t="array" ref="O33">_xll.VALEUROUTPUT($A$923,_xlfn.CONCAT("THEME14=",$C33),SCENARIOS!$A$2,SCENARIOS!$B$2,O$1)</f>
        <v>0</v>
      </c>
      <c r="P33" cm="1">
        <f t="array" ref="P33">_xll.VALEUROUTPUT($A$923,_xlfn.CONCAT("THEME14=",$C33),SCENARIOS!$A$2,SCENARIOS!$B$2,P$1)</f>
        <v>0</v>
      </c>
      <c r="Q33" cm="1">
        <f t="array" ref="Q33">_xll.VALEUROUTPUT($A$923,_xlfn.CONCAT("THEME14=",$C33),SCENARIOS!$A$2,SCENARIOS!$B$2,Q$1)</f>
        <v>0</v>
      </c>
      <c r="R33" cm="1">
        <f t="array" ref="R33">_xll.VALEUROUTPUT($A$923,_xlfn.CONCAT("THEME14=",$C33),SCENARIOS!$A$2,SCENARIOS!$B$2,R$1)</f>
        <v>0</v>
      </c>
      <c r="S33" cm="1">
        <f t="array" ref="S33">_xll.VALEUROUTPUT($A$923,_xlfn.CONCAT("THEME14=",$C33),SCENARIOS!$A$2,SCENARIOS!$B$2,S$1)</f>
        <v>0</v>
      </c>
      <c r="T33" cm="1">
        <f t="array" ref="T33">_xll.VALEUROUTPUT($A$923,_xlfn.CONCAT("THEME14=",$C33),SCENARIOS!$A$2,SCENARIOS!$B$2,T$1)</f>
        <v>0</v>
      </c>
      <c r="U33" cm="1">
        <f t="array" ref="U33">_xll.VALEUROUTPUT($A$923,_xlfn.CONCAT("THEME14=",$C33),SCENARIOS!$A$2,SCENARIOS!$B$2,U$1)</f>
        <v>0</v>
      </c>
      <c r="V33" cm="1">
        <f t="array" ref="V33">_xll.VALEUROUTPUT($A$923,_xlfn.CONCAT("THEME14=",$C33),SCENARIOS!$A$2,SCENARIOS!$B$2,V$1)</f>
        <v>0</v>
      </c>
      <c r="W33" cm="1">
        <f t="array" ref="W33">_xll.VALEUROUTPUT($A$923,_xlfn.CONCAT("THEME14=",$C33),SCENARIOS!$A$2,SCENARIOS!$B$2,W$1)</f>
        <v>0</v>
      </c>
      <c r="X33" cm="1">
        <f t="array" ref="X33">_xll.VALEUROUTPUT($A$923,_xlfn.CONCAT("THEME14=",$C33),SCENARIOS!$A$2,SCENARIOS!$B$2,X$1)</f>
        <v>0</v>
      </c>
      <c r="Y33" cm="1">
        <f t="array" ref="Y33">_xll.VALEUROUTPUT($A$923,_xlfn.CONCAT("THEME14=",$C33),SCENARIOS!$A$2,SCENARIOS!$B$2,Y$1)</f>
        <v>0</v>
      </c>
      <c r="Z33" cm="1">
        <f t="array" ref="Z33">_xll.VALEUROUTPUT($A$923,_xlfn.CONCAT("THEME14=",$C33),SCENARIOS!$A$2,SCENARIOS!$B$2,Z$1)</f>
        <v>0</v>
      </c>
      <c r="AA33" cm="1">
        <f t="array" ref="AA33">_xll.VALEUROUTPUT($A$923,_xlfn.CONCAT("THEME14=",$C33),SCENARIOS!$A$2,SCENARIOS!$B$2,AA$1)</f>
        <v>0</v>
      </c>
      <c r="AB33" cm="1">
        <f t="array" ref="AB33">_xll.VALEUROUTPUT($A$923,_xlfn.CONCAT("THEME14=",$C33),SCENARIOS!$A$2,SCENARIOS!$B$2,AB$1)</f>
        <v>0</v>
      </c>
      <c r="AC33" cm="1">
        <f t="array" ref="AC33">_xll.VALEUROUTPUT($A$923,_xlfn.CONCAT("THEME14=",$C33),SCENARIOS!$A$2,SCENARIOS!$B$2,AC$1)</f>
        <v>0</v>
      </c>
      <c r="AD33" cm="1">
        <f t="array" ref="AD33">_xll.VALEUROUTPUT($A$923,_xlfn.CONCAT("THEME14=",$C33),SCENARIOS!$A$2,SCENARIOS!$B$2,AD$1)</f>
        <v>0</v>
      </c>
      <c r="AE33" cm="1">
        <f t="array" ref="AE33">_xll.VALEUROUTPUT($A$923,_xlfn.CONCAT("THEME14=",$C33),SCENARIOS!$A$2,SCENARIOS!$B$2,AE$1)</f>
        <v>0</v>
      </c>
      <c r="AF33" cm="1">
        <f t="array" ref="AF33">_xll.VALEUROUTPUT($A$923,_xlfn.CONCAT("THEME14=",$C33),SCENARIOS!$A$2,SCENARIOS!$B$2,AF$1)</f>
        <v>0</v>
      </c>
    </row>
    <row r="34" spans="1:32" x14ac:dyDescent="0.25">
      <c r="A34" t="str">
        <v>OSUPCT_T100%</v>
      </c>
      <c r="D34" cm="1">
        <f t="array" ref="D34">_xll.VALEUROUTPUT($A$923,_xlfn.CONCAT("THEME14=",$C34),SCENARIOS!$A$2,SCENARIOS!$B$2,D$1)</f>
        <v>0</v>
      </c>
      <c r="E34" cm="1">
        <f t="array" ref="E34">_xll.VALEUROUTPUT($A$923,_xlfn.CONCAT("THEME14=",$C34),SCENARIOS!$A$2,SCENARIOS!$B$2,E$1)</f>
        <v>0</v>
      </c>
      <c r="F34" cm="1">
        <f t="array" ref="F34">_xll.VALEUROUTPUT($A$923,_xlfn.CONCAT("THEME14=",$C34),SCENARIOS!$A$2,SCENARIOS!$B$2,F$1)</f>
        <v>0</v>
      </c>
      <c r="G34" cm="1">
        <f t="array" ref="G34">_xll.VALEUROUTPUT($A$923,_xlfn.CONCAT("THEME14=",$C34),SCENARIOS!$A$2,SCENARIOS!$B$2,G$1)</f>
        <v>0</v>
      </c>
      <c r="H34" cm="1">
        <f t="array" ref="H34">_xll.VALEUROUTPUT($A$923,_xlfn.CONCAT("THEME14=",$C34),SCENARIOS!$A$2,SCENARIOS!$B$2,H$1)</f>
        <v>0</v>
      </c>
      <c r="I34" cm="1">
        <f t="array" ref="I34">_xll.VALEUROUTPUT($A$923,_xlfn.CONCAT("THEME14=",$C34),SCENARIOS!$A$2,SCENARIOS!$B$2,I$1)</f>
        <v>0</v>
      </c>
      <c r="J34" cm="1">
        <f t="array" ref="J34">_xll.VALEUROUTPUT($A$923,_xlfn.CONCAT("THEME14=",$C34),SCENARIOS!$A$2,SCENARIOS!$B$2,J$1)</f>
        <v>0</v>
      </c>
      <c r="K34" cm="1">
        <f t="array" ref="K34">_xll.VALEUROUTPUT($A$923,_xlfn.CONCAT("THEME14=",$C34),SCENARIOS!$A$2,SCENARIOS!$B$2,K$1)</f>
        <v>0</v>
      </c>
      <c r="L34" cm="1">
        <f t="array" ref="L34">_xll.VALEUROUTPUT($A$923,_xlfn.CONCAT("THEME14=",$C34),SCENARIOS!$A$2,SCENARIOS!$B$2,L$1)</f>
        <v>0</v>
      </c>
      <c r="M34" cm="1">
        <f t="array" ref="M34">_xll.VALEUROUTPUT($A$923,_xlfn.CONCAT("THEME14=",$C34),SCENARIOS!$A$2,SCENARIOS!$B$2,M$1)</f>
        <v>0</v>
      </c>
      <c r="N34" cm="1">
        <f t="array" ref="N34">_xll.VALEUROUTPUT($A$923,_xlfn.CONCAT("THEME14=",$C34),SCENARIOS!$A$2,SCENARIOS!$B$2,N$1)</f>
        <v>0</v>
      </c>
      <c r="O34" cm="1">
        <f t="array" ref="O34">_xll.VALEUROUTPUT($A$923,_xlfn.CONCAT("THEME14=",$C34),SCENARIOS!$A$2,SCENARIOS!$B$2,O$1)</f>
        <v>0</v>
      </c>
      <c r="P34" cm="1">
        <f t="array" ref="P34">_xll.VALEUROUTPUT($A$923,_xlfn.CONCAT("THEME14=",$C34),SCENARIOS!$A$2,SCENARIOS!$B$2,P$1)</f>
        <v>0</v>
      </c>
      <c r="Q34" cm="1">
        <f t="array" ref="Q34">_xll.VALEUROUTPUT($A$923,_xlfn.CONCAT("THEME14=",$C34),SCENARIOS!$A$2,SCENARIOS!$B$2,Q$1)</f>
        <v>0</v>
      </c>
      <c r="R34" cm="1">
        <f t="array" ref="R34">_xll.VALEUROUTPUT($A$923,_xlfn.CONCAT("THEME14=",$C34),SCENARIOS!$A$2,SCENARIOS!$B$2,R$1)</f>
        <v>0</v>
      </c>
      <c r="S34" cm="1">
        <f t="array" ref="S34">_xll.VALEUROUTPUT($A$923,_xlfn.CONCAT("THEME14=",$C34),SCENARIOS!$A$2,SCENARIOS!$B$2,S$1)</f>
        <v>0</v>
      </c>
      <c r="T34" cm="1">
        <f t="array" ref="T34">_xll.VALEUROUTPUT($A$923,_xlfn.CONCAT("THEME14=",$C34),SCENARIOS!$A$2,SCENARIOS!$B$2,T$1)</f>
        <v>0</v>
      </c>
      <c r="U34" cm="1">
        <f t="array" ref="U34">_xll.VALEUROUTPUT($A$923,_xlfn.CONCAT("THEME14=",$C34),SCENARIOS!$A$2,SCENARIOS!$B$2,U$1)</f>
        <v>0</v>
      </c>
      <c r="V34" cm="1">
        <f t="array" ref="V34">_xll.VALEUROUTPUT($A$923,_xlfn.CONCAT("THEME14=",$C34),SCENARIOS!$A$2,SCENARIOS!$B$2,V$1)</f>
        <v>0</v>
      </c>
      <c r="W34" cm="1">
        <f t="array" ref="W34">_xll.VALEUROUTPUT($A$923,_xlfn.CONCAT("THEME14=",$C34),SCENARIOS!$A$2,SCENARIOS!$B$2,W$1)</f>
        <v>0</v>
      </c>
      <c r="X34" cm="1">
        <f t="array" ref="X34">_xll.VALEUROUTPUT($A$923,_xlfn.CONCAT("THEME14=",$C34),SCENARIOS!$A$2,SCENARIOS!$B$2,X$1)</f>
        <v>0</v>
      </c>
      <c r="Y34" cm="1">
        <f t="array" ref="Y34">_xll.VALEUROUTPUT($A$923,_xlfn.CONCAT("THEME14=",$C34),SCENARIOS!$A$2,SCENARIOS!$B$2,Y$1)</f>
        <v>0</v>
      </c>
      <c r="Z34" cm="1">
        <f t="array" ref="Z34">_xll.VALEUROUTPUT($A$923,_xlfn.CONCAT("THEME14=",$C34),SCENARIOS!$A$2,SCENARIOS!$B$2,Z$1)</f>
        <v>0</v>
      </c>
      <c r="AA34" cm="1">
        <f t="array" ref="AA34">_xll.VALEUROUTPUT($A$923,_xlfn.CONCAT("THEME14=",$C34),SCENARIOS!$A$2,SCENARIOS!$B$2,AA$1)</f>
        <v>0</v>
      </c>
      <c r="AB34" cm="1">
        <f t="array" ref="AB34">_xll.VALEUROUTPUT($A$923,_xlfn.CONCAT("THEME14=",$C34),SCENARIOS!$A$2,SCENARIOS!$B$2,AB$1)</f>
        <v>0</v>
      </c>
      <c r="AC34" cm="1">
        <f t="array" ref="AC34">_xll.VALEUROUTPUT($A$923,_xlfn.CONCAT("THEME14=",$C34),SCENARIOS!$A$2,SCENARIOS!$B$2,AC$1)</f>
        <v>0</v>
      </c>
      <c r="AD34" cm="1">
        <f t="array" ref="AD34">_xll.VALEUROUTPUT($A$923,_xlfn.CONCAT("THEME14=",$C34),SCENARIOS!$A$2,SCENARIOS!$B$2,AD$1)</f>
        <v>0</v>
      </c>
      <c r="AE34" cm="1">
        <f t="array" ref="AE34">_xll.VALEUROUTPUT($A$923,_xlfn.CONCAT("THEME14=",$C34),SCENARIOS!$A$2,SCENARIOS!$B$2,AE$1)</f>
        <v>0</v>
      </c>
      <c r="AF34" cm="1">
        <f t="array" ref="AF34">_xll.VALEUROUTPUT($A$923,_xlfn.CONCAT("THEME14=",$C34),SCENARIOS!$A$2,SCENARIOS!$B$2,AF$1)</f>
        <v>0</v>
      </c>
    </row>
    <row r="35" spans="1:32" x14ac:dyDescent="0.25">
      <c r="A35" t="str">
        <v>OSUPCT</v>
      </c>
      <c r="D35" cm="1">
        <f t="array" ref="D35">_xll.VALEUROUTPUT($A$923,_xlfn.CONCAT("THEME14=",$C35),SCENARIOS!$A$2,SCENARIOS!$B$2,D$1)</f>
        <v>0</v>
      </c>
      <c r="E35" cm="1">
        <f t="array" ref="E35">_xll.VALEUROUTPUT($A$923,_xlfn.CONCAT("THEME14=",$C35),SCENARIOS!$A$2,SCENARIOS!$B$2,E$1)</f>
        <v>0</v>
      </c>
      <c r="F35" cm="1">
        <f t="array" ref="F35">_xll.VALEUROUTPUT($A$923,_xlfn.CONCAT("THEME14=",$C35),SCENARIOS!$A$2,SCENARIOS!$B$2,F$1)</f>
        <v>0</v>
      </c>
      <c r="G35" cm="1">
        <f t="array" ref="G35">_xll.VALEUROUTPUT($A$923,_xlfn.CONCAT("THEME14=",$C35),SCENARIOS!$A$2,SCENARIOS!$B$2,G$1)</f>
        <v>0</v>
      </c>
      <c r="H35" cm="1">
        <f t="array" ref="H35">_xll.VALEUROUTPUT($A$923,_xlfn.CONCAT("THEME14=",$C35),SCENARIOS!$A$2,SCENARIOS!$B$2,H$1)</f>
        <v>0</v>
      </c>
      <c r="I35" cm="1">
        <f t="array" ref="I35">_xll.VALEUROUTPUT($A$923,_xlfn.CONCAT("THEME14=",$C35),SCENARIOS!$A$2,SCENARIOS!$B$2,I$1)</f>
        <v>0</v>
      </c>
      <c r="J35" cm="1">
        <f t="array" ref="J35">_xll.VALEUROUTPUT($A$923,_xlfn.CONCAT("THEME14=",$C35),SCENARIOS!$A$2,SCENARIOS!$B$2,J$1)</f>
        <v>0</v>
      </c>
      <c r="K35" cm="1">
        <f t="array" ref="K35">_xll.VALEUROUTPUT($A$923,_xlfn.CONCAT("THEME14=",$C35),SCENARIOS!$A$2,SCENARIOS!$B$2,K$1)</f>
        <v>0</v>
      </c>
      <c r="L35" cm="1">
        <f t="array" ref="L35">_xll.VALEUROUTPUT($A$923,_xlfn.CONCAT("THEME14=",$C35),SCENARIOS!$A$2,SCENARIOS!$B$2,L$1)</f>
        <v>0</v>
      </c>
      <c r="M35" cm="1">
        <f t="array" ref="M35">_xll.VALEUROUTPUT($A$923,_xlfn.CONCAT("THEME14=",$C35),SCENARIOS!$A$2,SCENARIOS!$B$2,M$1)</f>
        <v>0</v>
      </c>
      <c r="N35" cm="1">
        <f t="array" ref="N35">_xll.VALEUROUTPUT($A$923,_xlfn.CONCAT("THEME14=",$C35),SCENARIOS!$A$2,SCENARIOS!$B$2,N$1)</f>
        <v>0</v>
      </c>
      <c r="O35" cm="1">
        <f t="array" ref="O35">_xll.VALEUROUTPUT($A$923,_xlfn.CONCAT("THEME14=",$C35),SCENARIOS!$A$2,SCENARIOS!$B$2,O$1)</f>
        <v>0</v>
      </c>
      <c r="P35" cm="1">
        <f t="array" ref="P35">_xll.VALEUROUTPUT($A$923,_xlfn.CONCAT("THEME14=",$C35),SCENARIOS!$A$2,SCENARIOS!$B$2,P$1)</f>
        <v>0</v>
      </c>
      <c r="Q35" cm="1">
        <f t="array" ref="Q35">_xll.VALEUROUTPUT($A$923,_xlfn.CONCAT("THEME14=",$C35),SCENARIOS!$A$2,SCENARIOS!$B$2,Q$1)</f>
        <v>0</v>
      </c>
      <c r="R35" cm="1">
        <f t="array" ref="R35">_xll.VALEUROUTPUT($A$923,_xlfn.CONCAT("THEME14=",$C35),SCENARIOS!$A$2,SCENARIOS!$B$2,R$1)</f>
        <v>0</v>
      </c>
      <c r="S35" cm="1">
        <f t="array" ref="S35">_xll.VALEUROUTPUT($A$923,_xlfn.CONCAT("THEME14=",$C35),SCENARIOS!$A$2,SCENARIOS!$B$2,S$1)</f>
        <v>0</v>
      </c>
      <c r="T35" cm="1">
        <f t="array" ref="T35">_xll.VALEUROUTPUT($A$923,_xlfn.CONCAT("THEME14=",$C35),SCENARIOS!$A$2,SCENARIOS!$B$2,T$1)</f>
        <v>0</v>
      </c>
      <c r="U35" cm="1">
        <f t="array" ref="U35">_xll.VALEUROUTPUT($A$923,_xlfn.CONCAT("THEME14=",$C35),SCENARIOS!$A$2,SCENARIOS!$B$2,U$1)</f>
        <v>0</v>
      </c>
      <c r="V35" cm="1">
        <f t="array" ref="V35">_xll.VALEUROUTPUT($A$923,_xlfn.CONCAT("THEME14=",$C35),SCENARIOS!$A$2,SCENARIOS!$B$2,V$1)</f>
        <v>0</v>
      </c>
      <c r="W35" cm="1">
        <f t="array" ref="W35">_xll.VALEUROUTPUT($A$923,_xlfn.CONCAT("THEME14=",$C35),SCENARIOS!$A$2,SCENARIOS!$B$2,W$1)</f>
        <v>0</v>
      </c>
      <c r="X35" cm="1">
        <f t="array" ref="X35">_xll.VALEUROUTPUT($A$923,_xlfn.CONCAT("THEME14=",$C35),SCENARIOS!$A$2,SCENARIOS!$B$2,X$1)</f>
        <v>0</v>
      </c>
      <c r="Y35" cm="1">
        <f t="array" ref="Y35">_xll.VALEUROUTPUT($A$923,_xlfn.CONCAT("THEME14=",$C35),SCENARIOS!$A$2,SCENARIOS!$B$2,Y$1)</f>
        <v>0</v>
      </c>
      <c r="Z35" cm="1">
        <f t="array" ref="Z35">_xll.VALEUROUTPUT($A$923,_xlfn.CONCAT("THEME14=",$C35),SCENARIOS!$A$2,SCENARIOS!$B$2,Z$1)</f>
        <v>0</v>
      </c>
      <c r="AA35" cm="1">
        <f t="array" ref="AA35">_xll.VALEUROUTPUT($A$923,_xlfn.CONCAT("THEME14=",$C35),SCENARIOS!$A$2,SCENARIOS!$B$2,AA$1)</f>
        <v>0</v>
      </c>
      <c r="AB35" cm="1">
        <f t="array" ref="AB35">_xll.VALEUROUTPUT($A$923,_xlfn.CONCAT("THEME14=",$C35),SCENARIOS!$A$2,SCENARIOS!$B$2,AB$1)</f>
        <v>0</v>
      </c>
      <c r="AC35" cm="1">
        <f t="array" ref="AC35">_xll.VALEUROUTPUT($A$923,_xlfn.CONCAT("THEME14=",$C35),SCENARIOS!$A$2,SCENARIOS!$B$2,AC$1)</f>
        <v>0</v>
      </c>
      <c r="AD35" cm="1">
        <f t="array" ref="AD35">_xll.VALEUROUTPUT($A$923,_xlfn.CONCAT("THEME14=",$C35),SCENARIOS!$A$2,SCENARIOS!$B$2,AD$1)</f>
        <v>0</v>
      </c>
      <c r="AE35" cm="1">
        <f t="array" ref="AE35">_xll.VALEUROUTPUT($A$923,_xlfn.CONCAT("THEME14=",$C35),SCENARIOS!$A$2,SCENARIOS!$B$2,AE$1)</f>
        <v>0</v>
      </c>
      <c r="AF35" cm="1">
        <f t="array" ref="AF35">_xll.VALEUROUTPUT($A$923,_xlfn.CONCAT("THEME14=",$C35),SCENARIOS!$A$2,SCENARIOS!$B$2,AF$1)</f>
        <v>0</v>
      </c>
    </row>
    <row r="36" spans="1:32" x14ac:dyDescent="0.25">
      <c r="A36" t="str">
        <v>OSUPACTPL_PPF_T100%</v>
      </c>
      <c r="D36" cm="1">
        <f t="array" ref="D36">_xll.VALEUROUTPUT($A$923,_xlfn.CONCAT("THEME14=",$C36),SCENARIOS!$A$2,SCENARIOS!$B$2,D$1)</f>
        <v>0</v>
      </c>
      <c r="E36" cm="1">
        <f t="array" ref="E36">_xll.VALEUROUTPUT($A$923,_xlfn.CONCAT("THEME14=",$C36),SCENARIOS!$A$2,SCENARIOS!$B$2,E$1)</f>
        <v>0</v>
      </c>
      <c r="F36" cm="1">
        <f t="array" ref="F36">_xll.VALEUROUTPUT($A$923,_xlfn.CONCAT("THEME14=",$C36),SCENARIOS!$A$2,SCENARIOS!$B$2,F$1)</f>
        <v>0</v>
      </c>
      <c r="G36" cm="1">
        <f t="array" ref="G36">_xll.VALEUROUTPUT($A$923,_xlfn.CONCAT("THEME14=",$C36),SCENARIOS!$A$2,SCENARIOS!$B$2,G$1)</f>
        <v>0</v>
      </c>
      <c r="H36" cm="1">
        <f t="array" ref="H36">_xll.VALEUROUTPUT($A$923,_xlfn.CONCAT("THEME14=",$C36),SCENARIOS!$A$2,SCENARIOS!$B$2,H$1)</f>
        <v>0</v>
      </c>
      <c r="I36" cm="1">
        <f t="array" ref="I36">_xll.VALEUROUTPUT($A$923,_xlfn.CONCAT("THEME14=",$C36),SCENARIOS!$A$2,SCENARIOS!$B$2,I$1)</f>
        <v>0</v>
      </c>
      <c r="J36" cm="1">
        <f t="array" ref="J36">_xll.VALEUROUTPUT($A$923,_xlfn.CONCAT("THEME14=",$C36),SCENARIOS!$A$2,SCENARIOS!$B$2,J$1)</f>
        <v>0</v>
      </c>
      <c r="K36" cm="1">
        <f t="array" ref="K36">_xll.VALEUROUTPUT($A$923,_xlfn.CONCAT("THEME14=",$C36),SCENARIOS!$A$2,SCENARIOS!$B$2,K$1)</f>
        <v>0</v>
      </c>
      <c r="L36" cm="1">
        <f t="array" ref="L36">_xll.VALEUROUTPUT($A$923,_xlfn.CONCAT("THEME14=",$C36),SCENARIOS!$A$2,SCENARIOS!$B$2,L$1)</f>
        <v>0</v>
      </c>
      <c r="M36" cm="1">
        <f t="array" ref="M36">_xll.VALEUROUTPUT($A$923,_xlfn.CONCAT("THEME14=",$C36),SCENARIOS!$A$2,SCENARIOS!$B$2,M$1)</f>
        <v>0</v>
      </c>
      <c r="N36" cm="1">
        <f t="array" ref="N36">_xll.VALEUROUTPUT($A$923,_xlfn.CONCAT("THEME14=",$C36),SCENARIOS!$A$2,SCENARIOS!$B$2,N$1)</f>
        <v>0</v>
      </c>
      <c r="O36" cm="1">
        <f t="array" ref="O36">_xll.VALEUROUTPUT($A$923,_xlfn.CONCAT("THEME14=",$C36),SCENARIOS!$A$2,SCENARIOS!$B$2,O$1)</f>
        <v>0</v>
      </c>
      <c r="P36" cm="1">
        <f t="array" ref="P36">_xll.VALEUROUTPUT($A$923,_xlfn.CONCAT("THEME14=",$C36),SCENARIOS!$A$2,SCENARIOS!$B$2,P$1)</f>
        <v>0</v>
      </c>
      <c r="Q36" cm="1">
        <f t="array" ref="Q36">_xll.VALEUROUTPUT($A$923,_xlfn.CONCAT("THEME14=",$C36),SCENARIOS!$A$2,SCENARIOS!$B$2,Q$1)</f>
        <v>0</v>
      </c>
      <c r="R36" cm="1">
        <f t="array" ref="R36">_xll.VALEUROUTPUT($A$923,_xlfn.CONCAT("THEME14=",$C36),SCENARIOS!$A$2,SCENARIOS!$B$2,R$1)</f>
        <v>0</v>
      </c>
      <c r="S36" cm="1">
        <f t="array" ref="S36">_xll.VALEUROUTPUT($A$923,_xlfn.CONCAT("THEME14=",$C36),SCENARIOS!$A$2,SCENARIOS!$B$2,S$1)</f>
        <v>0</v>
      </c>
      <c r="T36" cm="1">
        <f t="array" ref="T36">_xll.VALEUROUTPUT($A$923,_xlfn.CONCAT("THEME14=",$C36),SCENARIOS!$A$2,SCENARIOS!$B$2,T$1)</f>
        <v>0</v>
      </c>
      <c r="U36" cm="1">
        <f t="array" ref="U36">_xll.VALEUROUTPUT($A$923,_xlfn.CONCAT("THEME14=",$C36),SCENARIOS!$A$2,SCENARIOS!$B$2,U$1)</f>
        <v>0</v>
      </c>
      <c r="V36" cm="1">
        <f t="array" ref="V36">_xll.VALEUROUTPUT($A$923,_xlfn.CONCAT("THEME14=",$C36),SCENARIOS!$A$2,SCENARIOS!$B$2,V$1)</f>
        <v>0</v>
      </c>
      <c r="W36" cm="1">
        <f t="array" ref="W36">_xll.VALEUROUTPUT($A$923,_xlfn.CONCAT("THEME14=",$C36),SCENARIOS!$A$2,SCENARIOS!$B$2,W$1)</f>
        <v>0</v>
      </c>
      <c r="X36" cm="1">
        <f t="array" ref="X36">_xll.VALEUROUTPUT($A$923,_xlfn.CONCAT("THEME14=",$C36),SCENARIOS!$A$2,SCENARIOS!$B$2,X$1)</f>
        <v>0</v>
      </c>
      <c r="Y36" cm="1">
        <f t="array" ref="Y36">_xll.VALEUROUTPUT($A$923,_xlfn.CONCAT("THEME14=",$C36),SCENARIOS!$A$2,SCENARIOS!$B$2,Y$1)</f>
        <v>0</v>
      </c>
      <c r="Z36" cm="1">
        <f t="array" ref="Z36">_xll.VALEUROUTPUT($A$923,_xlfn.CONCAT("THEME14=",$C36),SCENARIOS!$A$2,SCENARIOS!$B$2,Z$1)</f>
        <v>0</v>
      </c>
      <c r="AA36" cm="1">
        <f t="array" ref="AA36">_xll.VALEUROUTPUT($A$923,_xlfn.CONCAT("THEME14=",$C36),SCENARIOS!$A$2,SCENARIOS!$B$2,AA$1)</f>
        <v>0</v>
      </c>
      <c r="AB36" cm="1">
        <f t="array" ref="AB36">_xll.VALEUROUTPUT($A$923,_xlfn.CONCAT("THEME14=",$C36),SCENARIOS!$A$2,SCENARIOS!$B$2,AB$1)</f>
        <v>0</v>
      </c>
      <c r="AC36" cm="1">
        <f t="array" ref="AC36">_xll.VALEUROUTPUT($A$923,_xlfn.CONCAT("THEME14=",$C36),SCENARIOS!$A$2,SCENARIOS!$B$2,AC$1)</f>
        <v>0</v>
      </c>
      <c r="AD36" cm="1">
        <f t="array" ref="AD36">_xll.VALEUROUTPUT($A$923,_xlfn.CONCAT("THEME14=",$C36),SCENARIOS!$A$2,SCENARIOS!$B$2,AD$1)</f>
        <v>0</v>
      </c>
      <c r="AE36" cm="1">
        <f t="array" ref="AE36">_xll.VALEUROUTPUT($A$923,_xlfn.CONCAT("THEME14=",$C36),SCENARIOS!$A$2,SCENARIOS!$B$2,AE$1)</f>
        <v>0</v>
      </c>
      <c r="AF36" cm="1">
        <f t="array" ref="AF36">_xll.VALEUROUTPUT($A$923,_xlfn.CONCAT("THEME14=",$C36),SCENARIOS!$A$2,SCENARIOS!$B$2,AF$1)</f>
        <v>0</v>
      </c>
    </row>
    <row r="37" spans="1:32" x14ac:dyDescent="0.25">
      <c r="A37" t="str">
        <v>OSUPACTPL_SEPM_E_T100%</v>
      </c>
      <c r="D37" cm="1">
        <f t="array" ref="D37">_xll.VALEUROUTPUT($A$923,_xlfn.CONCAT("THEME14=",$C37),SCENARIOS!$A$2,SCENARIOS!$B$2,D$1)</f>
        <v>0</v>
      </c>
      <c r="E37" cm="1">
        <f t="array" ref="E37">_xll.VALEUROUTPUT($A$923,_xlfn.CONCAT("THEME14=",$C37),SCENARIOS!$A$2,SCENARIOS!$B$2,E$1)</f>
        <v>0</v>
      </c>
      <c r="F37" cm="1">
        <f t="array" ref="F37">_xll.VALEUROUTPUT($A$923,_xlfn.CONCAT("THEME14=",$C37),SCENARIOS!$A$2,SCENARIOS!$B$2,F$1)</f>
        <v>0</v>
      </c>
      <c r="G37" cm="1">
        <f t="array" ref="G37">_xll.VALEUROUTPUT($A$923,_xlfn.CONCAT("THEME14=",$C37),SCENARIOS!$A$2,SCENARIOS!$B$2,G$1)</f>
        <v>0</v>
      </c>
      <c r="H37" cm="1">
        <f t="array" ref="H37">_xll.VALEUROUTPUT($A$923,_xlfn.CONCAT("THEME14=",$C37),SCENARIOS!$A$2,SCENARIOS!$B$2,H$1)</f>
        <v>0</v>
      </c>
      <c r="I37" cm="1">
        <f t="array" ref="I37">_xll.VALEUROUTPUT($A$923,_xlfn.CONCAT("THEME14=",$C37),SCENARIOS!$A$2,SCENARIOS!$B$2,I$1)</f>
        <v>0</v>
      </c>
      <c r="J37" cm="1">
        <f t="array" ref="J37">_xll.VALEUROUTPUT($A$923,_xlfn.CONCAT("THEME14=",$C37),SCENARIOS!$A$2,SCENARIOS!$B$2,J$1)</f>
        <v>0</v>
      </c>
      <c r="K37" cm="1">
        <f t="array" ref="K37">_xll.VALEUROUTPUT($A$923,_xlfn.CONCAT("THEME14=",$C37),SCENARIOS!$A$2,SCENARIOS!$B$2,K$1)</f>
        <v>0</v>
      </c>
      <c r="L37" cm="1">
        <f t="array" ref="L37">_xll.VALEUROUTPUT($A$923,_xlfn.CONCAT("THEME14=",$C37),SCENARIOS!$A$2,SCENARIOS!$B$2,L$1)</f>
        <v>0</v>
      </c>
      <c r="M37" cm="1">
        <f t="array" ref="M37">_xll.VALEUROUTPUT($A$923,_xlfn.CONCAT("THEME14=",$C37),SCENARIOS!$A$2,SCENARIOS!$B$2,M$1)</f>
        <v>0</v>
      </c>
      <c r="N37" cm="1">
        <f t="array" ref="N37">_xll.VALEUROUTPUT($A$923,_xlfn.CONCAT("THEME14=",$C37),SCENARIOS!$A$2,SCENARIOS!$B$2,N$1)</f>
        <v>0</v>
      </c>
      <c r="O37" cm="1">
        <f t="array" ref="O37">_xll.VALEUROUTPUT($A$923,_xlfn.CONCAT("THEME14=",$C37),SCENARIOS!$A$2,SCENARIOS!$B$2,O$1)</f>
        <v>0</v>
      </c>
      <c r="P37" cm="1">
        <f t="array" ref="P37">_xll.VALEUROUTPUT($A$923,_xlfn.CONCAT("THEME14=",$C37),SCENARIOS!$A$2,SCENARIOS!$B$2,P$1)</f>
        <v>0</v>
      </c>
      <c r="Q37" cm="1">
        <f t="array" ref="Q37">_xll.VALEUROUTPUT($A$923,_xlfn.CONCAT("THEME14=",$C37),SCENARIOS!$A$2,SCENARIOS!$B$2,Q$1)</f>
        <v>0</v>
      </c>
      <c r="R37" cm="1">
        <f t="array" ref="R37">_xll.VALEUROUTPUT($A$923,_xlfn.CONCAT("THEME14=",$C37),SCENARIOS!$A$2,SCENARIOS!$B$2,R$1)</f>
        <v>0</v>
      </c>
      <c r="S37" cm="1">
        <f t="array" ref="S37">_xll.VALEUROUTPUT($A$923,_xlfn.CONCAT("THEME14=",$C37),SCENARIOS!$A$2,SCENARIOS!$B$2,S$1)</f>
        <v>0</v>
      </c>
      <c r="T37" cm="1">
        <f t="array" ref="T37">_xll.VALEUROUTPUT($A$923,_xlfn.CONCAT("THEME14=",$C37),SCENARIOS!$A$2,SCENARIOS!$B$2,T$1)</f>
        <v>0</v>
      </c>
      <c r="U37" cm="1">
        <f t="array" ref="U37">_xll.VALEUROUTPUT($A$923,_xlfn.CONCAT("THEME14=",$C37),SCENARIOS!$A$2,SCENARIOS!$B$2,U$1)</f>
        <v>0</v>
      </c>
      <c r="V37" cm="1">
        <f t="array" ref="V37">_xll.VALEUROUTPUT($A$923,_xlfn.CONCAT("THEME14=",$C37),SCENARIOS!$A$2,SCENARIOS!$B$2,V$1)</f>
        <v>0</v>
      </c>
      <c r="W37" cm="1">
        <f t="array" ref="W37">_xll.VALEUROUTPUT($A$923,_xlfn.CONCAT("THEME14=",$C37),SCENARIOS!$A$2,SCENARIOS!$B$2,W$1)</f>
        <v>0</v>
      </c>
      <c r="X37" cm="1">
        <f t="array" ref="X37">_xll.VALEUROUTPUT($A$923,_xlfn.CONCAT("THEME14=",$C37),SCENARIOS!$A$2,SCENARIOS!$B$2,X$1)</f>
        <v>0</v>
      </c>
      <c r="Y37" cm="1">
        <f t="array" ref="Y37">_xll.VALEUROUTPUT($A$923,_xlfn.CONCAT("THEME14=",$C37),SCENARIOS!$A$2,SCENARIOS!$B$2,Y$1)</f>
        <v>0</v>
      </c>
      <c r="Z37" cm="1">
        <f t="array" ref="Z37">_xll.VALEUROUTPUT($A$923,_xlfn.CONCAT("THEME14=",$C37),SCENARIOS!$A$2,SCENARIOS!$B$2,Z$1)</f>
        <v>0</v>
      </c>
      <c r="AA37" cm="1">
        <f t="array" ref="AA37">_xll.VALEUROUTPUT($A$923,_xlfn.CONCAT("THEME14=",$C37),SCENARIOS!$A$2,SCENARIOS!$B$2,AA$1)</f>
        <v>0</v>
      </c>
      <c r="AB37" cm="1">
        <f t="array" ref="AB37">_xll.VALEUROUTPUT($A$923,_xlfn.CONCAT("THEME14=",$C37),SCENARIOS!$A$2,SCENARIOS!$B$2,AB$1)</f>
        <v>0</v>
      </c>
      <c r="AC37" cm="1">
        <f t="array" ref="AC37">_xll.VALEUROUTPUT($A$923,_xlfn.CONCAT("THEME14=",$C37),SCENARIOS!$A$2,SCENARIOS!$B$2,AC$1)</f>
        <v>0</v>
      </c>
      <c r="AD37" cm="1">
        <f t="array" ref="AD37">_xll.VALEUROUTPUT($A$923,_xlfn.CONCAT("THEME14=",$C37),SCENARIOS!$A$2,SCENARIOS!$B$2,AD$1)</f>
        <v>0</v>
      </c>
      <c r="AE37" cm="1">
        <f t="array" ref="AE37">_xll.VALEUROUTPUT($A$923,_xlfn.CONCAT("THEME14=",$C37),SCENARIOS!$A$2,SCENARIOS!$B$2,AE$1)</f>
        <v>0</v>
      </c>
      <c r="AF37" cm="1">
        <f t="array" ref="AF37">_xll.VALEUROUTPUT($A$923,_xlfn.CONCAT("THEME14=",$C37),SCENARIOS!$A$2,SCENARIOS!$B$2,AF$1)</f>
        <v>0</v>
      </c>
    </row>
    <row r="38" spans="1:32" x14ac:dyDescent="0.25">
      <c r="A38" t="str">
        <v>OSUPACTPL_SEPM_I_T100%</v>
      </c>
      <c r="D38" cm="1">
        <f t="array" ref="D38">_xll.VALEUROUTPUT($A$923,_xlfn.CONCAT("THEME14=",$C38),SCENARIOS!$A$2,SCENARIOS!$B$2,D$1)</f>
        <v>0</v>
      </c>
      <c r="E38" cm="1">
        <f t="array" ref="E38">_xll.VALEUROUTPUT($A$923,_xlfn.CONCAT("THEME14=",$C38),SCENARIOS!$A$2,SCENARIOS!$B$2,E$1)</f>
        <v>0</v>
      </c>
      <c r="F38" cm="1">
        <f t="array" ref="F38">_xll.VALEUROUTPUT($A$923,_xlfn.CONCAT("THEME14=",$C38),SCENARIOS!$A$2,SCENARIOS!$B$2,F$1)</f>
        <v>0</v>
      </c>
      <c r="G38" cm="1">
        <f t="array" ref="G38">_xll.VALEUROUTPUT($A$923,_xlfn.CONCAT("THEME14=",$C38),SCENARIOS!$A$2,SCENARIOS!$B$2,G$1)</f>
        <v>0</v>
      </c>
      <c r="H38" cm="1">
        <f t="array" ref="H38">_xll.VALEUROUTPUT($A$923,_xlfn.CONCAT("THEME14=",$C38),SCENARIOS!$A$2,SCENARIOS!$B$2,H$1)</f>
        <v>0</v>
      </c>
      <c r="I38" cm="1">
        <f t="array" ref="I38">_xll.VALEUROUTPUT($A$923,_xlfn.CONCAT("THEME14=",$C38),SCENARIOS!$A$2,SCENARIOS!$B$2,I$1)</f>
        <v>0</v>
      </c>
      <c r="J38" cm="1">
        <f t="array" ref="J38">_xll.VALEUROUTPUT($A$923,_xlfn.CONCAT("THEME14=",$C38),SCENARIOS!$A$2,SCENARIOS!$B$2,J$1)</f>
        <v>0</v>
      </c>
      <c r="K38" cm="1">
        <f t="array" ref="K38">_xll.VALEUROUTPUT($A$923,_xlfn.CONCAT("THEME14=",$C38),SCENARIOS!$A$2,SCENARIOS!$B$2,K$1)</f>
        <v>0</v>
      </c>
      <c r="L38" cm="1">
        <f t="array" ref="L38">_xll.VALEUROUTPUT($A$923,_xlfn.CONCAT("THEME14=",$C38),SCENARIOS!$A$2,SCENARIOS!$B$2,L$1)</f>
        <v>0</v>
      </c>
      <c r="M38" cm="1">
        <f t="array" ref="M38">_xll.VALEUROUTPUT($A$923,_xlfn.CONCAT("THEME14=",$C38),SCENARIOS!$A$2,SCENARIOS!$B$2,M$1)</f>
        <v>0</v>
      </c>
      <c r="N38" cm="1">
        <f t="array" ref="N38">_xll.VALEUROUTPUT($A$923,_xlfn.CONCAT("THEME14=",$C38),SCENARIOS!$A$2,SCENARIOS!$B$2,N$1)</f>
        <v>0</v>
      </c>
      <c r="O38" cm="1">
        <f t="array" ref="O38">_xll.VALEUROUTPUT($A$923,_xlfn.CONCAT("THEME14=",$C38),SCENARIOS!$A$2,SCENARIOS!$B$2,O$1)</f>
        <v>0</v>
      </c>
      <c r="P38" cm="1">
        <f t="array" ref="P38">_xll.VALEUROUTPUT($A$923,_xlfn.CONCAT("THEME14=",$C38),SCENARIOS!$A$2,SCENARIOS!$B$2,P$1)</f>
        <v>0</v>
      </c>
      <c r="Q38" cm="1">
        <f t="array" ref="Q38">_xll.VALEUROUTPUT($A$923,_xlfn.CONCAT("THEME14=",$C38),SCENARIOS!$A$2,SCENARIOS!$B$2,Q$1)</f>
        <v>0</v>
      </c>
      <c r="R38" cm="1">
        <f t="array" ref="R38">_xll.VALEUROUTPUT($A$923,_xlfn.CONCAT("THEME14=",$C38),SCENARIOS!$A$2,SCENARIOS!$B$2,R$1)</f>
        <v>0</v>
      </c>
      <c r="S38" cm="1">
        <f t="array" ref="S38">_xll.VALEUROUTPUT($A$923,_xlfn.CONCAT("THEME14=",$C38),SCENARIOS!$A$2,SCENARIOS!$B$2,S$1)</f>
        <v>0</v>
      </c>
      <c r="T38" cm="1">
        <f t="array" ref="T38">_xll.VALEUROUTPUT($A$923,_xlfn.CONCAT("THEME14=",$C38),SCENARIOS!$A$2,SCENARIOS!$B$2,T$1)</f>
        <v>0</v>
      </c>
      <c r="U38" cm="1">
        <f t="array" ref="U38">_xll.VALEUROUTPUT($A$923,_xlfn.CONCAT("THEME14=",$C38),SCENARIOS!$A$2,SCENARIOS!$B$2,U$1)</f>
        <v>0</v>
      </c>
      <c r="V38" cm="1">
        <f t="array" ref="V38">_xll.VALEUROUTPUT($A$923,_xlfn.CONCAT("THEME14=",$C38),SCENARIOS!$A$2,SCENARIOS!$B$2,V$1)</f>
        <v>0</v>
      </c>
      <c r="W38" cm="1">
        <f t="array" ref="W38">_xll.VALEUROUTPUT($A$923,_xlfn.CONCAT("THEME14=",$C38),SCENARIOS!$A$2,SCENARIOS!$B$2,W$1)</f>
        <v>0</v>
      </c>
      <c r="X38" cm="1">
        <f t="array" ref="X38">_xll.VALEUROUTPUT($A$923,_xlfn.CONCAT("THEME14=",$C38),SCENARIOS!$A$2,SCENARIOS!$B$2,X$1)</f>
        <v>0</v>
      </c>
      <c r="Y38" cm="1">
        <f t="array" ref="Y38">_xll.VALEUROUTPUT($A$923,_xlfn.CONCAT("THEME14=",$C38),SCENARIOS!$A$2,SCENARIOS!$B$2,Y$1)</f>
        <v>0</v>
      </c>
      <c r="Z38" cm="1">
        <f t="array" ref="Z38">_xll.VALEUROUTPUT($A$923,_xlfn.CONCAT("THEME14=",$C38),SCENARIOS!$A$2,SCENARIOS!$B$2,Z$1)</f>
        <v>0</v>
      </c>
      <c r="AA38" cm="1">
        <f t="array" ref="AA38">_xll.VALEUROUTPUT($A$923,_xlfn.CONCAT("THEME14=",$C38),SCENARIOS!$A$2,SCENARIOS!$B$2,AA$1)</f>
        <v>0</v>
      </c>
      <c r="AB38" cm="1">
        <f t="array" ref="AB38">_xll.VALEUROUTPUT($A$923,_xlfn.CONCAT("THEME14=",$C38),SCENARIOS!$A$2,SCENARIOS!$B$2,AB$1)</f>
        <v>0</v>
      </c>
      <c r="AC38" cm="1">
        <f t="array" ref="AC38">_xll.VALEUROUTPUT($A$923,_xlfn.CONCAT("THEME14=",$C38),SCENARIOS!$A$2,SCENARIOS!$B$2,AC$1)</f>
        <v>0</v>
      </c>
      <c r="AD38" cm="1">
        <f t="array" ref="AD38">_xll.VALEUROUTPUT($A$923,_xlfn.CONCAT("THEME14=",$C38),SCENARIOS!$A$2,SCENARIOS!$B$2,AD$1)</f>
        <v>0</v>
      </c>
      <c r="AE38" cm="1">
        <f t="array" ref="AE38">_xll.VALEUROUTPUT($A$923,_xlfn.CONCAT("THEME14=",$C38),SCENARIOS!$A$2,SCENARIOS!$B$2,AE$1)</f>
        <v>0</v>
      </c>
      <c r="AF38" cm="1">
        <f t="array" ref="AF38">_xll.VALEUROUTPUT($A$923,_xlfn.CONCAT("THEME14=",$C38),SCENARIOS!$A$2,SCENARIOS!$B$2,AF$1)</f>
        <v>0</v>
      </c>
    </row>
    <row r="39" spans="1:32" x14ac:dyDescent="0.25">
      <c r="A39" t="str">
        <v>OSUPPL_PPF_T100%</v>
      </c>
      <c r="D39" cm="1">
        <f t="array" ref="D39">_xll.VALEUROUTPUT($A$923,_xlfn.CONCAT("THEME14=",$C39),SCENARIOS!$A$2,SCENARIOS!$B$2,D$1)</f>
        <v>0</v>
      </c>
      <c r="E39" cm="1">
        <f t="array" ref="E39">_xll.VALEUROUTPUT($A$923,_xlfn.CONCAT("THEME14=",$C39),SCENARIOS!$A$2,SCENARIOS!$B$2,E$1)</f>
        <v>0</v>
      </c>
      <c r="F39" cm="1">
        <f t="array" ref="F39">_xll.VALEUROUTPUT($A$923,_xlfn.CONCAT("THEME14=",$C39),SCENARIOS!$A$2,SCENARIOS!$B$2,F$1)</f>
        <v>0</v>
      </c>
      <c r="G39" cm="1">
        <f t="array" ref="G39">_xll.VALEUROUTPUT($A$923,_xlfn.CONCAT("THEME14=",$C39),SCENARIOS!$A$2,SCENARIOS!$B$2,G$1)</f>
        <v>0</v>
      </c>
      <c r="H39" cm="1">
        <f t="array" ref="H39">_xll.VALEUROUTPUT($A$923,_xlfn.CONCAT("THEME14=",$C39),SCENARIOS!$A$2,SCENARIOS!$B$2,H$1)</f>
        <v>0</v>
      </c>
      <c r="I39" cm="1">
        <f t="array" ref="I39">_xll.VALEUROUTPUT($A$923,_xlfn.CONCAT("THEME14=",$C39),SCENARIOS!$A$2,SCENARIOS!$B$2,I$1)</f>
        <v>0</v>
      </c>
      <c r="J39" cm="1">
        <f t="array" ref="J39">_xll.VALEUROUTPUT($A$923,_xlfn.CONCAT("THEME14=",$C39),SCENARIOS!$A$2,SCENARIOS!$B$2,J$1)</f>
        <v>0</v>
      </c>
      <c r="K39" cm="1">
        <f t="array" ref="K39">_xll.VALEUROUTPUT($A$923,_xlfn.CONCAT("THEME14=",$C39),SCENARIOS!$A$2,SCENARIOS!$B$2,K$1)</f>
        <v>0</v>
      </c>
      <c r="L39" cm="1">
        <f t="array" ref="L39">_xll.VALEUROUTPUT($A$923,_xlfn.CONCAT("THEME14=",$C39),SCENARIOS!$A$2,SCENARIOS!$B$2,L$1)</f>
        <v>0</v>
      </c>
      <c r="M39" cm="1">
        <f t="array" ref="M39">_xll.VALEUROUTPUT($A$923,_xlfn.CONCAT("THEME14=",$C39),SCENARIOS!$A$2,SCENARIOS!$B$2,M$1)</f>
        <v>0</v>
      </c>
      <c r="N39" cm="1">
        <f t="array" ref="N39">_xll.VALEUROUTPUT($A$923,_xlfn.CONCAT("THEME14=",$C39),SCENARIOS!$A$2,SCENARIOS!$B$2,N$1)</f>
        <v>0</v>
      </c>
      <c r="O39" cm="1">
        <f t="array" ref="O39">_xll.VALEUROUTPUT($A$923,_xlfn.CONCAT("THEME14=",$C39),SCENARIOS!$A$2,SCENARIOS!$B$2,O$1)</f>
        <v>0</v>
      </c>
      <c r="P39" cm="1">
        <f t="array" ref="P39">_xll.VALEUROUTPUT($A$923,_xlfn.CONCAT("THEME14=",$C39),SCENARIOS!$A$2,SCENARIOS!$B$2,P$1)</f>
        <v>0</v>
      </c>
      <c r="Q39" cm="1">
        <f t="array" ref="Q39">_xll.VALEUROUTPUT($A$923,_xlfn.CONCAT("THEME14=",$C39),SCENARIOS!$A$2,SCENARIOS!$B$2,Q$1)</f>
        <v>0</v>
      </c>
      <c r="R39" cm="1">
        <f t="array" ref="R39">_xll.VALEUROUTPUT($A$923,_xlfn.CONCAT("THEME14=",$C39),SCENARIOS!$A$2,SCENARIOS!$B$2,R$1)</f>
        <v>0</v>
      </c>
      <c r="S39" cm="1">
        <f t="array" ref="S39">_xll.VALEUROUTPUT($A$923,_xlfn.CONCAT("THEME14=",$C39),SCENARIOS!$A$2,SCENARIOS!$B$2,S$1)</f>
        <v>0</v>
      </c>
      <c r="T39" cm="1">
        <f t="array" ref="T39">_xll.VALEUROUTPUT($A$923,_xlfn.CONCAT("THEME14=",$C39),SCENARIOS!$A$2,SCENARIOS!$B$2,T$1)</f>
        <v>0</v>
      </c>
      <c r="U39" cm="1">
        <f t="array" ref="U39">_xll.VALEUROUTPUT($A$923,_xlfn.CONCAT("THEME14=",$C39),SCENARIOS!$A$2,SCENARIOS!$B$2,U$1)</f>
        <v>0</v>
      </c>
      <c r="V39" cm="1">
        <f t="array" ref="V39">_xll.VALEUROUTPUT($A$923,_xlfn.CONCAT("THEME14=",$C39),SCENARIOS!$A$2,SCENARIOS!$B$2,V$1)</f>
        <v>0</v>
      </c>
      <c r="W39" cm="1">
        <f t="array" ref="W39">_xll.VALEUROUTPUT($A$923,_xlfn.CONCAT("THEME14=",$C39),SCENARIOS!$A$2,SCENARIOS!$B$2,W$1)</f>
        <v>0</v>
      </c>
      <c r="X39" cm="1">
        <f t="array" ref="X39">_xll.VALEUROUTPUT($A$923,_xlfn.CONCAT("THEME14=",$C39),SCENARIOS!$A$2,SCENARIOS!$B$2,X$1)</f>
        <v>0</v>
      </c>
      <c r="Y39" cm="1">
        <f t="array" ref="Y39">_xll.VALEUROUTPUT($A$923,_xlfn.CONCAT("THEME14=",$C39),SCENARIOS!$A$2,SCENARIOS!$B$2,Y$1)</f>
        <v>0</v>
      </c>
      <c r="Z39" cm="1">
        <f t="array" ref="Z39">_xll.VALEUROUTPUT($A$923,_xlfn.CONCAT("THEME14=",$C39),SCENARIOS!$A$2,SCENARIOS!$B$2,Z$1)</f>
        <v>0</v>
      </c>
      <c r="AA39" cm="1">
        <f t="array" ref="AA39">_xll.VALEUROUTPUT($A$923,_xlfn.CONCAT("THEME14=",$C39),SCENARIOS!$A$2,SCENARIOS!$B$2,AA$1)</f>
        <v>0</v>
      </c>
      <c r="AB39" cm="1">
        <f t="array" ref="AB39">_xll.VALEUROUTPUT($A$923,_xlfn.CONCAT("THEME14=",$C39),SCENARIOS!$A$2,SCENARIOS!$B$2,AB$1)</f>
        <v>0</v>
      </c>
      <c r="AC39" cm="1">
        <f t="array" ref="AC39">_xll.VALEUROUTPUT($A$923,_xlfn.CONCAT("THEME14=",$C39),SCENARIOS!$A$2,SCENARIOS!$B$2,AC$1)</f>
        <v>0</v>
      </c>
      <c r="AD39" cm="1">
        <f t="array" ref="AD39">_xll.VALEUROUTPUT($A$923,_xlfn.CONCAT("THEME14=",$C39),SCENARIOS!$A$2,SCENARIOS!$B$2,AD$1)</f>
        <v>0</v>
      </c>
      <c r="AE39" cm="1">
        <f t="array" ref="AE39">_xll.VALEUROUTPUT($A$923,_xlfn.CONCAT("THEME14=",$C39),SCENARIOS!$A$2,SCENARIOS!$B$2,AE$1)</f>
        <v>0</v>
      </c>
      <c r="AF39" cm="1">
        <f t="array" ref="AF39">_xll.VALEUROUTPUT($A$923,_xlfn.CONCAT("THEME14=",$C39),SCENARIOS!$A$2,SCENARIOS!$B$2,AF$1)</f>
        <v>0</v>
      </c>
    </row>
    <row r="40" spans="1:32" x14ac:dyDescent="0.25">
      <c r="A40" t="str">
        <v>OSUPPL_SEPM_E_T100%</v>
      </c>
      <c r="D40" cm="1">
        <f t="array" ref="D40">_xll.VALEUROUTPUT($A$923,_xlfn.CONCAT("THEME14=",$C40),SCENARIOS!$A$2,SCENARIOS!$B$2,D$1)</f>
        <v>0</v>
      </c>
      <c r="E40" cm="1">
        <f t="array" ref="E40">_xll.VALEUROUTPUT($A$923,_xlfn.CONCAT("THEME14=",$C40),SCENARIOS!$A$2,SCENARIOS!$B$2,E$1)</f>
        <v>0</v>
      </c>
      <c r="F40" cm="1">
        <f t="array" ref="F40">_xll.VALEUROUTPUT($A$923,_xlfn.CONCAT("THEME14=",$C40),SCENARIOS!$A$2,SCENARIOS!$B$2,F$1)</f>
        <v>0</v>
      </c>
      <c r="G40" cm="1">
        <f t="array" ref="G40">_xll.VALEUROUTPUT($A$923,_xlfn.CONCAT("THEME14=",$C40),SCENARIOS!$A$2,SCENARIOS!$B$2,G$1)</f>
        <v>0</v>
      </c>
      <c r="H40" cm="1">
        <f t="array" ref="H40">_xll.VALEUROUTPUT($A$923,_xlfn.CONCAT("THEME14=",$C40),SCENARIOS!$A$2,SCENARIOS!$B$2,H$1)</f>
        <v>0</v>
      </c>
      <c r="I40" cm="1">
        <f t="array" ref="I40">_xll.VALEUROUTPUT($A$923,_xlfn.CONCAT("THEME14=",$C40),SCENARIOS!$A$2,SCENARIOS!$B$2,I$1)</f>
        <v>0</v>
      </c>
      <c r="J40" cm="1">
        <f t="array" ref="J40">_xll.VALEUROUTPUT($A$923,_xlfn.CONCAT("THEME14=",$C40),SCENARIOS!$A$2,SCENARIOS!$B$2,J$1)</f>
        <v>0</v>
      </c>
      <c r="K40" cm="1">
        <f t="array" ref="K40">_xll.VALEUROUTPUT($A$923,_xlfn.CONCAT("THEME14=",$C40),SCENARIOS!$A$2,SCENARIOS!$B$2,K$1)</f>
        <v>0</v>
      </c>
      <c r="L40" cm="1">
        <f t="array" ref="L40">_xll.VALEUROUTPUT($A$923,_xlfn.CONCAT("THEME14=",$C40),SCENARIOS!$A$2,SCENARIOS!$B$2,L$1)</f>
        <v>0</v>
      </c>
      <c r="M40" cm="1">
        <f t="array" ref="M40">_xll.VALEUROUTPUT($A$923,_xlfn.CONCAT("THEME14=",$C40),SCENARIOS!$A$2,SCENARIOS!$B$2,M$1)</f>
        <v>0</v>
      </c>
      <c r="N40" cm="1">
        <f t="array" ref="N40">_xll.VALEUROUTPUT($A$923,_xlfn.CONCAT("THEME14=",$C40),SCENARIOS!$A$2,SCENARIOS!$B$2,N$1)</f>
        <v>0</v>
      </c>
      <c r="O40" cm="1">
        <f t="array" ref="O40">_xll.VALEUROUTPUT($A$923,_xlfn.CONCAT("THEME14=",$C40),SCENARIOS!$A$2,SCENARIOS!$B$2,O$1)</f>
        <v>0</v>
      </c>
      <c r="P40" cm="1">
        <f t="array" ref="P40">_xll.VALEUROUTPUT($A$923,_xlfn.CONCAT("THEME14=",$C40),SCENARIOS!$A$2,SCENARIOS!$B$2,P$1)</f>
        <v>0</v>
      </c>
      <c r="Q40" cm="1">
        <f t="array" ref="Q40">_xll.VALEUROUTPUT($A$923,_xlfn.CONCAT("THEME14=",$C40),SCENARIOS!$A$2,SCENARIOS!$B$2,Q$1)</f>
        <v>0</v>
      </c>
      <c r="R40" cm="1">
        <f t="array" ref="R40">_xll.VALEUROUTPUT($A$923,_xlfn.CONCAT("THEME14=",$C40),SCENARIOS!$A$2,SCENARIOS!$B$2,R$1)</f>
        <v>0</v>
      </c>
      <c r="S40" cm="1">
        <f t="array" ref="S40">_xll.VALEUROUTPUT($A$923,_xlfn.CONCAT("THEME14=",$C40),SCENARIOS!$A$2,SCENARIOS!$B$2,S$1)</f>
        <v>0</v>
      </c>
      <c r="T40" cm="1">
        <f t="array" ref="T40">_xll.VALEUROUTPUT($A$923,_xlfn.CONCAT("THEME14=",$C40),SCENARIOS!$A$2,SCENARIOS!$B$2,T$1)</f>
        <v>0</v>
      </c>
      <c r="U40" cm="1">
        <f t="array" ref="U40">_xll.VALEUROUTPUT($A$923,_xlfn.CONCAT("THEME14=",$C40),SCENARIOS!$A$2,SCENARIOS!$B$2,U$1)</f>
        <v>0</v>
      </c>
      <c r="V40" cm="1">
        <f t="array" ref="V40">_xll.VALEUROUTPUT($A$923,_xlfn.CONCAT("THEME14=",$C40),SCENARIOS!$A$2,SCENARIOS!$B$2,V$1)</f>
        <v>0</v>
      </c>
      <c r="W40" cm="1">
        <f t="array" ref="W40">_xll.VALEUROUTPUT($A$923,_xlfn.CONCAT("THEME14=",$C40),SCENARIOS!$A$2,SCENARIOS!$B$2,W$1)</f>
        <v>0</v>
      </c>
      <c r="X40" cm="1">
        <f t="array" ref="X40">_xll.VALEUROUTPUT($A$923,_xlfn.CONCAT("THEME14=",$C40),SCENARIOS!$A$2,SCENARIOS!$B$2,X$1)</f>
        <v>0</v>
      </c>
      <c r="Y40" cm="1">
        <f t="array" ref="Y40">_xll.VALEUROUTPUT($A$923,_xlfn.CONCAT("THEME14=",$C40),SCENARIOS!$A$2,SCENARIOS!$B$2,Y$1)</f>
        <v>0</v>
      </c>
      <c r="Z40" cm="1">
        <f t="array" ref="Z40">_xll.VALEUROUTPUT($A$923,_xlfn.CONCAT("THEME14=",$C40),SCENARIOS!$A$2,SCENARIOS!$B$2,Z$1)</f>
        <v>0</v>
      </c>
      <c r="AA40" cm="1">
        <f t="array" ref="AA40">_xll.VALEUROUTPUT($A$923,_xlfn.CONCAT("THEME14=",$C40),SCENARIOS!$A$2,SCENARIOS!$B$2,AA$1)</f>
        <v>0</v>
      </c>
      <c r="AB40" cm="1">
        <f t="array" ref="AB40">_xll.VALEUROUTPUT($A$923,_xlfn.CONCAT("THEME14=",$C40),SCENARIOS!$A$2,SCENARIOS!$B$2,AB$1)</f>
        <v>0</v>
      </c>
      <c r="AC40" cm="1">
        <f t="array" ref="AC40">_xll.VALEUROUTPUT($A$923,_xlfn.CONCAT("THEME14=",$C40),SCENARIOS!$A$2,SCENARIOS!$B$2,AC$1)</f>
        <v>0</v>
      </c>
      <c r="AD40" cm="1">
        <f t="array" ref="AD40">_xll.VALEUROUTPUT($A$923,_xlfn.CONCAT("THEME14=",$C40),SCENARIOS!$A$2,SCENARIOS!$B$2,AD$1)</f>
        <v>0</v>
      </c>
      <c r="AE40" cm="1">
        <f t="array" ref="AE40">_xll.VALEUROUTPUT($A$923,_xlfn.CONCAT("THEME14=",$C40),SCENARIOS!$A$2,SCENARIOS!$B$2,AE$1)</f>
        <v>0</v>
      </c>
      <c r="AF40" cm="1">
        <f t="array" ref="AF40">_xll.VALEUROUTPUT($A$923,_xlfn.CONCAT("THEME14=",$C40),SCENARIOS!$A$2,SCENARIOS!$B$2,AF$1)</f>
        <v>0</v>
      </c>
    </row>
    <row r="41" spans="1:32" x14ac:dyDescent="0.25">
      <c r="A41" t="str">
        <v>OSUPPL_SEPM_I_T100%</v>
      </c>
      <c r="D41" cm="1">
        <f t="array" ref="D41">_xll.VALEUROUTPUT($A$923,_xlfn.CONCAT("THEME14=",$C41),SCENARIOS!$A$2,SCENARIOS!$B$2,D$1)</f>
        <v>0</v>
      </c>
      <c r="E41" cm="1">
        <f t="array" ref="E41">_xll.VALEUROUTPUT($A$923,_xlfn.CONCAT("THEME14=",$C41),SCENARIOS!$A$2,SCENARIOS!$B$2,E$1)</f>
        <v>0</v>
      </c>
      <c r="F41" cm="1">
        <f t="array" ref="F41">_xll.VALEUROUTPUT($A$923,_xlfn.CONCAT("THEME14=",$C41),SCENARIOS!$A$2,SCENARIOS!$B$2,F$1)</f>
        <v>0</v>
      </c>
      <c r="G41" cm="1">
        <f t="array" ref="G41">_xll.VALEUROUTPUT($A$923,_xlfn.CONCAT("THEME14=",$C41),SCENARIOS!$A$2,SCENARIOS!$B$2,G$1)</f>
        <v>0</v>
      </c>
      <c r="H41" cm="1">
        <f t="array" ref="H41">_xll.VALEUROUTPUT($A$923,_xlfn.CONCAT("THEME14=",$C41),SCENARIOS!$A$2,SCENARIOS!$B$2,H$1)</f>
        <v>0</v>
      </c>
      <c r="I41" cm="1">
        <f t="array" ref="I41">_xll.VALEUROUTPUT($A$923,_xlfn.CONCAT("THEME14=",$C41),SCENARIOS!$A$2,SCENARIOS!$B$2,I$1)</f>
        <v>0</v>
      </c>
      <c r="J41" cm="1">
        <f t="array" ref="J41">_xll.VALEUROUTPUT($A$923,_xlfn.CONCAT("THEME14=",$C41),SCENARIOS!$A$2,SCENARIOS!$B$2,J$1)</f>
        <v>0</v>
      </c>
      <c r="K41" cm="1">
        <f t="array" ref="K41">_xll.VALEUROUTPUT($A$923,_xlfn.CONCAT("THEME14=",$C41),SCENARIOS!$A$2,SCENARIOS!$B$2,K$1)</f>
        <v>0</v>
      </c>
      <c r="L41" cm="1">
        <f t="array" ref="L41">_xll.VALEUROUTPUT($A$923,_xlfn.CONCAT("THEME14=",$C41),SCENARIOS!$A$2,SCENARIOS!$B$2,L$1)</f>
        <v>0</v>
      </c>
      <c r="M41" cm="1">
        <f t="array" ref="M41">_xll.VALEUROUTPUT($A$923,_xlfn.CONCAT("THEME14=",$C41),SCENARIOS!$A$2,SCENARIOS!$B$2,M$1)</f>
        <v>0</v>
      </c>
      <c r="N41" cm="1">
        <f t="array" ref="N41">_xll.VALEUROUTPUT($A$923,_xlfn.CONCAT("THEME14=",$C41),SCENARIOS!$A$2,SCENARIOS!$B$2,N$1)</f>
        <v>0</v>
      </c>
      <c r="O41" cm="1">
        <f t="array" ref="O41">_xll.VALEUROUTPUT($A$923,_xlfn.CONCAT("THEME14=",$C41),SCENARIOS!$A$2,SCENARIOS!$B$2,O$1)</f>
        <v>0</v>
      </c>
      <c r="P41" cm="1">
        <f t="array" ref="P41">_xll.VALEUROUTPUT($A$923,_xlfn.CONCAT("THEME14=",$C41),SCENARIOS!$A$2,SCENARIOS!$B$2,P$1)</f>
        <v>0</v>
      </c>
      <c r="Q41" cm="1">
        <f t="array" ref="Q41">_xll.VALEUROUTPUT($A$923,_xlfn.CONCAT("THEME14=",$C41),SCENARIOS!$A$2,SCENARIOS!$B$2,Q$1)</f>
        <v>0</v>
      </c>
      <c r="R41" cm="1">
        <f t="array" ref="R41">_xll.VALEUROUTPUT($A$923,_xlfn.CONCAT("THEME14=",$C41),SCENARIOS!$A$2,SCENARIOS!$B$2,R$1)</f>
        <v>0</v>
      </c>
      <c r="S41" cm="1">
        <f t="array" ref="S41">_xll.VALEUROUTPUT($A$923,_xlfn.CONCAT("THEME14=",$C41),SCENARIOS!$A$2,SCENARIOS!$B$2,S$1)</f>
        <v>0</v>
      </c>
      <c r="T41" cm="1">
        <f t="array" ref="T41">_xll.VALEUROUTPUT($A$923,_xlfn.CONCAT("THEME14=",$C41),SCENARIOS!$A$2,SCENARIOS!$B$2,T$1)</f>
        <v>0</v>
      </c>
      <c r="U41" cm="1">
        <f t="array" ref="U41">_xll.VALEUROUTPUT($A$923,_xlfn.CONCAT("THEME14=",$C41),SCENARIOS!$A$2,SCENARIOS!$B$2,U$1)</f>
        <v>0</v>
      </c>
      <c r="V41" cm="1">
        <f t="array" ref="V41">_xll.VALEUROUTPUT($A$923,_xlfn.CONCAT("THEME14=",$C41),SCENARIOS!$A$2,SCENARIOS!$B$2,V$1)</f>
        <v>0</v>
      </c>
      <c r="W41" cm="1">
        <f t="array" ref="W41">_xll.VALEUROUTPUT($A$923,_xlfn.CONCAT("THEME14=",$C41),SCENARIOS!$A$2,SCENARIOS!$B$2,W$1)</f>
        <v>0</v>
      </c>
      <c r="X41" cm="1">
        <f t="array" ref="X41">_xll.VALEUROUTPUT($A$923,_xlfn.CONCAT("THEME14=",$C41),SCENARIOS!$A$2,SCENARIOS!$B$2,X$1)</f>
        <v>0</v>
      </c>
      <c r="Y41" cm="1">
        <f t="array" ref="Y41">_xll.VALEUROUTPUT($A$923,_xlfn.CONCAT("THEME14=",$C41),SCENARIOS!$A$2,SCENARIOS!$B$2,Y$1)</f>
        <v>0</v>
      </c>
      <c r="Z41" cm="1">
        <f t="array" ref="Z41">_xll.VALEUROUTPUT($A$923,_xlfn.CONCAT("THEME14=",$C41),SCENARIOS!$A$2,SCENARIOS!$B$2,Z$1)</f>
        <v>0</v>
      </c>
      <c r="AA41" cm="1">
        <f t="array" ref="AA41">_xll.VALEUROUTPUT($A$923,_xlfn.CONCAT("THEME14=",$C41),SCENARIOS!$A$2,SCENARIOS!$B$2,AA$1)</f>
        <v>0</v>
      </c>
      <c r="AB41" cm="1">
        <f t="array" ref="AB41">_xll.VALEUROUTPUT($A$923,_xlfn.CONCAT("THEME14=",$C41),SCENARIOS!$A$2,SCENARIOS!$B$2,AB$1)</f>
        <v>0</v>
      </c>
      <c r="AC41" cm="1">
        <f t="array" ref="AC41">_xll.VALEUROUTPUT($A$923,_xlfn.CONCAT("THEME14=",$C41),SCENARIOS!$A$2,SCENARIOS!$B$2,AC$1)</f>
        <v>0</v>
      </c>
      <c r="AD41" cm="1">
        <f t="array" ref="AD41">_xll.VALEUROUTPUT($A$923,_xlfn.CONCAT("THEME14=",$C41),SCENARIOS!$A$2,SCENARIOS!$B$2,AD$1)</f>
        <v>0</v>
      </c>
      <c r="AE41" cm="1">
        <f t="array" ref="AE41">_xll.VALEUROUTPUT($A$923,_xlfn.CONCAT("THEME14=",$C41),SCENARIOS!$A$2,SCENARIOS!$B$2,AE$1)</f>
        <v>0</v>
      </c>
      <c r="AF41" cm="1">
        <f t="array" ref="AF41">_xll.VALEUROUTPUT($A$923,_xlfn.CONCAT("THEME14=",$C41),SCENARIOS!$A$2,SCENARIOS!$B$2,AF$1)</f>
        <v>0</v>
      </c>
    </row>
    <row r="42" spans="1:32" x14ac:dyDescent="0.25">
      <c r="A42" t="str">
        <v>OSUPPL_PPF</v>
      </c>
      <c r="D42" cm="1">
        <f t="array" ref="D42">_xll.VALEUROUTPUT($A$923,_xlfn.CONCAT("THEME14=",$C42),SCENARIOS!$A$2,SCENARIOS!$B$2,D$1)</f>
        <v>0</v>
      </c>
      <c r="E42" cm="1">
        <f t="array" ref="E42">_xll.VALEUROUTPUT($A$923,_xlfn.CONCAT("THEME14=",$C42),SCENARIOS!$A$2,SCENARIOS!$B$2,E$1)</f>
        <v>0</v>
      </c>
      <c r="F42" cm="1">
        <f t="array" ref="F42">_xll.VALEUROUTPUT($A$923,_xlfn.CONCAT("THEME14=",$C42),SCENARIOS!$A$2,SCENARIOS!$B$2,F$1)</f>
        <v>0</v>
      </c>
      <c r="G42" cm="1">
        <f t="array" ref="G42">_xll.VALEUROUTPUT($A$923,_xlfn.CONCAT("THEME14=",$C42),SCENARIOS!$A$2,SCENARIOS!$B$2,G$1)</f>
        <v>0</v>
      </c>
      <c r="H42" cm="1">
        <f t="array" ref="H42">_xll.VALEUROUTPUT($A$923,_xlfn.CONCAT("THEME14=",$C42),SCENARIOS!$A$2,SCENARIOS!$B$2,H$1)</f>
        <v>0</v>
      </c>
      <c r="I42" cm="1">
        <f t="array" ref="I42">_xll.VALEUROUTPUT($A$923,_xlfn.CONCAT("THEME14=",$C42),SCENARIOS!$A$2,SCENARIOS!$B$2,I$1)</f>
        <v>0</v>
      </c>
      <c r="J42" cm="1">
        <f t="array" ref="J42">_xll.VALEUROUTPUT($A$923,_xlfn.CONCAT("THEME14=",$C42),SCENARIOS!$A$2,SCENARIOS!$B$2,J$1)</f>
        <v>0</v>
      </c>
      <c r="K42" cm="1">
        <f t="array" ref="K42">_xll.VALEUROUTPUT($A$923,_xlfn.CONCAT("THEME14=",$C42),SCENARIOS!$A$2,SCENARIOS!$B$2,K$1)</f>
        <v>0</v>
      </c>
      <c r="L42" cm="1">
        <f t="array" ref="L42">_xll.VALEUROUTPUT($A$923,_xlfn.CONCAT("THEME14=",$C42),SCENARIOS!$A$2,SCENARIOS!$B$2,L$1)</f>
        <v>0</v>
      </c>
      <c r="M42" cm="1">
        <f t="array" ref="M42">_xll.VALEUROUTPUT($A$923,_xlfn.CONCAT("THEME14=",$C42),SCENARIOS!$A$2,SCENARIOS!$B$2,M$1)</f>
        <v>0</v>
      </c>
      <c r="N42" cm="1">
        <f t="array" ref="N42">_xll.VALEUROUTPUT($A$923,_xlfn.CONCAT("THEME14=",$C42),SCENARIOS!$A$2,SCENARIOS!$B$2,N$1)</f>
        <v>0</v>
      </c>
      <c r="O42" cm="1">
        <f t="array" ref="O42">_xll.VALEUROUTPUT($A$923,_xlfn.CONCAT("THEME14=",$C42),SCENARIOS!$A$2,SCENARIOS!$B$2,O$1)</f>
        <v>0</v>
      </c>
      <c r="P42" cm="1">
        <f t="array" ref="P42">_xll.VALEUROUTPUT($A$923,_xlfn.CONCAT("THEME14=",$C42),SCENARIOS!$A$2,SCENARIOS!$B$2,P$1)</f>
        <v>0</v>
      </c>
      <c r="Q42" cm="1">
        <f t="array" ref="Q42">_xll.VALEUROUTPUT($A$923,_xlfn.CONCAT("THEME14=",$C42),SCENARIOS!$A$2,SCENARIOS!$B$2,Q$1)</f>
        <v>0</v>
      </c>
      <c r="R42" cm="1">
        <f t="array" ref="R42">_xll.VALEUROUTPUT($A$923,_xlfn.CONCAT("THEME14=",$C42),SCENARIOS!$A$2,SCENARIOS!$B$2,R$1)</f>
        <v>0</v>
      </c>
      <c r="S42" cm="1">
        <f t="array" ref="S42">_xll.VALEUROUTPUT($A$923,_xlfn.CONCAT("THEME14=",$C42),SCENARIOS!$A$2,SCENARIOS!$B$2,S$1)</f>
        <v>0</v>
      </c>
      <c r="T42" cm="1">
        <f t="array" ref="T42">_xll.VALEUROUTPUT($A$923,_xlfn.CONCAT("THEME14=",$C42),SCENARIOS!$A$2,SCENARIOS!$B$2,T$1)</f>
        <v>0</v>
      </c>
      <c r="U42" cm="1">
        <f t="array" ref="U42">_xll.VALEUROUTPUT($A$923,_xlfn.CONCAT("THEME14=",$C42),SCENARIOS!$A$2,SCENARIOS!$B$2,U$1)</f>
        <v>0</v>
      </c>
      <c r="V42" cm="1">
        <f t="array" ref="V42">_xll.VALEUROUTPUT($A$923,_xlfn.CONCAT("THEME14=",$C42),SCENARIOS!$A$2,SCENARIOS!$B$2,V$1)</f>
        <v>0</v>
      </c>
      <c r="W42" cm="1">
        <f t="array" ref="W42">_xll.VALEUROUTPUT($A$923,_xlfn.CONCAT("THEME14=",$C42),SCENARIOS!$A$2,SCENARIOS!$B$2,W$1)</f>
        <v>0</v>
      </c>
      <c r="X42" cm="1">
        <f t="array" ref="X42">_xll.VALEUROUTPUT($A$923,_xlfn.CONCAT("THEME14=",$C42),SCENARIOS!$A$2,SCENARIOS!$B$2,X$1)</f>
        <v>0</v>
      </c>
      <c r="Y42" cm="1">
        <f t="array" ref="Y42">_xll.VALEUROUTPUT($A$923,_xlfn.CONCAT("THEME14=",$C42),SCENARIOS!$A$2,SCENARIOS!$B$2,Y$1)</f>
        <v>0</v>
      </c>
      <c r="Z42" cm="1">
        <f t="array" ref="Z42">_xll.VALEUROUTPUT($A$923,_xlfn.CONCAT("THEME14=",$C42),SCENARIOS!$A$2,SCENARIOS!$B$2,Z$1)</f>
        <v>0</v>
      </c>
      <c r="AA42" cm="1">
        <f t="array" ref="AA42">_xll.VALEUROUTPUT($A$923,_xlfn.CONCAT("THEME14=",$C42),SCENARIOS!$A$2,SCENARIOS!$B$2,AA$1)</f>
        <v>0</v>
      </c>
      <c r="AB42" cm="1">
        <f t="array" ref="AB42">_xll.VALEUROUTPUT($A$923,_xlfn.CONCAT("THEME14=",$C42),SCENARIOS!$A$2,SCENARIOS!$B$2,AB$1)</f>
        <v>0</v>
      </c>
      <c r="AC42" cm="1">
        <f t="array" ref="AC42">_xll.VALEUROUTPUT($A$923,_xlfn.CONCAT("THEME14=",$C42),SCENARIOS!$A$2,SCENARIOS!$B$2,AC$1)</f>
        <v>0</v>
      </c>
      <c r="AD42" cm="1">
        <f t="array" ref="AD42">_xll.VALEUROUTPUT($A$923,_xlfn.CONCAT("THEME14=",$C42),SCENARIOS!$A$2,SCENARIOS!$B$2,AD$1)</f>
        <v>0</v>
      </c>
      <c r="AE42" cm="1">
        <f t="array" ref="AE42">_xll.VALEUROUTPUT($A$923,_xlfn.CONCAT("THEME14=",$C42),SCENARIOS!$A$2,SCENARIOS!$B$2,AE$1)</f>
        <v>0</v>
      </c>
      <c r="AF42" cm="1">
        <f t="array" ref="AF42">_xll.VALEUROUTPUT($A$923,_xlfn.CONCAT("THEME14=",$C42),SCENARIOS!$A$2,SCENARIOS!$B$2,AF$1)</f>
        <v>0</v>
      </c>
    </row>
    <row r="43" spans="1:32" x14ac:dyDescent="0.25">
      <c r="A43" t="str">
        <v>OSUPPL_SEPM_E</v>
      </c>
      <c r="D43" cm="1">
        <f t="array" ref="D43">_xll.VALEUROUTPUT($A$923,_xlfn.CONCAT("THEME14=",$C43),SCENARIOS!$A$2,SCENARIOS!$B$2,D$1)</f>
        <v>0</v>
      </c>
      <c r="E43" cm="1">
        <f t="array" ref="E43">_xll.VALEUROUTPUT($A$923,_xlfn.CONCAT("THEME14=",$C43),SCENARIOS!$A$2,SCENARIOS!$B$2,E$1)</f>
        <v>0</v>
      </c>
      <c r="F43" cm="1">
        <f t="array" ref="F43">_xll.VALEUROUTPUT($A$923,_xlfn.CONCAT("THEME14=",$C43),SCENARIOS!$A$2,SCENARIOS!$B$2,F$1)</f>
        <v>0</v>
      </c>
      <c r="G43" cm="1">
        <f t="array" ref="G43">_xll.VALEUROUTPUT($A$923,_xlfn.CONCAT("THEME14=",$C43),SCENARIOS!$A$2,SCENARIOS!$B$2,G$1)</f>
        <v>0</v>
      </c>
      <c r="H43" cm="1">
        <f t="array" ref="H43">_xll.VALEUROUTPUT($A$923,_xlfn.CONCAT("THEME14=",$C43),SCENARIOS!$A$2,SCENARIOS!$B$2,H$1)</f>
        <v>0</v>
      </c>
      <c r="I43" cm="1">
        <f t="array" ref="I43">_xll.VALEUROUTPUT($A$923,_xlfn.CONCAT("THEME14=",$C43),SCENARIOS!$A$2,SCENARIOS!$B$2,I$1)</f>
        <v>0</v>
      </c>
      <c r="J43" cm="1">
        <f t="array" ref="J43">_xll.VALEUROUTPUT($A$923,_xlfn.CONCAT("THEME14=",$C43),SCENARIOS!$A$2,SCENARIOS!$B$2,J$1)</f>
        <v>0</v>
      </c>
      <c r="K43" cm="1">
        <f t="array" ref="K43">_xll.VALEUROUTPUT($A$923,_xlfn.CONCAT("THEME14=",$C43),SCENARIOS!$A$2,SCENARIOS!$B$2,K$1)</f>
        <v>0</v>
      </c>
      <c r="L43" cm="1">
        <f t="array" ref="L43">_xll.VALEUROUTPUT($A$923,_xlfn.CONCAT("THEME14=",$C43),SCENARIOS!$A$2,SCENARIOS!$B$2,L$1)</f>
        <v>0</v>
      </c>
      <c r="M43" cm="1">
        <f t="array" ref="M43">_xll.VALEUROUTPUT($A$923,_xlfn.CONCAT("THEME14=",$C43),SCENARIOS!$A$2,SCENARIOS!$B$2,M$1)</f>
        <v>0</v>
      </c>
      <c r="N43" cm="1">
        <f t="array" ref="N43">_xll.VALEUROUTPUT($A$923,_xlfn.CONCAT("THEME14=",$C43),SCENARIOS!$A$2,SCENARIOS!$B$2,N$1)</f>
        <v>0</v>
      </c>
      <c r="O43" cm="1">
        <f t="array" ref="O43">_xll.VALEUROUTPUT($A$923,_xlfn.CONCAT("THEME14=",$C43),SCENARIOS!$A$2,SCENARIOS!$B$2,O$1)</f>
        <v>0</v>
      </c>
      <c r="P43" cm="1">
        <f t="array" ref="P43">_xll.VALEUROUTPUT($A$923,_xlfn.CONCAT("THEME14=",$C43),SCENARIOS!$A$2,SCENARIOS!$B$2,P$1)</f>
        <v>0</v>
      </c>
      <c r="Q43" cm="1">
        <f t="array" ref="Q43">_xll.VALEUROUTPUT($A$923,_xlfn.CONCAT("THEME14=",$C43),SCENARIOS!$A$2,SCENARIOS!$B$2,Q$1)</f>
        <v>0</v>
      </c>
      <c r="R43" cm="1">
        <f t="array" ref="R43">_xll.VALEUROUTPUT($A$923,_xlfn.CONCAT("THEME14=",$C43),SCENARIOS!$A$2,SCENARIOS!$B$2,R$1)</f>
        <v>0</v>
      </c>
      <c r="S43" cm="1">
        <f t="array" ref="S43">_xll.VALEUROUTPUT($A$923,_xlfn.CONCAT("THEME14=",$C43),SCENARIOS!$A$2,SCENARIOS!$B$2,S$1)</f>
        <v>0</v>
      </c>
      <c r="T43" cm="1">
        <f t="array" ref="T43">_xll.VALEUROUTPUT($A$923,_xlfn.CONCAT("THEME14=",$C43),SCENARIOS!$A$2,SCENARIOS!$B$2,T$1)</f>
        <v>0</v>
      </c>
      <c r="U43" cm="1">
        <f t="array" ref="U43">_xll.VALEUROUTPUT($A$923,_xlfn.CONCAT("THEME14=",$C43),SCENARIOS!$A$2,SCENARIOS!$B$2,U$1)</f>
        <v>0</v>
      </c>
      <c r="V43" cm="1">
        <f t="array" ref="V43">_xll.VALEUROUTPUT($A$923,_xlfn.CONCAT("THEME14=",$C43),SCENARIOS!$A$2,SCENARIOS!$B$2,V$1)</f>
        <v>0</v>
      </c>
      <c r="W43" cm="1">
        <f t="array" ref="W43">_xll.VALEUROUTPUT($A$923,_xlfn.CONCAT("THEME14=",$C43),SCENARIOS!$A$2,SCENARIOS!$B$2,W$1)</f>
        <v>0</v>
      </c>
      <c r="X43" cm="1">
        <f t="array" ref="X43">_xll.VALEUROUTPUT($A$923,_xlfn.CONCAT("THEME14=",$C43),SCENARIOS!$A$2,SCENARIOS!$B$2,X$1)</f>
        <v>0</v>
      </c>
      <c r="Y43" cm="1">
        <f t="array" ref="Y43">_xll.VALEUROUTPUT($A$923,_xlfn.CONCAT("THEME14=",$C43),SCENARIOS!$A$2,SCENARIOS!$B$2,Y$1)</f>
        <v>0</v>
      </c>
      <c r="Z43" cm="1">
        <f t="array" ref="Z43">_xll.VALEUROUTPUT($A$923,_xlfn.CONCAT("THEME14=",$C43),SCENARIOS!$A$2,SCENARIOS!$B$2,Z$1)</f>
        <v>0</v>
      </c>
      <c r="AA43" cm="1">
        <f t="array" ref="AA43">_xll.VALEUROUTPUT($A$923,_xlfn.CONCAT("THEME14=",$C43),SCENARIOS!$A$2,SCENARIOS!$B$2,AA$1)</f>
        <v>0</v>
      </c>
      <c r="AB43" cm="1">
        <f t="array" ref="AB43">_xll.VALEUROUTPUT($A$923,_xlfn.CONCAT("THEME14=",$C43),SCENARIOS!$A$2,SCENARIOS!$B$2,AB$1)</f>
        <v>0</v>
      </c>
      <c r="AC43" cm="1">
        <f t="array" ref="AC43">_xll.VALEUROUTPUT($A$923,_xlfn.CONCAT("THEME14=",$C43),SCENARIOS!$A$2,SCENARIOS!$B$2,AC$1)</f>
        <v>0</v>
      </c>
      <c r="AD43" cm="1">
        <f t="array" ref="AD43">_xll.VALEUROUTPUT($A$923,_xlfn.CONCAT("THEME14=",$C43),SCENARIOS!$A$2,SCENARIOS!$B$2,AD$1)</f>
        <v>0</v>
      </c>
      <c r="AE43" cm="1">
        <f t="array" ref="AE43">_xll.VALEUROUTPUT($A$923,_xlfn.CONCAT("THEME14=",$C43),SCENARIOS!$A$2,SCENARIOS!$B$2,AE$1)</f>
        <v>0</v>
      </c>
      <c r="AF43" cm="1">
        <f t="array" ref="AF43">_xll.VALEUROUTPUT($A$923,_xlfn.CONCAT("THEME14=",$C43),SCENARIOS!$A$2,SCENARIOS!$B$2,AF$1)</f>
        <v>0</v>
      </c>
    </row>
    <row r="44" spans="1:32" x14ac:dyDescent="0.25">
      <c r="A44" t="str">
        <v>OSUPPL_SEPM_I</v>
      </c>
      <c r="D44" cm="1">
        <f t="array" ref="D44">_xll.VALEUROUTPUT($A$923,_xlfn.CONCAT("THEME14=",$C44),SCENARIOS!$A$2,SCENARIOS!$B$2,D$1)</f>
        <v>0</v>
      </c>
      <c r="E44" cm="1">
        <f t="array" ref="E44">_xll.VALEUROUTPUT($A$923,_xlfn.CONCAT("THEME14=",$C44),SCENARIOS!$A$2,SCENARIOS!$B$2,E$1)</f>
        <v>0</v>
      </c>
      <c r="F44" cm="1">
        <f t="array" ref="F44">_xll.VALEUROUTPUT($A$923,_xlfn.CONCAT("THEME14=",$C44),SCENARIOS!$A$2,SCENARIOS!$B$2,F$1)</f>
        <v>0</v>
      </c>
      <c r="G44" cm="1">
        <f t="array" ref="G44">_xll.VALEUROUTPUT($A$923,_xlfn.CONCAT("THEME14=",$C44),SCENARIOS!$A$2,SCENARIOS!$B$2,G$1)</f>
        <v>0</v>
      </c>
      <c r="H44" cm="1">
        <f t="array" ref="H44">_xll.VALEUROUTPUT($A$923,_xlfn.CONCAT("THEME14=",$C44),SCENARIOS!$A$2,SCENARIOS!$B$2,H$1)</f>
        <v>0</v>
      </c>
      <c r="I44" cm="1">
        <f t="array" ref="I44">_xll.VALEUROUTPUT($A$923,_xlfn.CONCAT("THEME14=",$C44),SCENARIOS!$A$2,SCENARIOS!$B$2,I$1)</f>
        <v>0</v>
      </c>
      <c r="J44" cm="1">
        <f t="array" ref="J44">_xll.VALEUROUTPUT($A$923,_xlfn.CONCAT("THEME14=",$C44),SCENARIOS!$A$2,SCENARIOS!$B$2,J$1)</f>
        <v>0</v>
      </c>
      <c r="K44" cm="1">
        <f t="array" ref="K44">_xll.VALEUROUTPUT($A$923,_xlfn.CONCAT("THEME14=",$C44),SCENARIOS!$A$2,SCENARIOS!$B$2,K$1)</f>
        <v>0</v>
      </c>
      <c r="L44" cm="1">
        <f t="array" ref="L44">_xll.VALEUROUTPUT($A$923,_xlfn.CONCAT("THEME14=",$C44),SCENARIOS!$A$2,SCENARIOS!$B$2,L$1)</f>
        <v>0</v>
      </c>
      <c r="M44" cm="1">
        <f t="array" ref="M44">_xll.VALEUROUTPUT($A$923,_xlfn.CONCAT("THEME14=",$C44),SCENARIOS!$A$2,SCENARIOS!$B$2,M$1)</f>
        <v>0</v>
      </c>
      <c r="N44" cm="1">
        <f t="array" ref="N44">_xll.VALEUROUTPUT($A$923,_xlfn.CONCAT("THEME14=",$C44),SCENARIOS!$A$2,SCENARIOS!$B$2,N$1)</f>
        <v>0</v>
      </c>
      <c r="O44" cm="1">
        <f t="array" ref="O44">_xll.VALEUROUTPUT($A$923,_xlfn.CONCAT("THEME14=",$C44),SCENARIOS!$A$2,SCENARIOS!$B$2,O$1)</f>
        <v>0</v>
      </c>
      <c r="P44" cm="1">
        <f t="array" ref="P44">_xll.VALEUROUTPUT($A$923,_xlfn.CONCAT("THEME14=",$C44),SCENARIOS!$A$2,SCENARIOS!$B$2,P$1)</f>
        <v>0</v>
      </c>
      <c r="Q44" cm="1">
        <f t="array" ref="Q44">_xll.VALEUROUTPUT($A$923,_xlfn.CONCAT("THEME14=",$C44),SCENARIOS!$A$2,SCENARIOS!$B$2,Q$1)</f>
        <v>0</v>
      </c>
      <c r="R44" cm="1">
        <f t="array" ref="R44">_xll.VALEUROUTPUT($A$923,_xlfn.CONCAT("THEME14=",$C44),SCENARIOS!$A$2,SCENARIOS!$B$2,R$1)</f>
        <v>0</v>
      </c>
      <c r="S44" cm="1">
        <f t="array" ref="S44">_xll.VALEUROUTPUT($A$923,_xlfn.CONCAT("THEME14=",$C44),SCENARIOS!$A$2,SCENARIOS!$B$2,S$1)</f>
        <v>0</v>
      </c>
      <c r="T44" cm="1">
        <f t="array" ref="T44">_xll.VALEUROUTPUT($A$923,_xlfn.CONCAT("THEME14=",$C44),SCENARIOS!$A$2,SCENARIOS!$B$2,T$1)</f>
        <v>0</v>
      </c>
      <c r="U44" cm="1">
        <f t="array" ref="U44">_xll.VALEUROUTPUT($A$923,_xlfn.CONCAT("THEME14=",$C44),SCENARIOS!$A$2,SCENARIOS!$B$2,U$1)</f>
        <v>0</v>
      </c>
      <c r="V44" cm="1">
        <f t="array" ref="V44">_xll.VALEUROUTPUT($A$923,_xlfn.CONCAT("THEME14=",$C44),SCENARIOS!$A$2,SCENARIOS!$B$2,V$1)</f>
        <v>0</v>
      </c>
      <c r="W44" cm="1">
        <f t="array" ref="W44">_xll.VALEUROUTPUT($A$923,_xlfn.CONCAT("THEME14=",$C44),SCENARIOS!$A$2,SCENARIOS!$B$2,W$1)</f>
        <v>0</v>
      </c>
      <c r="X44" cm="1">
        <f t="array" ref="X44">_xll.VALEUROUTPUT($A$923,_xlfn.CONCAT("THEME14=",$C44),SCENARIOS!$A$2,SCENARIOS!$B$2,X$1)</f>
        <v>0</v>
      </c>
      <c r="Y44" cm="1">
        <f t="array" ref="Y44">_xll.VALEUROUTPUT($A$923,_xlfn.CONCAT("THEME14=",$C44),SCENARIOS!$A$2,SCENARIOS!$B$2,Y$1)</f>
        <v>0</v>
      </c>
      <c r="Z44" cm="1">
        <f t="array" ref="Z44">_xll.VALEUROUTPUT($A$923,_xlfn.CONCAT("THEME14=",$C44),SCENARIOS!$A$2,SCENARIOS!$B$2,Z$1)</f>
        <v>0</v>
      </c>
      <c r="AA44" cm="1">
        <f t="array" ref="AA44">_xll.VALEUROUTPUT($A$923,_xlfn.CONCAT("THEME14=",$C44),SCENARIOS!$A$2,SCENARIOS!$B$2,AA$1)</f>
        <v>0</v>
      </c>
      <c r="AB44" cm="1">
        <f t="array" ref="AB44">_xll.VALEUROUTPUT($A$923,_xlfn.CONCAT("THEME14=",$C44),SCENARIOS!$A$2,SCENARIOS!$B$2,AB$1)</f>
        <v>0</v>
      </c>
      <c r="AC44" cm="1">
        <f t="array" ref="AC44">_xll.VALEUROUTPUT($A$923,_xlfn.CONCAT("THEME14=",$C44),SCENARIOS!$A$2,SCENARIOS!$B$2,AC$1)</f>
        <v>0</v>
      </c>
      <c r="AD44" cm="1">
        <f t="array" ref="AD44">_xll.VALEUROUTPUT($A$923,_xlfn.CONCAT("THEME14=",$C44),SCENARIOS!$A$2,SCENARIOS!$B$2,AD$1)</f>
        <v>0</v>
      </c>
      <c r="AE44" cm="1">
        <f t="array" ref="AE44">_xll.VALEUROUTPUT($A$923,_xlfn.CONCAT("THEME14=",$C44),SCENARIOS!$A$2,SCENARIOS!$B$2,AE$1)</f>
        <v>0</v>
      </c>
      <c r="AF44" cm="1">
        <f t="array" ref="AF44">_xll.VALEUROUTPUT($A$923,_xlfn.CONCAT("THEME14=",$C44),SCENARIOS!$A$2,SCENARIOS!$B$2,AF$1)</f>
        <v>0</v>
      </c>
    </row>
    <row r="45" spans="1:32" x14ac:dyDescent="0.25">
      <c r="A45" t="str">
        <v>OSUPACTEPC_1_T100%</v>
      </c>
      <c r="D45" cm="1">
        <f t="array" ref="D45">_xll.VALEUROUTPUT($A$923,_xlfn.CONCAT("THEME14=",$C45),SCENARIOS!$A$2,SCENARIOS!$B$2,D$1)</f>
        <v>0</v>
      </c>
      <c r="E45" cm="1">
        <f t="array" ref="E45">_xll.VALEUROUTPUT($A$923,_xlfn.CONCAT("THEME14=",$C45),SCENARIOS!$A$2,SCENARIOS!$B$2,E$1)</f>
        <v>0</v>
      </c>
      <c r="F45" cm="1">
        <f t="array" ref="F45">_xll.VALEUROUTPUT($A$923,_xlfn.CONCAT("THEME14=",$C45),SCENARIOS!$A$2,SCENARIOS!$B$2,F$1)</f>
        <v>0</v>
      </c>
      <c r="G45" cm="1">
        <f t="array" ref="G45">_xll.VALEUROUTPUT($A$923,_xlfn.CONCAT("THEME14=",$C45),SCENARIOS!$A$2,SCENARIOS!$B$2,G$1)</f>
        <v>0</v>
      </c>
      <c r="H45" cm="1">
        <f t="array" ref="H45">_xll.VALEUROUTPUT($A$923,_xlfn.CONCAT("THEME14=",$C45),SCENARIOS!$A$2,SCENARIOS!$B$2,H$1)</f>
        <v>0</v>
      </c>
      <c r="I45" cm="1">
        <f t="array" ref="I45">_xll.VALEUROUTPUT($A$923,_xlfn.CONCAT("THEME14=",$C45),SCENARIOS!$A$2,SCENARIOS!$B$2,I$1)</f>
        <v>0</v>
      </c>
      <c r="J45" cm="1">
        <f t="array" ref="J45">_xll.VALEUROUTPUT($A$923,_xlfn.CONCAT("THEME14=",$C45),SCENARIOS!$A$2,SCENARIOS!$B$2,J$1)</f>
        <v>0</v>
      </c>
      <c r="K45" cm="1">
        <f t="array" ref="K45">_xll.VALEUROUTPUT($A$923,_xlfn.CONCAT("THEME14=",$C45),SCENARIOS!$A$2,SCENARIOS!$B$2,K$1)</f>
        <v>0</v>
      </c>
      <c r="L45" cm="1">
        <f t="array" ref="L45">_xll.VALEUROUTPUT($A$923,_xlfn.CONCAT("THEME14=",$C45),SCENARIOS!$A$2,SCENARIOS!$B$2,L$1)</f>
        <v>0</v>
      </c>
      <c r="M45" cm="1">
        <f t="array" ref="M45">_xll.VALEUROUTPUT($A$923,_xlfn.CONCAT("THEME14=",$C45),SCENARIOS!$A$2,SCENARIOS!$B$2,M$1)</f>
        <v>0</v>
      </c>
      <c r="N45" cm="1">
        <f t="array" ref="N45">_xll.VALEUROUTPUT($A$923,_xlfn.CONCAT("THEME14=",$C45),SCENARIOS!$A$2,SCENARIOS!$B$2,N$1)</f>
        <v>0</v>
      </c>
      <c r="O45" cm="1">
        <f t="array" ref="O45">_xll.VALEUROUTPUT($A$923,_xlfn.CONCAT("THEME14=",$C45),SCENARIOS!$A$2,SCENARIOS!$B$2,O$1)</f>
        <v>0</v>
      </c>
      <c r="P45" cm="1">
        <f t="array" ref="P45">_xll.VALEUROUTPUT($A$923,_xlfn.CONCAT("THEME14=",$C45),SCENARIOS!$A$2,SCENARIOS!$B$2,P$1)</f>
        <v>0</v>
      </c>
      <c r="Q45" cm="1">
        <f t="array" ref="Q45">_xll.VALEUROUTPUT($A$923,_xlfn.CONCAT("THEME14=",$C45),SCENARIOS!$A$2,SCENARIOS!$B$2,Q$1)</f>
        <v>0</v>
      </c>
      <c r="R45" cm="1">
        <f t="array" ref="R45">_xll.VALEUROUTPUT($A$923,_xlfn.CONCAT("THEME14=",$C45),SCENARIOS!$A$2,SCENARIOS!$B$2,R$1)</f>
        <v>0</v>
      </c>
      <c r="S45" cm="1">
        <f t="array" ref="S45">_xll.VALEUROUTPUT($A$923,_xlfn.CONCAT("THEME14=",$C45),SCENARIOS!$A$2,SCENARIOS!$B$2,S$1)</f>
        <v>0</v>
      </c>
      <c r="T45" cm="1">
        <f t="array" ref="T45">_xll.VALEUROUTPUT($A$923,_xlfn.CONCAT("THEME14=",$C45),SCENARIOS!$A$2,SCENARIOS!$B$2,T$1)</f>
        <v>0</v>
      </c>
      <c r="U45" cm="1">
        <f t="array" ref="U45">_xll.VALEUROUTPUT($A$923,_xlfn.CONCAT("THEME14=",$C45),SCENARIOS!$A$2,SCENARIOS!$B$2,U$1)</f>
        <v>0</v>
      </c>
      <c r="V45" cm="1">
        <f t="array" ref="V45">_xll.VALEUROUTPUT($A$923,_xlfn.CONCAT("THEME14=",$C45),SCENARIOS!$A$2,SCENARIOS!$B$2,V$1)</f>
        <v>0</v>
      </c>
      <c r="W45" cm="1">
        <f t="array" ref="W45">_xll.VALEUROUTPUT($A$923,_xlfn.CONCAT("THEME14=",$C45),SCENARIOS!$A$2,SCENARIOS!$B$2,W$1)</f>
        <v>0</v>
      </c>
      <c r="X45" cm="1">
        <f t="array" ref="X45">_xll.VALEUROUTPUT($A$923,_xlfn.CONCAT("THEME14=",$C45),SCENARIOS!$A$2,SCENARIOS!$B$2,X$1)</f>
        <v>0</v>
      </c>
      <c r="Y45" cm="1">
        <f t="array" ref="Y45">_xll.VALEUROUTPUT($A$923,_xlfn.CONCAT("THEME14=",$C45),SCENARIOS!$A$2,SCENARIOS!$B$2,Y$1)</f>
        <v>0</v>
      </c>
      <c r="Z45" cm="1">
        <f t="array" ref="Z45">_xll.VALEUROUTPUT($A$923,_xlfn.CONCAT("THEME14=",$C45),SCENARIOS!$A$2,SCENARIOS!$B$2,Z$1)</f>
        <v>0</v>
      </c>
      <c r="AA45" cm="1">
        <f t="array" ref="AA45">_xll.VALEUROUTPUT($A$923,_xlfn.CONCAT("THEME14=",$C45),SCENARIOS!$A$2,SCENARIOS!$B$2,AA$1)</f>
        <v>0</v>
      </c>
      <c r="AB45" cm="1">
        <f t="array" ref="AB45">_xll.VALEUROUTPUT($A$923,_xlfn.CONCAT("THEME14=",$C45),SCENARIOS!$A$2,SCENARIOS!$B$2,AB$1)</f>
        <v>0</v>
      </c>
      <c r="AC45" cm="1">
        <f t="array" ref="AC45">_xll.VALEUROUTPUT($A$923,_xlfn.CONCAT("THEME14=",$C45),SCENARIOS!$A$2,SCENARIOS!$B$2,AC$1)</f>
        <v>0</v>
      </c>
      <c r="AD45" cm="1">
        <f t="array" ref="AD45">_xll.VALEUROUTPUT($A$923,_xlfn.CONCAT("THEME14=",$C45),SCENARIOS!$A$2,SCENARIOS!$B$2,AD$1)</f>
        <v>0</v>
      </c>
      <c r="AE45" cm="1">
        <f t="array" ref="AE45">_xll.VALEUROUTPUT($A$923,_xlfn.CONCAT("THEME14=",$C45),SCENARIOS!$A$2,SCENARIOS!$B$2,AE$1)</f>
        <v>0</v>
      </c>
      <c r="AF45" cm="1">
        <f t="array" ref="AF45">_xll.VALEUROUTPUT($A$923,_xlfn.CONCAT("THEME14=",$C45),SCENARIOS!$A$2,SCENARIOS!$B$2,AF$1)</f>
        <v>0</v>
      </c>
    </row>
    <row r="46" spans="1:32" x14ac:dyDescent="0.25">
      <c r="A46" t="str">
        <v>OSUPACTEPC_2_T100%</v>
      </c>
      <c r="D46" cm="1">
        <f t="array" ref="D46">_xll.VALEUROUTPUT($A$923,_xlfn.CONCAT("THEME14=",$C46),SCENARIOS!$A$2,SCENARIOS!$B$2,D$1)</f>
        <v>0</v>
      </c>
      <c r="E46" cm="1">
        <f t="array" ref="E46">_xll.VALEUROUTPUT($A$923,_xlfn.CONCAT("THEME14=",$C46),SCENARIOS!$A$2,SCENARIOS!$B$2,E$1)</f>
        <v>0</v>
      </c>
      <c r="F46" cm="1">
        <f t="array" ref="F46">_xll.VALEUROUTPUT($A$923,_xlfn.CONCAT("THEME14=",$C46),SCENARIOS!$A$2,SCENARIOS!$B$2,F$1)</f>
        <v>0</v>
      </c>
      <c r="G46" cm="1">
        <f t="array" ref="G46">_xll.VALEUROUTPUT($A$923,_xlfn.CONCAT("THEME14=",$C46),SCENARIOS!$A$2,SCENARIOS!$B$2,G$1)</f>
        <v>0</v>
      </c>
      <c r="H46" cm="1">
        <f t="array" ref="H46">_xll.VALEUROUTPUT($A$923,_xlfn.CONCAT("THEME14=",$C46),SCENARIOS!$A$2,SCENARIOS!$B$2,H$1)</f>
        <v>0</v>
      </c>
      <c r="I46" cm="1">
        <f t="array" ref="I46">_xll.VALEUROUTPUT($A$923,_xlfn.CONCAT("THEME14=",$C46),SCENARIOS!$A$2,SCENARIOS!$B$2,I$1)</f>
        <v>0</v>
      </c>
      <c r="J46" cm="1">
        <f t="array" ref="J46">_xll.VALEUROUTPUT($A$923,_xlfn.CONCAT("THEME14=",$C46),SCENARIOS!$A$2,SCENARIOS!$B$2,J$1)</f>
        <v>0</v>
      </c>
      <c r="K46" cm="1">
        <f t="array" ref="K46">_xll.VALEUROUTPUT($A$923,_xlfn.CONCAT("THEME14=",$C46),SCENARIOS!$A$2,SCENARIOS!$B$2,K$1)</f>
        <v>0</v>
      </c>
      <c r="L46" cm="1">
        <f t="array" ref="L46">_xll.VALEUROUTPUT($A$923,_xlfn.CONCAT("THEME14=",$C46),SCENARIOS!$A$2,SCENARIOS!$B$2,L$1)</f>
        <v>0</v>
      </c>
      <c r="M46" cm="1">
        <f t="array" ref="M46">_xll.VALEUROUTPUT($A$923,_xlfn.CONCAT("THEME14=",$C46),SCENARIOS!$A$2,SCENARIOS!$B$2,M$1)</f>
        <v>0</v>
      </c>
      <c r="N46" cm="1">
        <f t="array" ref="N46">_xll.VALEUROUTPUT($A$923,_xlfn.CONCAT("THEME14=",$C46),SCENARIOS!$A$2,SCENARIOS!$B$2,N$1)</f>
        <v>0</v>
      </c>
      <c r="O46" cm="1">
        <f t="array" ref="O46">_xll.VALEUROUTPUT($A$923,_xlfn.CONCAT("THEME14=",$C46),SCENARIOS!$A$2,SCENARIOS!$B$2,O$1)</f>
        <v>0</v>
      </c>
      <c r="P46" cm="1">
        <f t="array" ref="P46">_xll.VALEUROUTPUT($A$923,_xlfn.CONCAT("THEME14=",$C46),SCENARIOS!$A$2,SCENARIOS!$B$2,P$1)</f>
        <v>0</v>
      </c>
      <c r="Q46" cm="1">
        <f t="array" ref="Q46">_xll.VALEUROUTPUT($A$923,_xlfn.CONCAT("THEME14=",$C46),SCENARIOS!$A$2,SCENARIOS!$B$2,Q$1)</f>
        <v>0</v>
      </c>
      <c r="R46" cm="1">
        <f t="array" ref="R46">_xll.VALEUROUTPUT($A$923,_xlfn.CONCAT("THEME14=",$C46),SCENARIOS!$A$2,SCENARIOS!$B$2,R$1)</f>
        <v>0</v>
      </c>
      <c r="S46" cm="1">
        <f t="array" ref="S46">_xll.VALEUROUTPUT($A$923,_xlfn.CONCAT("THEME14=",$C46),SCENARIOS!$A$2,SCENARIOS!$B$2,S$1)</f>
        <v>0</v>
      </c>
      <c r="T46" cm="1">
        <f t="array" ref="T46">_xll.VALEUROUTPUT($A$923,_xlfn.CONCAT("THEME14=",$C46),SCENARIOS!$A$2,SCENARIOS!$B$2,T$1)</f>
        <v>0</v>
      </c>
      <c r="U46" cm="1">
        <f t="array" ref="U46">_xll.VALEUROUTPUT($A$923,_xlfn.CONCAT("THEME14=",$C46),SCENARIOS!$A$2,SCENARIOS!$B$2,U$1)</f>
        <v>0</v>
      </c>
      <c r="V46" cm="1">
        <f t="array" ref="V46">_xll.VALEUROUTPUT($A$923,_xlfn.CONCAT("THEME14=",$C46),SCENARIOS!$A$2,SCENARIOS!$B$2,V$1)</f>
        <v>0</v>
      </c>
      <c r="W46" cm="1">
        <f t="array" ref="W46">_xll.VALEUROUTPUT($A$923,_xlfn.CONCAT("THEME14=",$C46),SCENARIOS!$A$2,SCENARIOS!$B$2,W$1)</f>
        <v>0</v>
      </c>
      <c r="X46" cm="1">
        <f t="array" ref="X46">_xll.VALEUROUTPUT($A$923,_xlfn.CONCAT("THEME14=",$C46),SCENARIOS!$A$2,SCENARIOS!$B$2,X$1)</f>
        <v>0</v>
      </c>
      <c r="Y46" cm="1">
        <f t="array" ref="Y46">_xll.VALEUROUTPUT($A$923,_xlfn.CONCAT("THEME14=",$C46),SCENARIOS!$A$2,SCENARIOS!$B$2,Y$1)</f>
        <v>0</v>
      </c>
      <c r="Z46" cm="1">
        <f t="array" ref="Z46">_xll.VALEUROUTPUT($A$923,_xlfn.CONCAT("THEME14=",$C46),SCENARIOS!$A$2,SCENARIOS!$B$2,Z$1)</f>
        <v>0</v>
      </c>
      <c r="AA46" cm="1">
        <f t="array" ref="AA46">_xll.VALEUROUTPUT($A$923,_xlfn.CONCAT("THEME14=",$C46),SCENARIOS!$A$2,SCENARIOS!$B$2,AA$1)</f>
        <v>0</v>
      </c>
      <c r="AB46" cm="1">
        <f t="array" ref="AB46">_xll.VALEUROUTPUT($A$923,_xlfn.CONCAT("THEME14=",$C46),SCENARIOS!$A$2,SCENARIOS!$B$2,AB$1)</f>
        <v>0</v>
      </c>
      <c r="AC46" cm="1">
        <f t="array" ref="AC46">_xll.VALEUROUTPUT($A$923,_xlfn.CONCAT("THEME14=",$C46),SCENARIOS!$A$2,SCENARIOS!$B$2,AC$1)</f>
        <v>0</v>
      </c>
      <c r="AD46" cm="1">
        <f t="array" ref="AD46">_xll.VALEUROUTPUT($A$923,_xlfn.CONCAT("THEME14=",$C46),SCENARIOS!$A$2,SCENARIOS!$B$2,AD$1)</f>
        <v>0</v>
      </c>
      <c r="AE46" cm="1">
        <f t="array" ref="AE46">_xll.VALEUROUTPUT($A$923,_xlfn.CONCAT("THEME14=",$C46),SCENARIOS!$A$2,SCENARIOS!$B$2,AE$1)</f>
        <v>0</v>
      </c>
      <c r="AF46" cm="1">
        <f t="array" ref="AF46">_xll.VALEUROUTPUT($A$923,_xlfn.CONCAT("THEME14=",$C46),SCENARIOS!$A$2,SCENARIOS!$B$2,AF$1)</f>
        <v>0</v>
      </c>
    </row>
    <row r="47" spans="1:32" x14ac:dyDescent="0.25">
      <c r="A47" t="str">
        <v>OSUPEPC_1_T100%</v>
      </c>
      <c r="D47" cm="1">
        <f t="array" ref="D47">_xll.VALEUROUTPUT($A$923,_xlfn.CONCAT("THEME14=",$C47),SCENARIOS!$A$2,SCENARIOS!$B$2,D$1)</f>
        <v>0</v>
      </c>
      <c r="E47" cm="1">
        <f t="array" ref="E47">_xll.VALEUROUTPUT($A$923,_xlfn.CONCAT("THEME14=",$C47),SCENARIOS!$A$2,SCENARIOS!$B$2,E$1)</f>
        <v>0</v>
      </c>
      <c r="F47" cm="1">
        <f t="array" ref="F47">_xll.VALEUROUTPUT($A$923,_xlfn.CONCAT("THEME14=",$C47),SCENARIOS!$A$2,SCENARIOS!$B$2,F$1)</f>
        <v>0</v>
      </c>
      <c r="G47" cm="1">
        <f t="array" ref="G47">_xll.VALEUROUTPUT($A$923,_xlfn.CONCAT("THEME14=",$C47),SCENARIOS!$A$2,SCENARIOS!$B$2,G$1)</f>
        <v>0</v>
      </c>
      <c r="H47" cm="1">
        <f t="array" ref="H47">_xll.VALEUROUTPUT($A$923,_xlfn.CONCAT("THEME14=",$C47),SCENARIOS!$A$2,SCENARIOS!$B$2,H$1)</f>
        <v>0</v>
      </c>
      <c r="I47" cm="1">
        <f t="array" ref="I47">_xll.VALEUROUTPUT($A$923,_xlfn.CONCAT("THEME14=",$C47),SCENARIOS!$A$2,SCENARIOS!$B$2,I$1)</f>
        <v>0</v>
      </c>
      <c r="J47" cm="1">
        <f t="array" ref="J47">_xll.VALEUROUTPUT($A$923,_xlfn.CONCAT("THEME14=",$C47),SCENARIOS!$A$2,SCENARIOS!$B$2,J$1)</f>
        <v>0</v>
      </c>
      <c r="K47" cm="1">
        <f t="array" ref="K47">_xll.VALEUROUTPUT($A$923,_xlfn.CONCAT("THEME14=",$C47),SCENARIOS!$A$2,SCENARIOS!$B$2,K$1)</f>
        <v>0</v>
      </c>
      <c r="L47" cm="1">
        <f t="array" ref="L47">_xll.VALEUROUTPUT($A$923,_xlfn.CONCAT("THEME14=",$C47),SCENARIOS!$A$2,SCENARIOS!$B$2,L$1)</f>
        <v>0</v>
      </c>
      <c r="M47" cm="1">
        <f t="array" ref="M47">_xll.VALEUROUTPUT($A$923,_xlfn.CONCAT("THEME14=",$C47),SCENARIOS!$A$2,SCENARIOS!$B$2,M$1)</f>
        <v>0</v>
      </c>
      <c r="N47" cm="1">
        <f t="array" ref="N47">_xll.VALEUROUTPUT($A$923,_xlfn.CONCAT("THEME14=",$C47),SCENARIOS!$A$2,SCENARIOS!$B$2,N$1)</f>
        <v>0</v>
      </c>
      <c r="O47" cm="1">
        <f t="array" ref="O47">_xll.VALEUROUTPUT($A$923,_xlfn.CONCAT("THEME14=",$C47),SCENARIOS!$A$2,SCENARIOS!$B$2,O$1)</f>
        <v>0</v>
      </c>
      <c r="P47" cm="1">
        <f t="array" ref="P47">_xll.VALEUROUTPUT($A$923,_xlfn.CONCAT("THEME14=",$C47),SCENARIOS!$A$2,SCENARIOS!$B$2,P$1)</f>
        <v>0</v>
      </c>
      <c r="Q47" cm="1">
        <f t="array" ref="Q47">_xll.VALEUROUTPUT($A$923,_xlfn.CONCAT("THEME14=",$C47),SCENARIOS!$A$2,SCENARIOS!$B$2,Q$1)</f>
        <v>0</v>
      </c>
      <c r="R47" cm="1">
        <f t="array" ref="R47">_xll.VALEUROUTPUT($A$923,_xlfn.CONCAT("THEME14=",$C47),SCENARIOS!$A$2,SCENARIOS!$B$2,R$1)</f>
        <v>0</v>
      </c>
      <c r="S47" cm="1">
        <f t="array" ref="S47">_xll.VALEUROUTPUT($A$923,_xlfn.CONCAT("THEME14=",$C47),SCENARIOS!$A$2,SCENARIOS!$B$2,S$1)</f>
        <v>0</v>
      </c>
      <c r="T47" cm="1">
        <f t="array" ref="T47">_xll.VALEUROUTPUT($A$923,_xlfn.CONCAT("THEME14=",$C47),SCENARIOS!$A$2,SCENARIOS!$B$2,T$1)</f>
        <v>0</v>
      </c>
      <c r="U47" cm="1">
        <f t="array" ref="U47">_xll.VALEUROUTPUT($A$923,_xlfn.CONCAT("THEME14=",$C47),SCENARIOS!$A$2,SCENARIOS!$B$2,U$1)</f>
        <v>0</v>
      </c>
      <c r="V47" cm="1">
        <f t="array" ref="V47">_xll.VALEUROUTPUT($A$923,_xlfn.CONCAT("THEME14=",$C47),SCENARIOS!$A$2,SCENARIOS!$B$2,V$1)</f>
        <v>0</v>
      </c>
      <c r="W47" cm="1">
        <f t="array" ref="W47">_xll.VALEUROUTPUT($A$923,_xlfn.CONCAT("THEME14=",$C47),SCENARIOS!$A$2,SCENARIOS!$B$2,W$1)</f>
        <v>0</v>
      </c>
      <c r="X47" cm="1">
        <f t="array" ref="X47">_xll.VALEUROUTPUT($A$923,_xlfn.CONCAT("THEME14=",$C47),SCENARIOS!$A$2,SCENARIOS!$B$2,X$1)</f>
        <v>0</v>
      </c>
      <c r="Y47" cm="1">
        <f t="array" ref="Y47">_xll.VALEUROUTPUT($A$923,_xlfn.CONCAT("THEME14=",$C47),SCENARIOS!$A$2,SCENARIOS!$B$2,Y$1)</f>
        <v>0</v>
      </c>
      <c r="Z47" cm="1">
        <f t="array" ref="Z47">_xll.VALEUROUTPUT($A$923,_xlfn.CONCAT("THEME14=",$C47),SCENARIOS!$A$2,SCENARIOS!$B$2,Z$1)</f>
        <v>0</v>
      </c>
      <c r="AA47" cm="1">
        <f t="array" ref="AA47">_xll.VALEUROUTPUT($A$923,_xlfn.CONCAT("THEME14=",$C47),SCENARIOS!$A$2,SCENARIOS!$B$2,AA$1)</f>
        <v>0</v>
      </c>
      <c r="AB47" cm="1">
        <f t="array" ref="AB47">_xll.VALEUROUTPUT($A$923,_xlfn.CONCAT("THEME14=",$C47),SCENARIOS!$A$2,SCENARIOS!$B$2,AB$1)</f>
        <v>0</v>
      </c>
      <c r="AC47" cm="1">
        <f t="array" ref="AC47">_xll.VALEUROUTPUT($A$923,_xlfn.CONCAT("THEME14=",$C47),SCENARIOS!$A$2,SCENARIOS!$B$2,AC$1)</f>
        <v>0</v>
      </c>
      <c r="AD47" cm="1">
        <f t="array" ref="AD47">_xll.VALEUROUTPUT($A$923,_xlfn.CONCAT("THEME14=",$C47),SCENARIOS!$A$2,SCENARIOS!$B$2,AD$1)</f>
        <v>0</v>
      </c>
      <c r="AE47" cm="1">
        <f t="array" ref="AE47">_xll.VALEUROUTPUT($A$923,_xlfn.CONCAT("THEME14=",$C47),SCENARIOS!$A$2,SCENARIOS!$B$2,AE$1)</f>
        <v>0</v>
      </c>
      <c r="AF47" cm="1">
        <f t="array" ref="AF47">_xll.VALEUROUTPUT($A$923,_xlfn.CONCAT("THEME14=",$C47),SCENARIOS!$A$2,SCENARIOS!$B$2,AF$1)</f>
        <v>0</v>
      </c>
    </row>
    <row r="48" spans="1:32" x14ac:dyDescent="0.25">
      <c r="A48" t="str">
        <v>OSUPEPC_2_T100%</v>
      </c>
      <c r="D48" cm="1">
        <f t="array" ref="D48">_xll.VALEUROUTPUT($A$923,_xlfn.CONCAT("THEME14=",$C48),SCENARIOS!$A$2,SCENARIOS!$B$2,D$1)</f>
        <v>0</v>
      </c>
      <c r="E48" cm="1">
        <f t="array" ref="E48">_xll.VALEUROUTPUT($A$923,_xlfn.CONCAT("THEME14=",$C48),SCENARIOS!$A$2,SCENARIOS!$B$2,E$1)</f>
        <v>0</v>
      </c>
      <c r="F48" cm="1">
        <f t="array" ref="F48">_xll.VALEUROUTPUT($A$923,_xlfn.CONCAT("THEME14=",$C48),SCENARIOS!$A$2,SCENARIOS!$B$2,F$1)</f>
        <v>0</v>
      </c>
      <c r="G48" cm="1">
        <f t="array" ref="G48">_xll.VALEUROUTPUT($A$923,_xlfn.CONCAT("THEME14=",$C48),SCENARIOS!$A$2,SCENARIOS!$B$2,G$1)</f>
        <v>0</v>
      </c>
      <c r="H48" cm="1">
        <f t="array" ref="H48">_xll.VALEUROUTPUT($A$923,_xlfn.CONCAT("THEME14=",$C48),SCENARIOS!$A$2,SCENARIOS!$B$2,H$1)</f>
        <v>0</v>
      </c>
      <c r="I48" cm="1">
        <f t="array" ref="I48">_xll.VALEUROUTPUT($A$923,_xlfn.CONCAT("THEME14=",$C48),SCENARIOS!$A$2,SCENARIOS!$B$2,I$1)</f>
        <v>0</v>
      </c>
      <c r="J48" cm="1">
        <f t="array" ref="J48">_xll.VALEUROUTPUT($A$923,_xlfn.CONCAT("THEME14=",$C48),SCENARIOS!$A$2,SCENARIOS!$B$2,J$1)</f>
        <v>0</v>
      </c>
      <c r="K48" cm="1">
        <f t="array" ref="K48">_xll.VALEUROUTPUT($A$923,_xlfn.CONCAT("THEME14=",$C48),SCENARIOS!$A$2,SCENARIOS!$B$2,K$1)</f>
        <v>0</v>
      </c>
      <c r="L48" cm="1">
        <f t="array" ref="L48">_xll.VALEUROUTPUT($A$923,_xlfn.CONCAT("THEME14=",$C48),SCENARIOS!$A$2,SCENARIOS!$B$2,L$1)</f>
        <v>0</v>
      </c>
      <c r="M48" cm="1">
        <f t="array" ref="M48">_xll.VALEUROUTPUT($A$923,_xlfn.CONCAT("THEME14=",$C48),SCENARIOS!$A$2,SCENARIOS!$B$2,M$1)</f>
        <v>0</v>
      </c>
      <c r="N48" cm="1">
        <f t="array" ref="N48">_xll.VALEUROUTPUT($A$923,_xlfn.CONCAT("THEME14=",$C48),SCENARIOS!$A$2,SCENARIOS!$B$2,N$1)</f>
        <v>0</v>
      </c>
      <c r="O48" cm="1">
        <f t="array" ref="O48">_xll.VALEUROUTPUT($A$923,_xlfn.CONCAT("THEME14=",$C48),SCENARIOS!$A$2,SCENARIOS!$B$2,O$1)</f>
        <v>0</v>
      </c>
      <c r="P48" cm="1">
        <f t="array" ref="P48">_xll.VALEUROUTPUT($A$923,_xlfn.CONCAT("THEME14=",$C48),SCENARIOS!$A$2,SCENARIOS!$B$2,P$1)</f>
        <v>0</v>
      </c>
      <c r="Q48" cm="1">
        <f t="array" ref="Q48">_xll.VALEUROUTPUT($A$923,_xlfn.CONCAT("THEME14=",$C48),SCENARIOS!$A$2,SCENARIOS!$B$2,Q$1)</f>
        <v>0</v>
      </c>
      <c r="R48" cm="1">
        <f t="array" ref="R48">_xll.VALEUROUTPUT($A$923,_xlfn.CONCAT("THEME14=",$C48),SCENARIOS!$A$2,SCENARIOS!$B$2,R$1)</f>
        <v>0</v>
      </c>
      <c r="S48" cm="1">
        <f t="array" ref="S48">_xll.VALEUROUTPUT($A$923,_xlfn.CONCAT("THEME14=",$C48),SCENARIOS!$A$2,SCENARIOS!$B$2,S$1)</f>
        <v>0</v>
      </c>
      <c r="T48" cm="1">
        <f t="array" ref="T48">_xll.VALEUROUTPUT($A$923,_xlfn.CONCAT("THEME14=",$C48),SCENARIOS!$A$2,SCENARIOS!$B$2,T$1)</f>
        <v>0</v>
      </c>
      <c r="U48" cm="1">
        <f t="array" ref="U48">_xll.VALEUROUTPUT($A$923,_xlfn.CONCAT("THEME14=",$C48),SCENARIOS!$A$2,SCENARIOS!$B$2,U$1)</f>
        <v>0</v>
      </c>
      <c r="V48" cm="1">
        <f t="array" ref="V48">_xll.VALEUROUTPUT($A$923,_xlfn.CONCAT("THEME14=",$C48),SCENARIOS!$A$2,SCENARIOS!$B$2,V$1)</f>
        <v>0</v>
      </c>
      <c r="W48" cm="1">
        <f t="array" ref="W48">_xll.VALEUROUTPUT($A$923,_xlfn.CONCAT("THEME14=",$C48),SCENARIOS!$A$2,SCENARIOS!$B$2,W$1)</f>
        <v>0</v>
      </c>
      <c r="X48" cm="1">
        <f t="array" ref="X48">_xll.VALEUROUTPUT($A$923,_xlfn.CONCAT("THEME14=",$C48),SCENARIOS!$A$2,SCENARIOS!$B$2,X$1)</f>
        <v>0</v>
      </c>
      <c r="Y48" cm="1">
        <f t="array" ref="Y48">_xll.VALEUROUTPUT($A$923,_xlfn.CONCAT("THEME14=",$C48),SCENARIOS!$A$2,SCENARIOS!$B$2,Y$1)</f>
        <v>0</v>
      </c>
      <c r="Z48" cm="1">
        <f t="array" ref="Z48">_xll.VALEUROUTPUT($A$923,_xlfn.CONCAT("THEME14=",$C48),SCENARIOS!$A$2,SCENARIOS!$B$2,Z$1)</f>
        <v>0</v>
      </c>
      <c r="AA48" cm="1">
        <f t="array" ref="AA48">_xll.VALEUROUTPUT($A$923,_xlfn.CONCAT("THEME14=",$C48),SCENARIOS!$A$2,SCENARIOS!$B$2,AA$1)</f>
        <v>0</v>
      </c>
      <c r="AB48" cm="1">
        <f t="array" ref="AB48">_xll.VALEUROUTPUT($A$923,_xlfn.CONCAT("THEME14=",$C48),SCENARIOS!$A$2,SCENARIOS!$B$2,AB$1)</f>
        <v>0</v>
      </c>
      <c r="AC48" cm="1">
        <f t="array" ref="AC48">_xll.VALEUROUTPUT($A$923,_xlfn.CONCAT("THEME14=",$C48),SCENARIOS!$A$2,SCENARIOS!$B$2,AC$1)</f>
        <v>0</v>
      </c>
      <c r="AD48" cm="1">
        <f t="array" ref="AD48">_xll.VALEUROUTPUT($A$923,_xlfn.CONCAT("THEME14=",$C48),SCENARIOS!$A$2,SCENARIOS!$B$2,AD$1)</f>
        <v>0</v>
      </c>
      <c r="AE48" cm="1">
        <f t="array" ref="AE48">_xll.VALEUROUTPUT($A$923,_xlfn.CONCAT("THEME14=",$C48),SCENARIOS!$A$2,SCENARIOS!$B$2,AE$1)</f>
        <v>0</v>
      </c>
      <c r="AF48" cm="1">
        <f t="array" ref="AF48">_xll.VALEUROUTPUT($A$923,_xlfn.CONCAT("THEME14=",$C48),SCENARIOS!$A$2,SCENARIOS!$B$2,AF$1)</f>
        <v>0</v>
      </c>
    </row>
    <row r="49" spans="1:32" x14ac:dyDescent="0.25">
      <c r="A49" t="str">
        <v>OSUPEPC_1</v>
      </c>
      <c r="D49" cm="1">
        <f t="array" ref="D49">_xll.VALEUROUTPUT($A$923,_xlfn.CONCAT("THEME14=",$C49),SCENARIOS!$A$2,SCENARIOS!$B$2,D$1)</f>
        <v>0</v>
      </c>
      <c r="E49" cm="1">
        <f t="array" ref="E49">_xll.VALEUROUTPUT($A$923,_xlfn.CONCAT("THEME14=",$C49),SCENARIOS!$A$2,SCENARIOS!$B$2,E$1)</f>
        <v>0</v>
      </c>
      <c r="F49" cm="1">
        <f t="array" ref="F49">_xll.VALEUROUTPUT($A$923,_xlfn.CONCAT("THEME14=",$C49),SCENARIOS!$A$2,SCENARIOS!$B$2,F$1)</f>
        <v>0</v>
      </c>
      <c r="G49" cm="1">
        <f t="array" ref="G49">_xll.VALEUROUTPUT($A$923,_xlfn.CONCAT("THEME14=",$C49),SCENARIOS!$A$2,SCENARIOS!$B$2,G$1)</f>
        <v>0</v>
      </c>
      <c r="H49" cm="1">
        <f t="array" ref="H49">_xll.VALEUROUTPUT($A$923,_xlfn.CONCAT("THEME14=",$C49),SCENARIOS!$A$2,SCENARIOS!$B$2,H$1)</f>
        <v>0</v>
      </c>
      <c r="I49" cm="1">
        <f t="array" ref="I49">_xll.VALEUROUTPUT($A$923,_xlfn.CONCAT("THEME14=",$C49),SCENARIOS!$A$2,SCENARIOS!$B$2,I$1)</f>
        <v>0</v>
      </c>
      <c r="J49" cm="1">
        <f t="array" ref="J49">_xll.VALEUROUTPUT($A$923,_xlfn.CONCAT("THEME14=",$C49),SCENARIOS!$A$2,SCENARIOS!$B$2,J$1)</f>
        <v>0</v>
      </c>
      <c r="K49" cm="1">
        <f t="array" ref="K49">_xll.VALEUROUTPUT($A$923,_xlfn.CONCAT("THEME14=",$C49),SCENARIOS!$A$2,SCENARIOS!$B$2,K$1)</f>
        <v>0</v>
      </c>
      <c r="L49" cm="1">
        <f t="array" ref="L49">_xll.VALEUROUTPUT($A$923,_xlfn.CONCAT("THEME14=",$C49),SCENARIOS!$A$2,SCENARIOS!$B$2,L$1)</f>
        <v>0</v>
      </c>
      <c r="M49" cm="1">
        <f t="array" ref="M49">_xll.VALEUROUTPUT($A$923,_xlfn.CONCAT("THEME14=",$C49),SCENARIOS!$A$2,SCENARIOS!$B$2,M$1)</f>
        <v>0</v>
      </c>
      <c r="N49" cm="1">
        <f t="array" ref="N49">_xll.VALEUROUTPUT($A$923,_xlfn.CONCAT("THEME14=",$C49),SCENARIOS!$A$2,SCENARIOS!$B$2,N$1)</f>
        <v>0</v>
      </c>
      <c r="O49" cm="1">
        <f t="array" ref="O49">_xll.VALEUROUTPUT($A$923,_xlfn.CONCAT("THEME14=",$C49),SCENARIOS!$A$2,SCENARIOS!$B$2,O$1)</f>
        <v>0</v>
      </c>
      <c r="P49" cm="1">
        <f t="array" ref="P49">_xll.VALEUROUTPUT($A$923,_xlfn.CONCAT("THEME14=",$C49),SCENARIOS!$A$2,SCENARIOS!$B$2,P$1)</f>
        <v>0</v>
      </c>
      <c r="Q49" cm="1">
        <f t="array" ref="Q49">_xll.VALEUROUTPUT($A$923,_xlfn.CONCAT("THEME14=",$C49),SCENARIOS!$A$2,SCENARIOS!$B$2,Q$1)</f>
        <v>0</v>
      </c>
      <c r="R49" cm="1">
        <f t="array" ref="R49">_xll.VALEUROUTPUT($A$923,_xlfn.CONCAT("THEME14=",$C49),SCENARIOS!$A$2,SCENARIOS!$B$2,R$1)</f>
        <v>0</v>
      </c>
      <c r="S49" cm="1">
        <f t="array" ref="S49">_xll.VALEUROUTPUT($A$923,_xlfn.CONCAT("THEME14=",$C49),SCENARIOS!$A$2,SCENARIOS!$B$2,S$1)</f>
        <v>0</v>
      </c>
      <c r="T49" cm="1">
        <f t="array" ref="T49">_xll.VALEUROUTPUT($A$923,_xlfn.CONCAT("THEME14=",$C49),SCENARIOS!$A$2,SCENARIOS!$B$2,T$1)</f>
        <v>0</v>
      </c>
      <c r="U49" cm="1">
        <f t="array" ref="U49">_xll.VALEUROUTPUT($A$923,_xlfn.CONCAT("THEME14=",$C49),SCENARIOS!$A$2,SCENARIOS!$B$2,U$1)</f>
        <v>0</v>
      </c>
      <c r="V49" cm="1">
        <f t="array" ref="V49">_xll.VALEUROUTPUT($A$923,_xlfn.CONCAT("THEME14=",$C49),SCENARIOS!$A$2,SCENARIOS!$B$2,V$1)</f>
        <v>0</v>
      </c>
      <c r="W49" cm="1">
        <f t="array" ref="W49">_xll.VALEUROUTPUT($A$923,_xlfn.CONCAT("THEME14=",$C49),SCENARIOS!$A$2,SCENARIOS!$B$2,W$1)</f>
        <v>0</v>
      </c>
      <c r="X49" cm="1">
        <f t="array" ref="X49">_xll.VALEUROUTPUT($A$923,_xlfn.CONCAT("THEME14=",$C49),SCENARIOS!$A$2,SCENARIOS!$B$2,X$1)</f>
        <v>0</v>
      </c>
      <c r="Y49" cm="1">
        <f t="array" ref="Y49">_xll.VALEUROUTPUT($A$923,_xlfn.CONCAT("THEME14=",$C49),SCENARIOS!$A$2,SCENARIOS!$B$2,Y$1)</f>
        <v>0</v>
      </c>
      <c r="Z49" cm="1">
        <f t="array" ref="Z49">_xll.VALEUROUTPUT($A$923,_xlfn.CONCAT("THEME14=",$C49),SCENARIOS!$A$2,SCENARIOS!$B$2,Z$1)</f>
        <v>0</v>
      </c>
      <c r="AA49" cm="1">
        <f t="array" ref="AA49">_xll.VALEUROUTPUT($A$923,_xlfn.CONCAT("THEME14=",$C49),SCENARIOS!$A$2,SCENARIOS!$B$2,AA$1)</f>
        <v>0</v>
      </c>
      <c r="AB49" cm="1">
        <f t="array" ref="AB49">_xll.VALEUROUTPUT($A$923,_xlfn.CONCAT("THEME14=",$C49),SCENARIOS!$A$2,SCENARIOS!$B$2,AB$1)</f>
        <v>0</v>
      </c>
      <c r="AC49" cm="1">
        <f t="array" ref="AC49">_xll.VALEUROUTPUT($A$923,_xlfn.CONCAT("THEME14=",$C49),SCENARIOS!$A$2,SCENARIOS!$B$2,AC$1)</f>
        <v>0</v>
      </c>
      <c r="AD49" cm="1">
        <f t="array" ref="AD49">_xll.VALEUROUTPUT($A$923,_xlfn.CONCAT("THEME14=",$C49),SCENARIOS!$A$2,SCENARIOS!$B$2,AD$1)</f>
        <v>0</v>
      </c>
      <c r="AE49" cm="1">
        <f t="array" ref="AE49">_xll.VALEUROUTPUT($A$923,_xlfn.CONCAT("THEME14=",$C49),SCENARIOS!$A$2,SCENARIOS!$B$2,AE$1)</f>
        <v>0</v>
      </c>
      <c r="AF49" cm="1">
        <f t="array" ref="AF49">_xll.VALEUROUTPUT($A$923,_xlfn.CONCAT("THEME14=",$C49),SCENARIOS!$A$2,SCENARIOS!$B$2,AF$1)</f>
        <v>0</v>
      </c>
    </row>
    <row r="50" spans="1:32" x14ac:dyDescent="0.25">
      <c r="A50" t="str">
        <v>OSUPEPC_2</v>
      </c>
      <c r="D50" cm="1">
        <f t="array" ref="D50">_xll.VALEUROUTPUT($A$923,_xlfn.CONCAT("THEME14=",$C50),SCENARIOS!$A$2,SCENARIOS!$B$2,D$1)</f>
        <v>0</v>
      </c>
      <c r="E50" cm="1">
        <f t="array" ref="E50">_xll.VALEUROUTPUT($A$923,_xlfn.CONCAT("THEME14=",$C50),SCENARIOS!$A$2,SCENARIOS!$B$2,E$1)</f>
        <v>0</v>
      </c>
      <c r="F50" cm="1">
        <f t="array" ref="F50">_xll.VALEUROUTPUT($A$923,_xlfn.CONCAT("THEME14=",$C50),SCENARIOS!$A$2,SCENARIOS!$B$2,F$1)</f>
        <v>0</v>
      </c>
      <c r="G50" cm="1">
        <f t="array" ref="G50">_xll.VALEUROUTPUT($A$923,_xlfn.CONCAT("THEME14=",$C50),SCENARIOS!$A$2,SCENARIOS!$B$2,G$1)</f>
        <v>0</v>
      </c>
      <c r="H50" cm="1">
        <f t="array" ref="H50">_xll.VALEUROUTPUT($A$923,_xlfn.CONCAT("THEME14=",$C50),SCENARIOS!$A$2,SCENARIOS!$B$2,H$1)</f>
        <v>0</v>
      </c>
      <c r="I50" cm="1">
        <f t="array" ref="I50">_xll.VALEUROUTPUT($A$923,_xlfn.CONCAT("THEME14=",$C50),SCENARIOS!$A$2,SCENARIOS!$B$2,I$1)</f>
        <v>0</v>
      </c>
      <c r="J50" cm="1">
        <f t="array" ref="J50">_xll.VALEUROUTPUT($A$923,_xlfn.CONCAT("THEME14=",$C50),SCENARIOS!$A$2,SCENARIOS!$B$2,J$1)</f>
        <v>0</v>
      </c>
      <c r="K50" cm="1">
        <f t="array" ref="K50">_xll.VALEUROUTPUT($A$923,_xlfn.CONCAT("THEME14=",$C50),SCENARIOS!$A$2,SCENARIOS!$B$2,K$1)</f>
        <v>0</v>
      </c>
      <c r="L50" cm="1">
        <f t="array" ref="L50">_xll.VALEUROUTPUT($A$923,_xlfn.CONCAT("THEME14=",$C50),SCENARIOS!$A$2,SCENARIOS!$B$2,L$1)</f>
        <v>0</v>
      </c>
      <c r="M50" cm="1">
        <f t="array" ref="M50">_xll.VALEUROUTPUT($A$923,_xlfn.CONCAT("THEME14=",$C50),SCENARIOS!$A$2,SCENARIOS!$B$2,M$1)</f>
        <v>0</v>
      </c>
      <c r="N50" cm="1">
        <f t="array" ref="N50">_xll.VALEUROUTPUT($A$923,_xlfn.CONCAT("THEME14=",$C50),SCENARIOS!$A$2,SCENARIOS!$B$2,N$1)</f>
        <v>0</v>
      </c>
      <c r="O50" cm="1">
        <f t="array" ref="O50">_xll.VALEUROUTPUT($A$923,_xlfn.CONCAT("THEME14=",$C50),SCENARIOS!$A$2,SCENARIOS!$B$2,O$1)</f>
        <v>0</v>
      </c>
      <c r="P50" cm="1">
        <f t="array" ref="P50">_xll.VALEUROUTPUT($A$923,_xlfn.CONCAT("THEME14=",$C50),SCENARIOS!$A$2,SCENARIOS!$B$2,P$1)</f>
        <v>0</v>
      </c>
      <c r="Q50" cm="1">
        <f t="array" ref="Q50">_xll.VALEUROUTPUT($A$923,_xlfn.CONCAT("THEME14=",$C50),SCENARIOS!$A$2,SCENARIOS!$B$2,Q$1)</f>
        <v>0</v>
      </c>
      <c r="R50" cm="1">
        <f t="array" ref="R50">_xll.VALEUROUTPUT($A$923,_xlfn.CONCAT("THEME14=",$C50),SCENARIOS!$A$2,SCENARIOS!$B$2,R$1)</f>
        <v>0</v>
      </c>
      <c r="S50" cm="1">
        <f t="array" ref="S50">_xll.VALEUROUTPUT($A$923,_xlfn.CONCAT("THEME14=",$C50),SCENARIOS!$A$2,SCENARIOS!$B$2,S$1)</f>
        <v>0</v>
      </c>
      <c r="T50" cm="1">
        <f t="array" ref="T50">_xll.VALEUROUTPUT($A$923,_xlfn.CONCAT("THEME14=",$C50),SCENARIOS!$A$2,SCENARIOS!$B$2,T$1)</f>
        <v>0</v>
      </c>
      <c r="U50" cm="1">
        <f t="array" ref="U50">_xll.VALEUROUTPUT($A$923,_xlfn.CONCAT("THEME14=",$C50),SCENARIOS!$A$2,SCENARIOS!$B$2,U$1)</f>
        <v>0</v>
      </c>
      <c r="V50" cm="1">
        <f t="array" ref="V50">_xll.VALEUROUTPUT($A$923,_xlfn.CONCAT("THEME14=",$C50),SCENARIOS!$A$2,SCENARIOS!$B$2,V$1)</f>
        <v>0</v>
      </c>
      <c r="W50" cm="1">
        <f t="array" ref="W50">_xll.VALEUROUTPUT($A$923,_xlfn.CONCAT("THEME14=",$C50),SCENARIOS!$A$2,SCENARIOS!$B$2,W$1)</f>
        <v>0</v>
      </c>
      <c r="X50" cm="1">
        <f t="array" ref="X50">_xll.VALEUROUTPUT($A$923,_xlfn.CONCAT("THEME14=",$C50),SCENARIOS!$A$2,SCENARIOS!$B$2,X$1)</f>
        <v>0</v>
      </c>
      <c r="Y50" cm="1">
        <f t="array" ref="Y50">_xll.VALEUROUTPUT($A$923,_xlfn.CONCAT("THEME14=",$C50),SCENARIOS!$A$2,SCENARIOS!$B$2,Y$1)</f>
        <v>0</v>
      </c>
      <c r="Z50" cm="1">
        <f t="array" ref="Z50">_xll.VALEUROUTPUT($A$923,_xlfn.CONCAT("THEME14=",$C50),SCENARIOS!$A$2,SCENARIOS!$B$2,Z$1)</f>
        <v>0</v>
      </c>
      <c r="AA50" cm="1">
        <f t="array" ref="AA50">_xll.VALEUROUTPUT($A$923,_xlfn.CONCAT("THEME14=",$C50),SCENARIOS!$A$2,SCENARIOS!$B$2,AA$1)</f>
        <v>0</v>
      </c>
      <c r="AB50" cm="1">
        <f t="array" ref="AB50">_xll.VALEUROUTPUT($A$923,_xlfn.CONCAT("THEME14=",$C50),SCENARIOS!$A$2,SCENARIOS!$B$2,AB$1)</f>
        <v>0</v>
      </c>
      <c r="AC50" cm="1">
        <f t="array" ref="AC50">_xll.VALEUROUTPUT($A$923,_xlfn.CONCAT("THEME14=",$C50),SCENARIOS!$A$2,SCENARIOS!$B$2,AC$1)</f>
        <v>0</v>
      </c>
      <c r="AD50" cm="1">
        <f t="array" ref="AD50">_xll.VALEUROUTPUT($A$923,_xlfn.CONCAT("THEME14=",$C50),SCENARIOS!$A$2,SCENARIOS!$B$2,AD$1)</f>
        <v>0</v>
      </c>
      <c r="AE50" cm="1">
        <f t="array" ref="AE50">_xll.VALEUROUTPUT($A$923,_xlfn.CONCAT("THEME14=",$C50),SCENARIOS!$A$2,SCENARIOS!$B$2,AE$1)</f>
        <v>0</v>
      </c>
      <c r="AF50" cm="1">
        <f t="array" ref="AF50">_xll.VALEUROUTPUT($A$923,_xlfn.CONCAT("THEME14=",$C50),SCENARIOS!$A$2,SCENARIOS!$B$2,AF$1)</f>
        <v>0</v>
      </c>
    </row>
    <row r="51" spans="1:32" x14ac:dyDescent="0.25">
      <c r="A51" t="str">
        <v>OSUPACTEC_SEPM_T100%</v>
      </c>
      <c r="D51" cm="1">
        <f t="array" ref="D51">_xll.VALEUROUTPUT($A$923,_xlfn.CONCAT("THEME14=",$C51),SCENARIOS!$A$2,SCENARIOS!$B$2,D$1)</f>
        <v>0</v>
      </c>
      <c r="E51" cm="1">
        <f t="array" ref="E51">_xll.VALEUROUTPUT($A$923,_xlfn.CONCAT("THEME14=",$C51),SCENARIOS!$A$2,SCENARIOS!$B$2,E$1)</f>
        <v>0</v>
      </c>
      <c r="F51" cm="1">
        <f t="array" ref="F51">_xll.VALEUROUTPUT($A$923,_xlfn.CONCAT("THEME14=",$C51),SCENARIOS!$A$2,SCENARIOS!$B$2,F$1)</f>
        <v>0</v>
      </c>
      <c r="G51" cm="1">
        <f t="array" ref="G51">_xll.VALEUROUTPUT($A$923,_xlfn.CONCAT("THEME14=",$C51),SCENARIOS!$A$2,SCENARIOS!$B$2,G$1)</f>
        <v>0</v>
      </c>
      <c r="H51" cm="1">
        <f t="array" ref="H51">_xll.VALEUROUTPUT($A$923,_xlfn.CONCAT("THEME14=",$C51),SCENARIOS!$A$2,SCENARIOS!$B$2,H$1)</f>
        <v>0</v>
      </c>
      <c r="I51" cm="1">
        <f t="array" ref="I51">_xll.VALEUROUTPUT($A$923,_xlfn.CONCAT("THEME14=",$C51),SCENARIOS!$A$2,SCENARIOS!$B$2,I$1)</f>
        <v>0</v>
      </c>
      <c r="J51" cm="1">
        <f t="array" ref="J51">_xll.VALEUROUTPUT($A$923,_xlfn.CONCAT("THEME14=",$C51),SCENARIOS!$A$2,SCENARIOS!$B$2,J$1)</f>
        <v>0</v>
      </c>
      <c r="K51" cm="1">
        <f t="array" ref="K51">_xll.VALEUROUTPUT($A$923,_xlfn.CONCAT("THEME14=",$C51),SCENARIOS!$A$2,SCENARIOS!$B$2,K$1)</f>
        <v>0</v>
      </c>
      <c r="L51" cm="1">
        <f t="array" ref="L51">_xll.VALEUROUTPUT($A$923,_xlfn.CONCAT("THEME14=",$C51),SCENARIOS!$A$2,SCENARIOS!$B$2,L$1)</f>
        <v>0</v>
      </c>
      <c r="M51" cm="1">
        <f t="array" ref="M51">_xll.VALEUROUTPUT($A$923,_xlfn.CONCAT("THEME14=",$C51),SCENARIOS!$A$2,SCENARIOS!$B$2,M$1)</f>
        <v>0</v>
      </c>
      <c r="N51" cm="1">
        <f t="array" ref="N51">_xll.VALEUROUTPUT($A$923,_xlfn.CONCAT("THEME14=",$C51),SCENARIOS!$A$2,SCENARIOS!$B$2,N$1)</f>
        <v>0</v>
      </c>
      <c r="O51" cm="1">
        <f t="array" ref="O51">_xll.VALEUROUTPUT($A$923,_xlfn.CONCAT("THEME14=",$C51),SCENARIOS!$A$2,SCENARIOS!$B$2,O$1)</f>
        <v>0</v>
      </c>
      <c r="P51" cm="1">
        <f t="array" ref="P51">_xll.VALEUROUTPUT($A$923,_xlfn.CONCAT("THEME14=",$C51),SCENARIOS!$A$2,SCENARIOS!$B$2,P$1)</f>
        <v>0</v>
      </c>
      <c r="Q51" cm="1">
        <f t="array" ref="Q51">_xll.VALEUROUTPUT($A$923,_xlfn.CONCAT("THEME14=",$C51),SCENARIOS!$A$2,SCENARIOS!$B$2,Q$1)</f>
        <v>0</v>
      </c>
      <c r="R51" cm="1">
        <f t="array" ref="R51">_xll.VALEUROUTPUT($A$923,_xlfn.CONCAT("THEME14=",$C51),SCENARIOS!$A$2,SCENARIOS!$B$2,R$1)</f>
        <v>0</v>
      </c>
      <c r="S51" cm="1">
        <f t="array" ref="S51">_xll.VALEUROUTPUT($A$923,_xlfn.CONCAT("THEME14=",$C51),SCENARIOS!$A$2,SCENARIOS!$B$2,S$1)</f>
        <v>0</v>
      </c>
      <c r="T51" cm="1">
        <f t="array" ref="T51">_xll.VALEUROUTPUT($A$923,_xlfn.CONCAT("THEME14=",$C51),SCENARIOS!$A$2,SCENARIOS!$B$2,T$1)</f>
        <v>0</v>
      </c>
      <c r="U51" cm="1">
        <f t="array" ref="U51">_xll.VALEUROUTPUT($A$923,_xlfn.CONCAT("THEME14=",$C51),SCENARIOS!$A$2,SCENARIOS!$B$2,U$1)</f>
        <v>0</v>
      </c>
      <c r="V51" cm="1">
        <f t="array" ref="V51">_xll.VALEUROUTPUT($A$923,_xlfn.CONCAT("THEME14=",$C51),SCENARIOS!$A$2,SCENARIOS!$B$2,V$1)</f>
        <v>0</v>
      </c>
      <c r="W51" cm="1">
        <f t="array" ref="W51">_xll.VALEUROUTPUT($A$923,_xlfn.CONCAT("THEME14=",$C51),SCENARIOS!$A$2,SCENARIOS!$B$2,W$1)</f>
        <v>0</v>
      </c>
      <c r="X51" cm="1">
        <f t="array" ref="X51">_xll.VALEUROUTPUT($A$923,_xlfn.CONCAT("THEME14=",$C51),SCENARIOS!$A$2,SCENARIOS!$B$2,X$1)</f>
        <v>0</v>
      </c>
      <c r="Y51" cm="1">
        <f t="array" ref="Y51">_xll.VALEUROUTPUT($A$923,_xlfn.CONCAT("THEME14=",$C51),SCENARIOS!$A$2,SCENARIOS!$B$2,Y$1)</f>
        <v>0</v>
      </c>
      <c r="Z51" cm="1">
        <f t="array" ref="Z51">_xll.VALEUROUTPUT($A$923,_xlfn.CONCAT("THEME14=",$C51),SCENARIOS!$A$2,SCENARIOS!$B$2,Z$1)</f>
        <v>0</v>
      </c>
      <c r="AA51" cm="1">
        <f t="array" ref="AA51">_xll.VALEUROUTPUT($A$923,_xlfn.CONCAT("THEME14=",$C51),SCENARIOS!$A$2,SCENARIOS!$B$2,AA$1)</f>
        <v>0</v>
      </c>
      <c r="AB51" cm="1">
        <f t="array" ref="AB51">_xll.VALEUROUTPUT($A$923,_xlfn.CONCAT("THEME14=",$C51),SCENARIOS!$A$2,SCENARIOS!$B$2,AB$1)</f>
        <v>0</v>
      </c>
      <c r="AC51" cm="1">
        <f t="array" ref="AC51">_xll.VALEUROUTPUT($A$923,_xlfn.CONCAT("THEME14=",$C51),SCENARIOS!$A$2,SCENARIOS!$B$2,AC$1)</f>
        <v>0</v>
      </c>
      <c r="AD51" cm="1">
        <f t="array" ref="AD51">_xll.VALEUROUTPUT($A$923,_xlfn.CONCAT("THEME14=",$C51),SCENARIOS!$A$2,SCENARIOS!$B$2,AD$1)</f>
        <v>0</v>
      </c>
      <c r="AE51" cm="1">
        <f t="array" ref="AE51">_xll.VALEUROUTPUT($A$923,_xlfn.CONCAT("THEME14=",$C51),SCENARIOS!$A$2,SCENARIOS!$B$2,AE$1)</f>
        <v>0</v>
      </c>
      <c r="AF51" cm="1">
        <f t="array" ref="AF51">_xll.VALEUROUTPUT($A$923,_xlfn.CONCAT("THEME14=",$C51),SCENARIOS!$A$2,SCENARIOS!$B$2,AF$1)</f>
        <v>0</v>
      </c>
    </row>
    <row r="52" spans="1:32" x14ac:dyDescent="0.25">
      <c r="A52" t="str">
        <v>OSUPEC_SEPM_T100%</v>
      </c>
      <c r="D52" cm="1">
        <f t="array" ref="D52">_xll.VALEUROUTPUT($A$923,_xlfn.CONCAT("THEME14=",$C52),SCENARIOS!$A$2,SCENARIOS!$B$2,D$1)</f>
        <v>0</v>
      </c>
      <c r="E52" cm="1">
        <f t="array" ref="E52">_xll.VALEUROUTPUT($A$923,_xlfn.CONCAT("THEME14=",$C52),SCENARIOS!$A$2,SCENARIOS!$B$2,E$1)</f>
        <v>0</v>
      </c>
      <c r="F52" cm="1">
        <f t="array" ref="F52">_xll.VALEUROUTPUT($A$923,_xlfn.CONCAT("THEME14=",$C52),SCENARIOS!$A$2,SCENARIOS!$B$2,F$1)</f>
        <v>0</v>
      </c>
      <c r="G52" cm="1">
        <f t="array" ref="G52">_xll.VALEUROUTPUT($A$923,_xlfn.CONCAT("THEME14=",$C52),SCENARIOS!$A$2,SCENARIOS!$B$2,G$1)</f>
        <v>0</v>
      </c>
      <c r="H52" cm="1">
        <f t="array" ref="H52">_xll.VALEUROUTPUT($A$923,_xlfn.CONCAT("THEME14=",$C52),SCENARIOS!$A$2,SCENARIOS!$B$2,H$1)</f>
        <v>0</v>
      </c>
      <c r="I52" cm="1">
        <f t="array" ref="I52">_xll.VALEUROUTPUT($A$923,_xlfn.CONCAT("THEME14=",$C52),SCENARIOS!$A$2,SCENARIOS!$B$2,I$1)</f>
        <v>0</v>
      </c>
      <c r="J52" cm="1">
        <f t="array" ref="J52">_xll.VALEUROUTPUT($A$923,_xlfn.CONCAT("THEME14=",$C52),SCENARIOS!$A$2,SCENARIOS!$B$2,J$1)</f>
        <v>0</v>
      </c>
      <c r="K52" cm="1">
        <f t="array" ref="K52">_xll.VALEUROUTPUT($A$923,_xlfn.CONCAT("THEME14=",$C52),SCENARIOS!$A$2,SCENARIOS!$B$2,K$1)</f>
        <v>0</v>
      </c>
      <c r="L52" cm="1">
        <f t="array" ref="L52">_xll.VALEUROUTPUT($A$923,_xlfn.CONCAT("THEME14=",$C52),SCENARIOS!$A$2,SCENARIOS!$B$2,L$1)</f>
        <v>0</v>
      </c>
      <c r="M52" cm="1">
        <f t="array" ref="M52">_xll.VALEUROUTPUT($A$923,_xlfn.CONCAT("THEME14=",$C52),SCENARIOS!$A$2,SCENARIOS!$B$2,M$1)</f>
        <v>0</v>
      </c>
      <c r="N52" cm="1">
        <f t="array" ref="N52">_xll.VALEUROUTPUT($A$923,_xlfn.CONCAT("THEME14=",$C52),SCENARIOS!$A$2,SCENARIOS!$B$2,N$1)</f>
        <v>0</v>
      </c>
      <c r="O52" cm="1">
        <f t="array" ref="O52">_xll.VALEUROUTPUT($A$923,_xlfn.CONCAT("THEME14=",$C52),SCENARIOS!$A$2,SCENARIOS!$B$2,O$1)</f>
        <v>0</v>
      </c>
      <c r="P52" cm="1">
        <f t="array" ref="P52">_xll.VALEUROUTPUT($A$923,_xlfn.CONCAT("THEME14=",$C52),SCENARIOS!$A$2,SCENARIOS!$B$2,P$1)</f>
        <v>0</v>
      </c>
      <c r="Q52" cm="1">
        <f t="array" ref="Q52">_xll.VALEUROUTPUT($A$923,_xlfn.CONCAT("THEME14=",$C52),SCENARIOS!$A$2,SCENARIOS!$B$2,Q$1)</f>
        <v>0</v>
      </c>
      <c r="R52" cm="1">
        <f t="array" ref="R52">_xll.VALEUROUTPUT($A$923,_xlfn.CONCAT("THEME14=",$C52),SCENARIOS!$A$2,SCENARIOS!$B$2,R$1)</f>
        <v>0</v>
      </c>
      <c r="S52" cm="1">
        <f t="array" ref="S52">_xll.VALEUROUTPUT($A$923,_xlfn.CONCAT("THEME14=",$C52),SCENARIOS!$A$2,SCENARIOS!$B$2,S$1)</f>
        <v>0</v>
      </c>
      <c r="T52" cm="1">
        <f t="array" ref="T52">_xll.VALEUROUTPUT($A$923,_xlfn.CONCAT("THEME14=",$C52),SCENARIOS!$A$2,SCENARIOS!$B$2,T$1)</f>
        <v>0</v>
      </c>
      <c r="U52" cm="1">
        <f t="array" ref="U52">_xll.VALEUROUTPUT($A$923,_xlfn.CONCAT("THEME14=",$C52),SCENARIOS!$A$2,SCENARIOS!$B$2,U$1)</f>
        <v>0</v>
      </c>
      <c r="V52" cm="1">
        <f t="array" ref="V52">_xll.VALEUROUTPUT($A$923,_xlfn.CONCAT("THEME14=",$C52),SCENARIOS!$A$2,SCENARIOS!$B$2,V$1)</f>
        <v>0</v>
      </c>
      <c r="W52" cm="1">
        <f t="array" ref="W52">_xll.VALEUROUTPUT($A$923,_xlfn.CONCAT("THEME14=",$C52),SCENARIOS!$A$2,SCENARIOS!$B$2,W$1)</f>
        <v>0</v>
      </c>
      <c r="X52" cm="1">
        <f t="array" ref="X52">_xll.VALEUROUTPUT($A$923,_xlfn.CONCAT("THEME14=",$C52),SCENARIOS!$A$2,SCENARIOS!$B$2,X$1)</f>
        <v>0</v>
      </c>
      <c r="Y52" cm="1">
        <f t="array" ref="Y52">_xll.VALEUROUTPUT($A$923,_xlfn.CONCAT("THEME14=",$C52),SCENARIOS!$A$2,SCENARIOS!$B$2,Y$1)</f>
        <v>0</v>
      </c>
      <c r="Z52" cm="1">
        <f t="array" ref="Z52">_xll.VALEUROUTPUT($A$923,_xlfn.CONCAT("THEME14=",$C52),SCENARIOS!$A$2,SCENARIOS!$B$2,Z$1)</f>
        <v>0</v>
      </c>
      <c r="AA52" cm="1">
        <f t="array" ref="AA52">_xll.VALEUROUTPUT($A$923,_xlfn.CONCAT("THEME14=",$C52),SCENARIOS!$A$2,SCENARIOS!$B$2,AA$1)</f>
        <v>0</v>
      </c>
      <c r="AB52" cm="1">
        <f t="array" ref="AB52">_xll.VALEUROUTPUT($A$923,_xlfn.CONCAT("THEME14=",$C52),SCENARIOS!$A$2,SCENARIOS!$B$2,AB$1)</f>
        <v>0</v>
      </c>
      <c r="AC52" cm="1">
        <f t="array" ref="AC52">_xll.VALEUROUTPUT($A$923,_xlfn.CONCAT("THEME14=",$C52),SCENARIOS!$A$2,SCENARIOS!$B$2,AC$1)</f>
        <v>0</v>
      </c>
      <c r="AD52" cm="1">
        <f t="array" ref="AD52">_xll.VALEUROUTPUT($A$923,_xlfn.CONCAT("THEME14=",$C52),SCENARIOS!$A$2,SCENARIOS!$B$2,AD$1)</f>
        <v>0</v>
      </c>
      <c r="AE52" cm="1">
        <f t="array" ref="AE52">_xll.VALEUROUTPUT($A$923,_xlfn.CONCAT("THEME14=",$C52),SCENARIOS!$A$2,SCENARIOS!$B$2,AE$1)</f>
        <v>0</v>
      </c>
      <c r="AF52" cm="1">
        <f t="array" ref="AF52">_xll.VALEUROUTPUT($A$923,_xlfn.CONCAT("THEME14=",$C52),SCENARIOS!$A$2,SCENARIOS!$B$2,AF$1)</f>
        <v>0</v>
      </c>
    </row>
    <row r="53" spans="1:32" x14ac:dyDescent="0.25">
      <c r="A53" t="str">
        <v>OSUPEC_SEPM</v>
      </c>
      <c r="D53" cm="1">
        <f t="array" ref="D53">_xll.VALEUROUTPUT($A$923,_xlfn.CONCAT("THEME14=",$C53),SCENARIOS!$A$2,SCENARIOS!$B$2,D$1)</f>
        <v>0</v>
      </c>
      <c r="E53" cm="1">
        <f t="array" ref="E53">_xll.VALEUROUTPUT($A$923,_xlfn.CONCAT("THEME14=",$C53),SCENARIOS!$A$2,SCENARIOS!$B$2,E$1)</f>
        <v>0</v>
      </c>
      <c r="F53" cm="1">
        <f t="array" ref="F53">_xll.VALEUROUTPUT($A$923,_xlfn.CONCAT("THEME14=",$C53),SCENARIOS!$A$2,SCENARIOS!$B$2,F$1)</f>
        <v>0</v>
      </c>
      <c r="G53" cm="1">
        <f t="array" ref="G53">_xll.VALEUROUTPUT($A$923,_xlfn.CONCAT("THEME14=",$C53),SCENARIOS!$A$2,SCENARIOS!$B$2,G$1)</f>
        <v>0</v>
      </c>
      <c r="H53" cm="1">
        <f t="array" ref="H53">_xll.VALEUROUTPUT($A$923,_xlfn.CONCAT("THEME14=",$C53),SCENARIOS!$A$2,SCENARIOS!$B$2,H$1)</f>
        <v>0</v>
      </c>
      <c r="I53" cm="1">
        <f t="array" ref="I53">_xll.VALEUROUTPUT($A$923,_xlfn.CONCAT("THEME14=",$C53),SCENARIOS!$A$2,SCENARIOS!$B$2,I$1)</f>
        <v>0</v>
      </c>
      <c r="J53" cm="1">
        <f t="array" ref="J53">_xll.VALEUROUTPUT($A$923,_xlfn.CONCAT("THEME14=",$C53),SCENARIOS!$A$2,SCENARIOS!$B$2,J$1)</f>
        <v>0</v>
      </c>
      <c r="K53" cm="1">
        <f t="array" ref="K53">_xll.VALEUROUTPUT($A$923,_xlfn.CONCAT("THEME14=",$C53),SCENARIOS!$A$2,SCENARIOS!$B$2,K$1)</f>
        <v>0</v>
      </c>
      <c r="L53" cm="1">
        <f t="array" ref="L53">_xll.VALEUROUTPUT($A$923,_xlfn.CONCAT("THEME14=",$C53),SCENARIOS!$A$2,SCENARIOS!$B$2,L$1)</f>
        <v>0</v>
      </c>
      <c r="M53" cm="1">
        <f t="array" ref="M53">_xll.VALEUROUTPUT($A$923,_xlfn.CONCAT("THEME14=",$C53),SCENARIOS!$A$2,SCENARIOS!$B$2,M$1)</f>
        <v>0</v>
      </c>
      <c r="N53" cm="1">
        <f t="array" ref="N53">_xll.VALEUROUTPUT($A$923,_xlfn.CONCAT("THEME14=",$C53),SCENARIOS!$A$2,SCENARIOS!$B$2,N$1)</f>
        <v>0</v>
      </c>
      <c r="O53" cm="1">
        <f t="array" ref="O53">_xll.VALEUROUTPUT($A$923,_xlfn.CONCAT("THEME14=",$C53),SCENARIOS!$A$2,SCENARIOS!$B$2,O$1)</f>
        <v>0</v>
      </c>
      <c r="P53" cm="1">
        <f t="array" ref="P53">_xll.VALEUROUTPUT($A$923,_xlfn.CONCAT("THEME14=",$C53),SCENARIOS!$A$2,SCENARIOS!$B$2,P$1)</f>
        <v>0</v>
      </c>
      <c r="Q53" cm="1">
        <f t="array" ref="Q53">_xll.VALEUROUTPUT($A$923,_xlfn.CONCAT("THEME14=",$C53),SCENARIOS!$A$2,SCENARIOS!$B$2,Q$1)</f>
        <v>0</v>
      </c>
      <c r="R53" cm="1">
        <f t="array" ref="R53">_xll.VALEUROUTPUT($A$923,_xlfn.CONCAT("THEME14=",$C53),SCENARIOS!$A$2,SCENARIOS!$B$2,R$1)</f>
        <v>0</v>
      </c>
      <c r="S53" cm="1">
        <f t="array" ref="S53">_xll.VALEUROUTPUT($A$923,_xlfn.CONCAT("THEME14=",$C53),SCENARIOS!$A$2,SCENARIOS!$B$2,S$1)</f>
        <v>0</v>
      </c>
      <c r="T53" cm="1">
        <f t="array" ref="T53">_xll.VALEUROUTPUT($A$923,_xlfn.CONCAT("THEME14=",$C53),SCENARIOS!$A$2,SCENARIOS!$B$2,T$1)</f>
        <v>0</v>
      </c>
      <c r="U53" cm="1">
        <f t="array" ref="U53">_xll.VALEUROUTPUT($A$923,_xlfn.CONCAT("THEME14=",$C53),SCENARIOS!$A$2,SCENARIOS!$B$2,U$1)</f>
        <v>0</v>
      </c>
      <c r="V53" cm="1">
        <f t="array" ref="V53">_xll.VALEUROUTPUT($A$923,_xlfn.CONCAT("THEME14=",$C53),SCENARIOS!$A$2,SCENARIOS!$B$2,V$1)</f>
        <v>0</v>
      </c>
      <c r="W53" cm="1">
        <f t="array" ref="W53">_xll.VALEUROUTPUT($A$923,_xlfn.CONCAT("THEME14=",$C53),SCENARIOS!$A$2,SCENARIOS!$B$2,W$1)</f>
        <v>0</v>
      </c>
      <c r="X53" cm="1">
        <f t="array" ref="X53">_xll.VALEUROUTPUT($A$923,_xlfn.CONCAT("THEME14=",$C53),SCENARIOS!$A$2,SCENARIOS!$B$2,X$1)</f>
        <v>0</v>
      </c>
      <c r="Y53" cm="1">
        <f t="array" ref="Y53">_xll.VALEUROUTPUT($A$923,_xlfn.CONCAT("THEME14=",$C53),SCENARIOS!$A$2,SCENARIOS!$B$2,Y$1)</f>
        <v>0</v>
      </c>
      <c r="Z53" cm="1">
        <f t="array" ref="Z53">_xll.VALEUROUTPUT($A$923,_xlfn.CONCAT("THEME14=",$C53),SCENARIOS!$A$2,SCENARIOS!$B$2,Z$1)</f>
        <v>0</v>
      </c>
      <c r="AA53" cm="1">
        <f t="array" ref="AA53">_xll.VALEUROUTPUT($A$923,_xlfn.CONCAT("THEME14=",$C53),SCENARIOS!$A$2,SCENARIOS!$B$2,AA$1)</f>
        <v>0</v>
      </c>
      <c r="AB53" cm="1">
        <f t="array" ref="AB53">_xll.VALEUROUTPUT($A$923,_xlfn.CONCAT("THEME14=",$C53),SCENARIOS!$A$2,SCENARIOS!$B$2,AB$1)</f>
        <v>0</v>
      </c>
      <c r="AC53" cm="1">
        <f t="array" ref="AC53">_xll.VALEUROUTPUT($A$923,_xlfn.CONCAT("THEME14=",$C53),SCENARIOS!$A$2,SCENARIOS!$B$2,AC$1)</f>
        <v>0</v>
      </c>
      <c r="AD53" cm="1">
        <f t="array" ref="AD53">_xll.VALEUROUTPUT($A$923,_xlfn.CONCAT("THEME14=",$C53),SCENARIOS!$A$2,SCENARIOS!$B$2,AD$1)</f>
        <v>0</v>
      </c>
      <c r="AE53" cm="1">
        <f t="array" ref="AE53">_xll.VALEUROUTPUT($A$923,_xlfn.CONCAT("THEME14=",$C53),SCENARIOS!$A$2,SCENARIOS!$B$2,AE$1)</f>
        <v>0</v>
      </c>
      <c r="AF53" cm="1">
        <f t="array" ref="AF53">_xll.VALEUROUTPUT($A$923,_xlfn.CONCAT("THEME14=",$C53),SCENARIOS!$A$2,SCENARIOS!$B$2,AF$1)</f>
        <v>0</v>
      </c>
    </row>
    <row r="54" spans="1:32" x14ac:dyDescent="0.25">
      <c r="A54" t="str">
        <v>OSUPACTNETT_T100%</v>
      </c>
      <c r="D54" cm="1">
        <f t="array" ref="D54">_xll.VALEUROUTPUT($A$923,_xlfn.CONCAT("THEME14=",$C54),SCENARIOS!$A$2,SCENARIOS!$B$2,D$1)</f>
        <v>0</v>
      </c>
      <c r="E54" cm="1">
        <f t="array" ref="E54">_xll.VALEUROUTPUT($A$923,_xlfn.CONCAT("THEME14=",$C54),SCENARIOS!$A$2,SCENARIOS!$B$2,E$1)</f>
        <v>0</v>
      </c>
      <c r="F54" cm="1">
        <f t="array" ref="F54">_xll.VALEUROUTPUT($A$923,_xlfn.CONCAT("THEME14=",$C54),SCENARIOS!$A$2,SCENARIOS!$B$2,F$1)</f>
        <v>0</v>
      </c>
      <c r="G54" cm="1">
        <f t="array" ref="G54">_xll.VALEUROUTPUT($A$923,_xlfn.CONCAT("THEME14=",$C54),SCENARIOS!$A$2,SCENARIOS!$B$2,G$1)</f>
        <v>0</v>
      </c>
      <c r="H54" cm="1">
        <f t="array" ref="H54">_xll.VALEUROUTPUT($A$923,_xlfn.CONCAT("THEME14=",$C54),SCENARIOS!$A$2,SCENARIOS!$B$2,H$1)</f>
        <v>0</v>
      </c>
      <c r="I54" cm="1">
        <f t="array" ref="I54">_xll.VALEUROUTPUT($A$923,_xlfn.CONCAT("THEME14=",$C54),SCENARIOS!$A$2,SCENARIOS!$B$2,I$1)</f>
        <v>0</v>
      </c>
      <c r="J54" cm="1">
        <f t="array" ref="J54">_xll.VALEUROUTPUT($A$923,_xlfn.CONCAT("THEME14=",$C54),SCENARIOS!$A$2,SCENARIOS!$B$2,J$1)</f>
        <v>0</v>
      </c>
      <c r="K54" cm="1">
        <f t="array" ref="K54">_xll.VALEUROUTPUT($A$923,_xlfn.CONCAT("THEME14=",$C54),SCENARIOS!$A$2,SCENARIOS!$B$2,K$1)</f>
        <v>0</v>
      </c>
      <c r="L54" cm="1">
        <f t="array" ref="L54">_xll.VALEUROUTPUT($A$923,_xlfn.CONCAT("THEME14=",$C54),SCENARIOS!$A$2,SCENARIOS!$B$2,L$1)</f>
        <v>0</v>
      </c>
      <c r="M54" cm="1">
        <f t="array" ref="M54">_xll.VALEUROUTPUT($A$923,_xlfn.CONCAT("THEME14=",$C54),SCENARIOS!$A$2,SCENARIOS!$B$2,M$1)</f>
        <v>0</v>
      </c>
      <c r="N54" cm="1">
        <f t="array" ref="N54">_xll.VALEUROUTPUT($A$923,_xlfn.CONCAT("THEME14=",$C54),SCENARIOS!$A$2,SCENARIOS!$B$2,N$1)</f>
        <v>0</v>
      </c>
      <c r="O54" cm="1">
        <f t="array" ref="O54">_xll.VALEUROUTPUT($A$923,_xlfn.CONCAT("THEME14=",$C54),SCENARIOS!$A$2,SCENARIOS!$B$2,O$1)</f>
        <v>0</v>
      </c>
      <c r="P54" cm="1">
        <f t="array" ref="P54">_xll.VALEUROUTPUT($A$923,_xlfn.CONCAT("THEME14=",$C54),SCENARIOS!$A$2,SCENARIOS!$B$2,P$1)</f>
        <v>0</v>
      </c>
      <c r="Q54" cm="1">
        <f t="array" ref="Q54">_xll.VALEUROUTPUT($A$923,_xlfn.CONCAT("THEME14=",$C54),SCENARIOS!$A$2,SCENARIOS!$B$2,Q$1)</f>
        <v>0</v>
      </c>
      <c r="R54" cm="1">
        <f t="array" ref="R54">_xll.VALEUROUTPUT($A$923,_xlfn.CONCAT("THEME14=",$C54),SCENARIOS!$A$2,SCENARIOS!$B$2,R$1)</f>
        <v>0</v>
      </c>
      <c r="S54" cm="1">
        <f t="array" ref="S54">_xll.VALEUROUTPUT($A$923,_xlfn.CONCAT("THEME14=",$C54),SCENARIOS!$A$2,SCENARIOS!$B$2,S$1)</f>
        <v>0</v>
      </c>
      <c r="T54" cm="1">
        <f t="array" ref="T54">_xll.VALEUROUTPUT($A$923,_xlfn.CONCAT("THEME14=",$C54),SCENARIOS!$A$2,SCENARIOS!$B$2,T$1)</f>
        <v>0</v>
      </c>
      <c r="U54" cm="1">
        <f t="array" ref="U54">_xll.VALEUROUTPUT($A$923,_xlfn.CONCAT("THEME14=",$C54),SCENARIOS!$A$2,SCENARIOS!$B$2,U$1)</f>
        <v>0</v>
      </c>
      <c r="V54" cm="1">
        <f t="array" ref="V54">_xll.VALEUROUTPUT($A$923,_xlfn.CONCAT("THEME14=",$C54),SCENARIOS!$A$2,SCENARIOS!$B$2,V$1)</f>
        <v>0</v>
      </c>
      <c r="W54" cm="1">
        <f t="array" ref="W54">_xll.VALEUROUTPUT($A$923,_xlfn.CONCAT("THEME14=",$C54),SCENARIOS!$A$2,SCENARIOS!$B$2,W$1)</f>
        <v>0</v>
      </c>
      <c r="X54" cm="1">
        <f t="array" ref="X54">_xll.VALEUROUTPUT($A$923,_xlfn.CONCAT("THEME14=",$C54),SCENARIOS!$A$2,SCENARIOS!$B$2,X$1)</f>
        <v>0</v>
      </c>
      <c r="Y54" cm="1">
        <f t="array" ref="Y54">_xll.VALEUROUTPUT($A$923,_xlfn.CONCAT("THEME14=",$C54),SCENARIOS!$A$2,SCENARIOS!$B$2,Y$1)</f>
        <v>0</v>
      </c>
      <c r="Z54" cm="1">
        <f t="array" ref="Z54">_xll.VALEUROUTPUT($A$923,_xlfn.CONCAT("THEME14=",$C54),SCENARIOS!$A$2,SCENARIOS!$B$2,Z$1)</f>
        <v>0</v>
      </c>
      <c r="AA54" cm="1">
        <f t="array" ref="AA54">_xll.VALEUROUTPUT($A$923,_xlfn.CONCAT("THEME14=",$C54),SCENARIOS!$A$2,SCENARIOS!$B$2,AA$1)</f>
        <v>0</v>
      </c>
      <c r="AB54" cm="1">
        <f t="array" ref="AB54">_xll.VALEUROUTPUT($A$923,_xlfn.CONCAT("THEME14=",$C54),SCENARIOS!$A$2,SCENARIOS!$B$2,AB$1)</f>
        <v>0</v>
      </c>
      <c r="AC54" cm="1">
        <f t="array" ref="AC54">_xll.VALEUROUTPUT($A$923,_xlfn.CONCAT("THEME14=",$C54),SCENARIOS!$A$2,SCENARIOS!$B$2,AC$1)</f>
        <v>0</v>
      </c>
      <c r="AD54" cm="1">
        <f t="array" ref="AD54">_xll.VALEUROUTPUT($A$923,_xlfn.CONCAT("THEME14=",$C54),SCENARIOS!$A$2,SCENARIOS!$B$2,AD$1)</f>
        <v>0</v>
      </c>
      <c r="AE54" cm="1">
        <f t="array" ref="AE54">_xll.VALEUROUTPUT($A$923,_xlfn.CONCAT("THEME14=",$C54),SCENARIOS!$A$2,SCENARIOS!$B$2,AE$1)</f>
        <v>0</v>
      </c>
      <c r="AF54" cm="1">
        <f t="array" ref="AF54">_xll.VALEUROUTPUT($A$923,_xlfn.CONCAT("THEME14=",$C54),SCENARIOS!$A$2,SCENARIOS!$B$2,AF$1)</f>
        <v>0</v>
      </c>
    </row>
    <row r="55" spans="1:32" x14ac:dyDescent="0.25">
      <c r="A55" t="str">
        <v>OSUPTCSDNETT_T100%</v>
      </c>
      <c r="D55" cm="1">
        <f t="array" ref="D55">_xll.VALEUROUTPUT($A$923,_xlfn.CONCAT("THEME14=",$C55),SCENARIOS!$A$2,SCENARIOS!$B$2,D$1)</f>
        <v>0</v>
      </c>
      <c r="E55" cm="1">
        <f t="array" ref="E55">_xll.VALEUROUTPUT($A$923,_xlfn.CONCAT("THEME14=",$C55),SCENARIOS!$A$2,SCENARIOS!$B$2,E$1)</f>
        <v>0</v>
      </c>
      <c r="F55" cm="1">
        <f t="array" ref="F55">_xll.VALEUROUTPUT($A$923,_xlfn.CONCAT("THEME14=",$C55),SCENARIOS!$A$2,SCENARIOS!$B$2,F$1)</f>
        <v>0</v>
      </c>
      <c r="G55" cm="1">
        <f t="array" ref="G55">_xll.VALEUROUTPUT($A$923,_xlfn.CONCAT("THEME14=",$C55),SCENARIOS!$A$2,SCENARIOS!$B$2,G$1)</f>
        <v>0</v>
      </c>
      <c r="H55" cm="1">
        <f t="array" ref="H55">_xll.VALEUROUTPUT($A$923,_xlfn.CONCAT("THEME14=",$C55),SCENARIOS!$A$2,SCENARIOS!$B$2,H$1)</f>
        <v>0</v>
      </c>
      <c r="I55" cm="1">
        <f t="array" ref="I55">_xll.VALEUROUTPUT($A$923,_xlfn.CONCAT("THEME14=",$C55),SCENARIOS!$A$2,SCENARIOS!$B$2,I$1)</f>
        <v>0</v>
      </c>
      <c r="J55" cm="1">
        <f t="array" ref="J55">_xll.VALEUROUTPUT($A$923,_xlfn.CONCAT("THEME14=",$C55),SCENARIOS!$A$2,SCENARIOS!$B$2,J$1)</f>
        <v>0</v>
      </c>
      <c r="K55" cm="1">
        <f t="array" ref="K55">_xll.VALEUROUTPUT($A$923,_xlfn.CONCAT("THEME14=",$C55),SCENARIOS!$A$2,SCENARIOS!$B$2,K$1)</f>
        <v>0</v>
      </c>
      <c r="L55" cm="1">
        <f t="array" ref="L55">_xll.VALEUROUTPUT($A$923,_xlfn.CONCAT("THEME14=",$C55),SCENARIOS!$A$2,SCENARIOS!$B$2,L$1)</f>
        <v>0</v>
      </c>
      <c r="M55" cm="1">
        <f t="array" ref="M55">_xll.VALEUROUTPUT($A$923,_xlfn.CONCAT("THEME14=",$C55),SCENARIOS!$A$2,SCENARIOS!$B$2,M$1)</f>
        <v>0</v>
      </c>
      <c r="N55" cm="1">
        <f t="array" ref="N55">_xll.VALEUROUTPUT($A$923,_xlfn.CONCAT("THEME14=",$C55),SCENARIOS!$A$2,SCENARIOS!$B$2,N$1)</f>
        <v>0</v>
      </c>
      <c r="O55" cm="1">
        <f t="array" ref="O55">_xll.VALEUROUTPUT($A$923,_xlfn.CONCAT("THEME14=",$C55),SCENARIOS!$A$2,SCENARIOS!$B$2,O$1)</f>
        <v>0</v>
      </c>
      <c r="P55" cm="1">
        <f t="array" ref="P55">_xll.VALEUROUTPUT($A$923,_xlfn.CONCAT("THEME14=",$C55),SCENARIOS!$A$2,SCENARIOS!$B$2,P$1)</f>
        <v>0</v>
      </c>
      <c r="Q55" cm="1">
        <f t="array" ref="Q55">_xll.VALEUROUTPUT($A$923,_xlfn.CONCAT("THEME14=",$C55),SCENARIOS!$A$2,SCENARIOS!$B$2,Q$1)</f>
        <v>0</v>
      </c>
      <c r="R55" cm="1">
        <f t="array" ref="R55">_xll.VALEUROUTPUT($A$923,_xlfn.CONCAT("THEME14=",$C55),SCENARIOS!$A$2,SCENARIOS!$B$2,R$1)</f>
        <v>0</v>
      </c>
      <c r="S55" cm="1">
        <f t="array" ref="S55">_xll.VALEUROUTPUT($A$923,_xlfn.CONCAT("THEME14=",$C55),SCENARIOS!$A$2,SCENARIOS!$B$2,S$1)</f>
        <v>0</v>
      </c>
      <c r="T55" cm="1">
        <f t="array" ref="T55">_xll.VALEUROUTPUT($A$923,_xlfn.CONCAT("THEME14=",$C55),SCENARIOS!$A$2,SCENARIOS!$B$2,T$1)</f>
        <v>0</v>
      </c>
      <c r="U55" cm="1">
        <f t="array" ref="U55">_xll.VALEUROUTPUT($A$923,_xlfn.CONCAT("THEME14=",$C55),SCENARIOS!$A$2,SCENARIOS!$B$2,U$1)</f>
        <v>0</v>
      </c>
      <c r="V55" cm="1">
        <f t="array" ref="V55">_xll.VALEUROUTPUT($A$923,_xlfn.CONCAT("THEME14=",$C55),SCENARIOS!$A$2,SCENARIOS!$B$2,V$1)</f>
        <v>0</v>
      </c>
      <c r="W55" cm="1">
        <f t="array" ref="W55">_xll.VALEUROUTPUT($A$923,_xlfn.CONCAT("THEME14=",$C55),SCENARIOS!$A$2,SCENARIOS!$B$2,W$1)</f>
        <v>0</v>
      </c>
      <c r="X55" cm="1">
        <f t="array" ref="X55">_xll.VALEUROUTPUT($A$923,_xlfn.CONCAT("THEME14=",$C55),SCENARIOS!$A$2,SCENARIOS!$B$2,X$1)</f>
        <v>0</v>
      </c>
      <c r="Y55" cm="1">
        <f t="array" ref="Y55">_xll.VALEUROUTPUT($A$923,_xlfn.CONCAT("THEME14=",$C55),SCENARIOS!$A$2,SCENARIOS!$B$2,Y$1)</f>
        <v>0</v>
      </c>
      <c r="Z55" cm="1">
        <f t="array" ref="Z55">_xll.VALEUROUTPUT($A$923,_xlfn.CONCAT("THEME14=",$C55),SCENARIOS!$A$2,SCENARIOS!$B$2,Z$1)</f>
        <v>0</v>
      </c>
      <c r="AA55" cm="1">
        <f t="array" ref="AA55">_xll.VALEUROUTPUT($A$923,_xlfn.CONCAT("THEME14=",$C55),SCENARIOS!$A$2,SCENARIOS!$B$2,AA$1)</f>
        <v>0</v>
      </c>
      <c r="AB55" cm="1">
        <f t="array" ref="AB55">_xll.VALEUROUTPUT($A$923,_xlfn.CONCAT("THEME14=",$C55),SCENARIOS!$A$2,SCENARIOS!$B$2,AB$1)</f>
        <v>0</v>
      </c>
      <c r="AC55" cm="1">
        <f t="array" ref="AC55">_xll.VALEUROUTPUT($A$923,_xlfn.CONCAT("THEME14=",$C55),SCENARIOS!$A$2,SCENARIOS!$B$2,AC$1)</f>
        <v>0</v>
      </c>
      <c r="AD55" cm="1">
        <f t="array" ref="AD55">_xll.VALEUROUTPUT($A$923,_xlfn.CONCAT("THEME14=",$C55),SCENARIOS!$A$2,SCENARIOS!$B$2,AD$1)</f>
        <v>0</v>
      </c>
      <c r="AE55" cm="1">
        <f t="array" ref="AE55">_xll.VALEUROUTPUT($A$923,_xlfn.CONCAT("THEME14=",$C55),SCENARIOS!$A$2,SCENARIOS!$B$2,AE$1)</f>
        <v>0</v>
      </c>
      <c r="AF55" cm="1">
        <f t="array" ref="AF55">_xll.VALEUROUTPUT($A$923,_xlfn.CONCAT("THEME14=",$C55),SCENARIOS!$A$2,SCENARIOS!$B$2,AF$1)</f>
        <v>0</v>
      </c>
    </row>
    <row r="56" spans="1:32" x14ac:dyDescent="0.25">
      <c r="A56" t="str">
        <v>OSUPTCADNETT_T100%</v>
      </c>
      <c r="D56" cm="1">
        <f t="array" ref="D56">_xll.VALEUROUTPUT($A$923,_xlfn.CONCAT("THEME14=",$C56),SCENARIOS!$A$2,SCENARIOS!$B$2,D$1)</f>
        <v>0</v>
      </c>
      <c r="E56" cm="1">
        <f t="array" ref="E56">_xll.VALEUROUTPUT($A$923,_xlfn.CONCAT("THEME14=",$C56),SCENARIOS!$A$2,SCENARIOS!$B$2,E$1)</f>
        <v>0</v>
      </c>
      <c r="F56" cm="1">
        <f t="array" ref="F56">_xll.VALEUROUTPUT($A$923,_xlfn.CONCAT("THEME14=",$C56),SCENARIOS!$A$2,SCENARIOS!$B$2,F$1)</f>
        <v>0</v>
      </c>
      <c r="G56" cm="1">
        <f t="array" ref="G56">_xll.VALEUROUTPUT($A$923,_xlfn.CONCAT("THEME14=",$C56),SCENARIOS!$A$2,SCENARIOS!$B$2,G$1)</f>
        <v>0</v>
      </c>
      <c r="H56" cm="1">
        <f t="array" ref="H56">_xll.VALEUROUTPUT($A$923,_xlfn.CONCAT("THEME14=",$C56),SCENARIOS!$A$2,SCENARIOS!$B$2,H$1)</f>
        <v>0</v>
      </c>
      <c r="I56" cm="1">
        <f t="array" ref="I56">_xll.VALEUROUTPUT($A$923,_xlfn.CONCAT("THEME14=",$C56),SCENARIOS!$A$2,SCENARIOS!$B$2,I$1)</f>
        <v>0</v>
      </c>
      <c r="J56" cm="1">
        <f t="array" ref="J56">_xll.VALEUROUTPUT($A$923,_xlfn.CONCAT("THEME14=",$C56),SCENARIOS!$A$2,SCENARIOS!$B$2,J$1)</f>
        <v>0</v>
      </c>
      <c r="K56" cm="1">
        <f t="array" ref="K56">_xll.VALEUROUTPUT($A$923,_xlfn.CONCAT("THEME14=",$C56),SCENARIOS!$A$2,SCENARIOS!$B$2,K$1)</f>
        <v>0</v>
      </c>
      <c r="L56" cm="1">
        <f t="array" ref="L56">_xll.VALEUROUTPUT($A$923,_xlfn.CONCAT("THEME14=",$C56),SCENARIOS!$A$2,SCENARIOS!$B$2,L$1)</f>
        <v>0</v>
      </c>
      <c r="M56" cm="1">
        <f t="array" ref="M56">_xll.VALEUROUTPUT($A$923,_xlfn.CONCAT("THEME14=",$C56),SCENARIOS!$A$2,SCENARIOS!$B$2,M$1)</f>
        <v>0</v>
      </c>
      <c r="N56" cm="1">
        <f t="array" ref="N56">_xll.VALEUROUTPUT($A$923,_xlfn.CONCAT("THEME14=",$C56),SCENARIOS!$A$2,SCENARIOS!$B$2,N$1)</f>
        <v>0</v>
      </c>
      <c r="O56" cm="1">
        <f t="array" ref="O56">_xll.VALEUROUTPUT($A$923,_xlfn.CONCAT("THEME14=",$C56),SCENARIOS!$A$2,SCENARIOS!$B$2,O$1)</f>
        <v>0</v>
      </c>
      <c r="P56" cm="1">
        <f t="array" ref="P56">_xll.VALEUROUTPUT($A$923,_xlfn.CONCAT("THEME14=",$C56),SCENARIOS!$A$2,SCENARIOS!$B$2,P$1)</f>
        <v>0</v>
      </c>
      <c r="Q56" cm="1">
        <f t="array" ref="Q56">_xll.VALEUROUTPUT($A$923,_xlfn.CONCAT("THEME14=",$C56),SCENARIOS!$A$2,SCENARIOS!$B$2,Q$1)</f>
        <v>0</v>
      </c>
      <c r="R56" cm="1">
        <f t="array" ref="R56">_xll.VALEUROUTPUT($A$923,_xlfn.CONCAT("THEME14=",$C56),SCENARIOS!$A$2,SCENARIOS!$B$2,R$1)</f>
        <v>0</v>
      </c>
      <c r="S56" cm="1">
        <f t="array" ref="S56">_xll.VALEUROUTPUT($A$923,_xlfn.CONCAT("THEME14=",$C56),SCENARIOS!$A$2,SCENARIOS!$B$2,S$1)</f>
        <v>0</v>
      </c>
      <c r="T56" cm="1">
        <f t="array" ref="T56">_xll.VALEUROUTPUT($A$923,_xlfn.CONCAT("THEME14=",$C56),SCENARIOS!$A$2,SCENARIOS!$B$2,T$1)</f>
        <v>0</v>
      </c>
      <c r="U56" cm="1">
        <f t="array" ref="U56">_xll.VALEUROUTPUT($A$923,_xlfn.CONCAT("THEME14=",$C56),SCENARIOS!$A$2,SCENARIOS!$B$2,U$1)</f>
        <v>0</v>
      </c>
      <c r="V56" cm="1">
        <f t="array" ref="V56">_xll.VALEUROUTPUT($A$923,_xlfn.CONCAT("THEME14=",$C56),SCENARIOS!$A$2,SCENARIOS!$B$2,V$1)</f>
        <v>0</v>
      </c>
      <c r="W56" cm="1">
        <f t="array" ref="W56">_xll.VALEUROUTPUT($A$923,_xlfn.CONCAT("THEME14=",$C56),SCENARIOS!$A$2,SCENARIOS!$B$2,W$1)</f>
        <v>0</v>
      </c>
      <c r="X56" cm="1">
        <f t="array" ref="X56">_xll.VALEUROUTPUT($A$923,_xlfn.CONCAT("THEME14=",$C56),SCENARIOS!$A$2,SCENARIOS!$B$2,X$1)</f>
        <v>0</v>
      </c>
      <c r="Y56" cm="1">
        <f t="array" ref="Y56">_xll.VALEUROUTPUT($A$923,_xlfn.CONCAT("THEME14=",$C56),SCENARIOS!$A$2,SCENARIOS!$B$2,Y$1)</f>
        <v>0</v>
      </c>
      <c r="Z56" cm="1">
        <f t="array" ref="Z56">_xll.VALEUROUTPUT($A$923,_xlfn.CONCAT("THEME14=",$C56),SCENARIOS!$A$2,SCENARIOS!$B$2,Z$1)</f>
        <v>0</v>
      </c>
      <c r="AA56" cm="1">
        <f t="array" ref="AA56">_xll.VALEUROUTPUT($A$923,_xlfn.CONCAT("THEME14=",$C56),SCENARIOS!$A$2,SCENARIOS!$B$2,AA$1)</f>
        <v>0</v>
      </c>
      <c r="AB56" cm="1">
        <f t="array" ref="AB56">_xll.VALEUROUTPUT($A$923,_xlfn.CONCAT("THEME14=",$C56),SCENARIOS!$A$2,SCENARIOS!$B$2,AB$1)</f>
        <v>0</v>
      </c>
      <c r="AC56" cm="1">
        <f t="array" ref="AC56">_xll.VALEUROUTPUT($A$923,_xlfn.CONCAT("THEME14=",$C56),SCENARIOS!$A$2,SCENARIOS!$B$2,AC$1)</f>
        <v>0</v>
      </c>
      <c r="AD56" cm="1">
        <f t="array" ref="AD56">_xll.VALEUROUTPUT($A$923,_xlfn.CONCAT("THEME14=",$C56),SCENARIOS!$A$2,SCENARIOS!$B$2,AD$1)</f>
        <v>0</v>
      </c>
      <c r="AE56" cm="1">
        <f t="array" ref="AE56">_xll.VALEUROUTPUT($A$923,_xlfn.CONCAT("THEME14=",$C56),SCENARIOS!$A$2,SCENARIOS!$B$2,AE$1)</f>
        <v>0</v>
      </c>
      <c r="AF56" cm="1">
        <f t="array" ref="AF56">_xll.VALEUROUTPUT($A$923,_xlfn.CONCAT("THEME14=",$C56),SCENARIOS!$A$2,SCENARIOS!$B$2,AF$1)</f>
        <v>0</v>
      </c>
    </row>
    <row r="57" spans="1:32" x14ac:dyDescent="0.25">
      <c r="A57" t="str">
        <v>OSUPNETT_T100%</v>
      </c>
      <c r="D57" cm="1">
        <f t="array" ref="D57">_xll.VALEUROUTPUT($A$923,_xlfn.CONCAT("THEME14=",$C57),SCENARIOS!$A$2,SCENARIOS!$B$2,D$1)</f>
        <v>0</v>
      </c>
      <c r="E57" cm="1">
        <f t="array" ref="E57">_xll.VALEUROUTPUT($A$923,_xlfn.CONCAT("THEME14=",$C57),SCENARIOS!$A$2,SCENARIOS!$B$2,E$1)</f>
        <v>0</v>
      </c>
      <c r="F57" cm="1">
        <f t="array" ref="F57">_xll.VALEUROUTPUT($A$923,_xlfn.CONCAT("THEME14=",$C57),SCENARIOS!$A$2,SCENARIOS!$B$2,F$1)</f>
        <v>0</v>
      </c>
      <c r="G57" cm="1">
        <f t="array" ref="G57">_xll.VALEUROUTPUT($A$923,_xlfn.CONCAT("THEME14=",$C57),SCENARIOS!$A$2,SCENARIOS!$B$2,G$1)</f>
        <v>0</v>
      </c>
      <c r="H57" cm="1">
        <f t="array" ref="H57">_xll.VALEUROUTPUT($A$923,_xlfn.CONCAT("THEME14=",$C57),SCENARIOS!$A$2,SCENARIOS!$B$2,H$1)</f>
        <v>0</v>
      </c>
      <c r="I57" cm="1">
        <f t="array" ref="I57">_xll.VALEUROUTPUT($A$923,_xlfn.CONCAT("THEME14=",$C57),SCENARIOS!$A$2,SCENARIOS!$B$2,I$1)</f>
        <v>0</v>
      </c>
      <c r="J57" cm="1">
        <f t="array" ref="J57">_xll.VALEUROUTPUT($A$923,_xlfn.CONCAT("THEME14=",$C57),SCENARIOS!$A$2,SCENARIOS!$B$2,J$1)</f>
        <v>0</v>
      </c>
      <c r="K57" cm="1">
        <f t="array" ref="K57">_xll.VALEUROUTPUT($A$923,_xlfn.CONCAT("THEME14=",$C57),SCENARIOS!$A$2,SCENARIOS!$B$2,K$1)</f>
        <v>0</v>
      </c>
      <c r="L57" cm="1">
        <f t="array" ref="L57">_xll.VALEUROUTPUT($A$923,_xlfn.CONCAT("THEME14=",$C57),SCENARIOS!$A$2,SCENARIOS!$B$2,L$1)</f>
        <v>0</v>
      </c>
      <c r="M57" cm="1">
        <f t="array" ref="M57">_xll.VALEUROUTPUT($A$923,_xlfn.CONCAT("THEME14=",$C57),SCENARIOS!$A$2,SCENARIOS!$B$2,M$1)</f>
        <v>0</v>
      </c>
      <c r="N57" cm="1">
        <f t="array" ref="N57">_xll.VALEUROUTPUT($A$923,_xlfn.CONCAT("THEME14=",$C57),SCENARIOS!$A$2,SCENARIOS!$B$2,N$1)</f>
        <v>0</v>
      </c>
      <c r="O57" cm="1">
        <f t="array" ref="O57">_xll.VALEUROUTPUT($A$923,_xlfn.CONCAT("THEME14=",$C57),SCENARIOS!$A$2,SCENARIOS!$B$2,O$1)</f>
        <v>0</v>
      </c>
      <c r="P57" cm="1">
        <f t="array" ref="P57">_xll.VALEUROUTPUT($A$923,_xlfn.CONCAT("THEME14=",$C57),SCENARIOS!$A$2,SCENARIOS!$B$2,P$1)</f>
        <v>0</v>
      </c>
      <c r="Q57" cm="1">
        <f t="array" ref="Q57">_xll.VALEUROUTPUT($A$923,_xlfn.CONCAT("THEME14=",$C57),SCENARIOS!$A$2,SCENARIOS!$B$2,Q$1)</f>
        <v>0</v>
      </c>
      <c r="R57" cm="1">
        <f t="array" ref="R57">_xll.VALEUROUTPUT($A$923,_xlfn.CONCAT("THEME14=",$C57),SCENARIOS!$A$2,SCENARIOS!$B$2,R$1)</f>
        <v>0</v>
      </c>
      <c r="S57" cm="1">
        <f t="array" ref="S57">_xll.VALEUROUTPUT($A$923,_xlfn.CONCAT("THEME14=",$C57),SCENARIOS!$A$2,SCENARIOS!$B$2,S$1)</f>
        <v>0</v>
      </c>
      <c r="T57" cm="1">
        <f t="array" ref="T57">_xll.VALEUROUTPUT($A$923,_xlfn.CONCAT("THEME14=",$C57),SCENARIOS!$A$2,SCENARIOS!$B$2,T$1)</f>
        <v>0</v>
      </c>
      <c r="U57" cm="1">
        <f t="array" ref="U57">_xll.VALEUROUTPUT($A$923,_xlfn.CONCAT("THEME14=",$C57),SCENARIOS!$A$2,SCENARIOS!$B$2,U$1)</f>
        <v>0</v>
      </c>
      <c r="V57" cm="1">
        <f t="array" ref="V57">_xll.VALEUROUTPUT($A$923,_xlfn.CONCAT("THEME14=",$C57),SCENARIOS!$A$2,SCENARIOS!$B$2,V$1)</f>
        <v>0</v>
      </c>
      <c r="W57" cm="1">
        <f t="array" ref="W57">_xll.VALEUROUTPUT($A$923,_xlfn.CONCAT("THEME14=",$C57),SCENARIOS!$A$2,SCENARIOS!$B$2,W$1)</f>
        <v>0</v>
      </c>
      <c r="X57" cm="1">
        <f t="array" ref="X57">_xll.VALEUROUTPUT($A$923,_xlfn.CONCAT("THEME14=",$C57),SCENARIOS!$A$2,SCENARIOS!$B$2,X$1)</f>
        <v>0</v>
      </c>
      <c r="Y57" cm="1">
        <f t="array" ref="Y57">_xll.VALEUROUTPUT($A$923,_xlfn.CONCAT("THEME14=",$C57),SCENARIOS!$A$2,SCENARIOS!$B$2,Y$1)</f>
        <v>0</v>
      </c>
      <c r="Z57" cm="1">
        <f t="array" ref="Z57">_xll.VALEUROUTPUT($A$923,_xlfn.CONCAT("THEME14=",$C57),SCENARIOS!$A$2,SCENARIOS!$B$2,Z$1)</f>
        <v>0</v>
      </c>
      <c r="AA57" cm="1">
        <f t="array" ref="AA57">_xll.VALEUROUTPUT($A$923,_xlfn.CONCAT("THEME14=",$C57),SCENARIOS!$A$2,SCENARIOS!$B$2,AA$1)</f>
        <v>0</v>
      </c>
      <c r="AB57" cm="1">
        <f t="array" ref="AB57">_xll.VALEUROUTPUT($A$923,_xlfn.CONCAT("THEME14=",$C57),SCENARIOS!$A$2,SCENARIOS!$B$2,AB$1)</f>
        <v>0</v>
      </c>
      <c r="AC57" cm="1">
        <f t="array" ref="AC57">_xll.VALEUROUTPUT($A$923,_xlfn.CONCAT("THEME14=",$C57),SCENARIOS!$A$2,SCENARIOS!$B$2,AC$1)</f>
        <v>0</v>
      </c>
      <c r="AD57" cm="1">
        <f t="array" ref="AD57">_xll.VALEUROUTPUT($A$923,_xlfn.CONCAT("THEME14=",$C57),SCENARIOS!$A$2,SCENARIOS!$B$2,AD$1)</f>
        <v>0</v>
      </c>
      <c r="AE57" cm="1">
        <f t="array" ref="AE57">_xll.VALEUROUTPUT($A$923,_xlfn.CONCAT("THEME14=",$C57),SCENARIOS!$A$2,SCENARIOS!$B$2,AE$1)</f>
        <v>0</v>
      </c>
      <c r="AF57" cm="1">
        <f t="array" ref="AF57">_xll.VALEUROUTPUT($A$923,_xlfn.CONCAT("THEME14=",$C57),SCENARIOS!$A$2,SCENARIOS!$B$2,AF$1)</f>
        <v>0</v>
      </c>
    </row>
    <row r="58" spans="1:32" x14ac:dyDescent="0.25">
      <c r="A58" t="str">
        <v>OSUPNETT</v>
      </c>
      <c r="D58" cm="1">
        <f t="array" ref="D58">_xll.VALEUROUTPUT($A$923,_xlfn.CONCAT("THEME14=",$C58),SCENARIOS!$A$2,SCENARIOS!$B$2,D$1)</f>
        <v>0</v>
      </c>
      <c r="E58" cm="1">
        <f t="array" ref="E58">_xll.VALEUROUTPUT($A$923,_xlfn.CONCAT("THEME14=",$C58),SCENARIOS!$A$2,SCENARIOS!$B$2,E$1)</f>
        <v>0</v>
      </c>
      <c r="F58" cm="1">
        <f t="array" ref="F58">_xll.VALEUROUTPUT($A$923,_xlfn.CONCAT("THEME14=",$C58),SCENARIOS!$A$2,SCENARIOS!$B$2,F$1)</f>
        <v>0</v>
      </c>
      <c r="G58" cm="1">
        <f t="array" ref="G58">_xll.VALEUROUTPUT($A$923,_xlfn.CONCAT("THEME14=",$C58),SCENARIOS!$A$2,SCENARIOS!$B$2,G$1)</f>
        <v>0</v>
      </c>
      <c r="H58" cm="1">
        <f t="array" ref="H58">_xll.VALEUROUTPUT($A$923,_xlfn.CONCAT("THEME14=",$C58),SCENARIOS!$A$2,SCENARIOS!$B$2,H$1)</f>
        <v>0</v>
      </c>
      <c r="I58" cm="1">
        <f t="array" ref="I58">_xll.VALEUROUTPUT($A$923,_xlfn.CONCAT("THEME14=",$C58),SCENARIOS!$A$2,SCENARIOS!$B$2,I$1)</f>
        <v>0</v>
      </c>
      <c r="J58" cm="1">
        <f t="array" ref="J58">_xll.VALEUROUTPUT($A$923,_xlfn.CONCAT("THEME14=",$C58),SCENARIOS!$A$2,SCENARIOS!$B$2,J$1)</f>
        <v>0</v>
      </c>
      <c r="K58" cm="1">
        <f t="array" ref="K58">_xll.VALEUROUTPUT($A$923,_xlfn.CONCAT("THEME14=",$C58),SCENARIOS!$A$2,SCENARIOS!$B$2,K$1)</f>
        <v>0</v>
      </c>
      <c r="L58" cm="1">
        <f t="array" ref="L58">_xll.VALEUROUTPUT($A$923,_xlfn.CONCAT("THEME14=",$C58),SCENARIOS!$A$2,SCENARIOS!$B$2,L$1)</f>
        <v>0</v>
      </c>
      <c r="M58" cm="1">
        <f t="array" ref="M58">_xll.VALEUROUTPUT($A$923,_xlfn.CONCAT("THEME14=",$C58),SCENARIOS!$A$2,SCENARIOS!$B$2,M$1)</f>
        <v>0</v>
      </c>
      <c r="N58" cm="1">
        <f t="array" ref="N58">_xll.VALEUROUTPUT($A$923,_xlfn.CONCAT("THEME14=",$C58),SCENARIOS!$A$2,SCENARIOS!$B$2,N$1)</f>
        <v>0</v>
      </c>
      <c r="O58" cm="1">
        <f t="array" ref="O58">_xll.VALEUROUTPUT($A$923,_xlfn.CONCAT("THEME14=",$C58),SCENARIOS!$A$2,SCENARIOS!$B$2,O$1)</f>
        <v>0</v>
      </c>
      <c r="P58" cm="1">
        <f t="array" ref="P58">_xll.VALEUROUTPUT($A$923,_xlfn.CONCAT("THEME14=",$C58),SCENARIOS!$A$2,SCENARIOS!$B$2,P$1)</f>
        <v>0</v>
      </c>
      <c r="Q58" cm="1">
        <f t="array" ref="Q58">_xll.VALEUROUTPUT($A$923,_xlfn.CONCAT("THEME14=",$C58),SCENARIOS!$A$2,SCENARIOS!$B$2,Q$1)</f>
        <v>0</v>
      </c>
      <c r="R58" cm="1">
        <f t="array" ref="R58">_xll.VALEUROUTPUT($A$923,_xlfn.CONCAT("THEME14=",$C58),SCENARIOS!$A$2,SCENARIOS!$B$2,R$1)</f>
        <v>0</v>
      </c>
      <c r="S58" cm="1">
        <f t="array" ref="S58">_xll.VALEUROUTPUT($A$923,_xlfn.CONCAT("THEME14=",$C58),SCENARIOS!$A$2,SCENARIOS!$B$2,S$1)</f>
        <v>0</v>
      </c>
      <c r="T58" cm="1">
        <f t="array" ref="T58">_xll.VALEUROUTPUT($A$923,_xlfn.CONCAT("THEME14=",$C58),SCENARIOS!$A$2,SCENARIOS!$B$2,T$1)</f>
        <v>0</v>
      </c>
      <c r="U58" cm="1">
        <f t="array" ref="U58">_xll.VALEUROUTPUT($A$923,_xlfn.CONCAT("THEME14=",$C58),SCENARIOS!$A$2,SCENARIOS!$B$2,U$1)</f>
        <v>0</v>
      </c>
      <c r="V58" cm="1">
        <f t="array" ref="V58">_xll.VALEUROUTPUT($A$923,_xlfn.CONCAT("THEME14=",$C58),SCENARIOS!$A$2,SCENARIOS!$B$2,V$1)</f>
        <v>0</v>
      </c>
      <c r="W58" cm="1">
        <f t="array" ref="W58">_xll.VALEUROUTPUT($A$923,_xlfn.CONCAT("THEME14=",$C58),SCENARIOS!$A$2,SCENARIOS!$B$2,W$1)</f>
        <v>0</v>
      </c>
      <c r="X58" cm="1">
        <f t="array" ref="X58">_xll.VALEUROUTPUT($A$923,_xlfn.CONCAT("THEME14=",$C58),SCENARIOS!$A$2,SCENARIOS!$B$2,X$1)</f>
        <v>0</v>
      </c>
      <c r="Y58" cm="1">
        <f t="array" ref="Y58">_xll.VALEUROUTPUT($A$923,_xlfn.CONCAT("THEME14=",$C58),SCENARIOS!$A$2,SCENARIOS!$B$2,Y$1)</f>
        <v>0</v>
      </c>
      <c r="Z58" cm="1">
        <f t="array" ref="Z58">_xll.VALEUROUTPUT($A$923,_xlfn.CONCAT("THEME14=",$C58),SCENARIOS!$A$2,SCENARIOS!$B$2,Z$1)</f>
        <v>0</v>
      </c>
      <c r="AA58" cm="1">
        <f t="array" ref="AA58">_xll.VALEUROUTPUT($A$923,_xlfn.CONCAT("THEME14=",$C58),SCENARIOS!$A$2,SCENARIOS!$B$2,AA$1)</f>
        <v>0</v>
      </c>
      <c r="AB58" cm="1">
        <f t="array" ref="AB58">_xll.VALEUROUTPUT($A$923,_xlfn.CONCAT("THEME14=",$C58),SCENARIOS!$A$2,SCENARIOS!$B$2,AB$1)</f>
        <v>0</v>
      </c>
      <c r="AC58" cm="1">
        <f t="array" ref="AC58">_xll.VALEUROUTPUT($A$923,_xlfn.CONCAT("THEME14=",$C58),SCENARIOS!$A$2,SCENARIOS!$B$2,AC$1)</f>
        <v>0</v>
      </c>
      <c r="AD58" cm="1">
        <f t="array" ref="AD58">_xll.VALEUROUTPUT($A$923,_xlfn.CONCAT("THEME14=",$C58),SCENARIOS!$A$2,SCENARIOS!$B$2,AD$1)</f>
        <v>0</v>
      </c>
      <c r="AE58" cm="1">
        <f t="array" ref="AE58">_xll.VALEUROUTPUT($A$923,_xlfn.CONCAT("THEME14=",$C58),SCENARIOS!$A$2,SCENARIOS!$B$2,AE$1)</f>
        <v>0</v>
      </c>
      <c r="AF58" cm="1">
        <f t="array" ref="AF58">_xll.VALEUROUTPUT($A$923,_xlfn.CONCAT("THEME14=",$C58),SCENARIOS!$A$2,SCENARIOS!$B$2,AF$1)</f>
        <v>0</v>
      </c>
    </row>
    <row r="59" spans="1:32" x14ac:dyDescent="0.25">
      <c r="A59" t="str">
        <v>OTAUXDEG</v>
      </c>
      <c r="D59" cm="1">
        <f t="array" ref="D59">_xll.VALEUROUTPUT($A$923,_xlfn.CONCAT("THEME14=",$C59),SCENARIOS!$A$2,SCENARIOS!$B$2,D$1)</f>
        <v>0</v>
      </c>
      <c r="E59" cm="1">
        <f t="array" ref="E59">_xll.VALEUROUTPUT($A$923,_xlfn.CONCAT("THEME14=",$C59),SCENARIOS!$A$2,SCENARIOS!$B$2,E$1)</f>
        <v>0</v>
      </c>
      <c r="F59" cm="1">
        <f t="array" ref="F59">_xll.VALEUROUTPUT($A$923,_xlfn.CONCAT("THEME14=",$C59),SCENARIOS!$A$2,SCENARIOS!$B$2,F$1)</f>
        <v>0</v>
      </c>
      <c r="G59" cm="1">
        <f t="array" ref="G59">_xll.VALEUROUTPUT($A$923,_xlfn.CONCAT("THEME14=",$C59),SCENARIOS!$A$2,SCENARIOS!$B$2,G$1)</f>
        <v>0</v>
      </c>
      <c r="H59" cm="1">
        <f t="array" ref="H59">_xll.VALEUROUTPUT($A$923,_xlfn.CONCAT("THEME14=",$C59),SCENARIOS!$A$2,SCENARIOS!$B$2,H$1)</f>
        <v>0</v>
      </c>
      <c r="I59" cm="1">
        <f t="array" ref="I59">_xll.VALEUROUTPUT($A$923,_xlfn.CONCAT("THEME14=",$C59),SCENARIOS!$A$2,SCENARIOS!$B$2,I$1)</f>
        <v>0</v>
      </c>
      <c r="J59" cm="1">
        <f t="array" ref="J59">_xll.VALEUROUTPUT($A$923,_xlfn.CONCAT("THEME14=",$C59),SCENARIOS!$A$2,SCENARIOS!$B$2,J$1)</f>
        <v>0</v>
      </c>
      <c r="K59" cm="1">
        <f t="array" ref="K59">_xll.VALEUROUTPUT($A$923,_xlfn.CONCAT("THEME14=",$C59),SCENARIOS!$A$2,SCENARIOS!$B$2,K$1)</f>
        <v>0</v>
      </c>
      <c r="L59" cm="1">
        <f t="array" ref="L59">_xll.VALEUROUTPUT($A$923,_xlfn.CONCAT("THEME14=",$C59),SCENARIOS!$A$2,SCENARIOS!$B$2,L$1)</f>
        <v>0</v>
      </c>
      <c r="M59" cm="1">
        <f t="array" ref="M59">_xll.VALEUROUTPUT($A$923,_xlfn.CONCAT("THEME14=",$C59),SCENARIOS!$A$2,SCENARIOS!$B$2,M$1)</f>
        <v>0</v>
      </c>
      <c r="N59" cm="1">
        <f t="array" ref="N59">_xll.VALEUROUTPUT($A$923,_xlfn.CONCAT("THEME14=",$C59),SCENARIOS!$A$2,SCENARIOS!$B$2,N$1)</f>
        <v>0</v>
      </c>
      <c r="O59" cm="1">
        <f t="array" ref="O59">_xll.VALEUROUTPUT($A$923,_xlfn.CONCAT("THEME14=",$C59),SCENARIOS!$A$2,SCENARIOS!$B$2,O$1)</f>
        <v>0</v>
      </c>
      <c r="P59" cm="1">
        <f t="array" ref="P59">_xll.VALEUROUTPUT($A$923,_xlfn.CONCAT("THEME14=",$C59),SCENARIOS!$A$2,SCENARIOS!$B$2,P$1)</f>
        <v>0</v>
      </c>
      <c r="Q59" cm="1">
        <f t="array" ref="Q59">_xll.VALEUROUTPUT($A$923,_xlfn.CONCAT("THEME14=",$C59),SCENARIOS!$A$2,SCENARIOS!$B$2,Q$1)</f>
        <v>0</v>
      </c>
      <c r="R59" cm="1">
        <f t="array" ref="R59">_xll.VALEUROUTPUT($A$923,_xlfn.CONCAT("THEME14=",$C59),SCENARIOS!$A$2,SCENARIOS!$B$2,R$1)</f>
        <v>0</v>
      </c>
      <c r="S59" cm="1">
        <f t="array" ref="S59">_xll.VALEUROUTPUT($A$923,_xlfn.CONCAT("THEME14=",$C59),SCENARIOS!$A$2,SCENARIOS!$B$2,S$1)</f>
        <v>0</v>
      </c>
      <c r="T59" cm="1">
        <f t="array" ref="T59">_xll.VALEUROUTPUT($A$923,_xlfn.CONCAT("THEME14=",$C59),SCENARIOS!$A$2,SCENARIOS!$B$2,T$1)</f>
        <v>0</v>
      </c>
      <c r="U59" cm="1">
        <f t="array" ref="U59">_xll.VALEUROUTPUT($A$923,_xlfn.CONCAT("THEME14=",$C59),SCENARIOS!$A$2,SCENARIOS!$B$2,U$1)</f>
        <v>0</v>
      </c>
      <c r="V59" cm="1">
        <f t="array" ref="V59">_xll.VALEUROUTPUT($A$923,_xlfn.CONCAT("THEME14=",$C59),SCENARIOS!$A$2,SCENARIOS!$B$2,V$1)</f>
        <v>0</v>
      </c>
      <c r="W59" cm="1">
        <f t="array" ref="W59">_xll.VALEUROUTPUT($A$923,_xlfn.CONCAT("THEME14=",$C59),SCENARIOS!$A$2,SCENARIOS!$B$2,W$1)</f>
        <v>0</v>
      </c>
      <c r="X59" cm="1">
        <f t="array" ref="X59">_xll.VALEUROUTPUT($A$923,_xlfn.CONCAT("THEME14=",$C59),SCENARIOS!$A$2,SCENARIOS!$B$2,X$1)</f>
        <v>0</v>
      </c>
      <c r="Y59" cm="1">
        <f t="array" ref="Y59">_xll.VALEUROUTPUT($A$923,_xlfn.CONCAT("THEME14=",$C59),SCENARIOS!$A$2,SCENARIOS!$B$2,Y$1)</f>
        <v>0</v>
      </c>
      <c r="Z59" cm="1">
        <f t="array" ref="Z59">_xll.VALEUROUTPUT($A$923,_xlfn.CONCAT("THEME14=",$C59),SCENARIOS!$A$2,SCENARIOS!$B$2,Z$1)</f>
        <v>0</v>
      </c>
      <c r="AA59" cm="1">
        <f t="array" ref="AA59">_xll.VALEUROUTPUT($A$923,_xlfn.CONCAT("THEME14=",$C59),SCENARIOS!$A$2,SCENARIOS!$B$2,AA$1)</f>
        <v>0</v>
      </c>
      <c r="AB59" cm="1">
        <f t="array" ref="AB59">_xll.VALEUROUTPUT($A$923,_xlfn.CONCAT("THEME14=",$C59),SCENARIOS!$A$2,SCENARIOS!$B$2,AB$1)</f>
        <v>0</v>
      </c>
      <c r="AC59" cm="1">
        <f t="array" ref="AC59">_xll.VALEUROUTPUT($A$923,_xlfn.CONCAT("THEME14=",$C59),SCENARIOS!$A$2,SCENARIOS!$B$2,AC$1)</f>
        <v>0</v>
      </c>
      <c r="AD59" cm="1">
        <f t="array" ref="AD59">_xll.VALEUROUTPUT($A$923,_xlfn.CONCAT("THEME14=",$C59),SCENARIOS!$A$2,SCENARIOS!$B$2,AD$1)</f>
        <v>0</v>
      </c>
      <c r="AE59" cm="1">
        <f t="array" ref="AE59">_xll.VALEUROUTPUT($A$923,_xlfn.CONCAT("THEME14=",$C59),SCENARIOS!$A$2,SCENARIOS!$B$2,AE$1)</f>
        <v>0</v>
      </c>
      <c r="AF59" cm="1">
        <f t="array" ref="AF59">_xll.VALEUROUTPUT($A$923,_xlfn.CONCAT("THEME14=",$C59),SCENARIOS!$A$2,SCENARIOS!$B$2,AF$1)</f>
        <v>0</v>
      </c>
    </row>
    <row r="60" spans="1:32" x14ac:dyDescent="0.25">
      <c r="A60" t="str">
        <v>OTAUXSCA</v>
      </c>
      <c r="D60" cm="1">
        <f t="array" ref="D60">_xll.VALEUROUTPUT($A$923,_xlfn.CONCAT("THEME14=",$C60),SCENARIOS!$A$2,SCENARIOS!$B$2,D$1)</f>
        <v>0</v>
      </c>
      <c r="E60" cm="1">
        <f t="array" ref="E60">_xll.VALEUROUTPUT($A$923,_xlfn.CONCAT("THEME14=",$C60),SCENARIOS!$A$2,SCENARIOS!$B$2,E$1)</f>
        <v>0</v>
      </c>
      <c r="F60" cm="1">
        <f t="array" ref="F60">_xll.VALEUROUTPUT($A$923,_xlfn.CONCAT("THEME14=",$C60),SCENARIOS!$A$2,SCENARIOS!$B$2,F$1)</f>
        <v>0</v>
      </c>
      <c r="G60" cm="1">
        <f t="array" ref="G60">_xll.VALEUROUTPUT($A$923,_xlfn.CONCAT("THEME14=",$C60),SCENARIOS!$A$2,SCENARIOS!$B$2,G$1)</f>
        <v>0</v>
      </c>
      <c r="H60" cm="1">
        <f t="array" ref="H60">_xll.VALEUROUTPUT($A$923,_xlfn.CONCAT("THEME14=",$C60),SCENARIOS!$A$2,SCENARIOS!$B$2,H$1)</f>
        <v>0</v>
      </c>
      <c r="I60" cm="1">
        <f t="array" ref="I60">_xll.VALEUROUTPUT($A$923,_xlfn.CONCAT("THEME14=",$C60),SCENARIOS!$A$2,SCENARIOS!$B$2,I$1)</f>
        <v>0</v>
      </c>
      <c r="J60" cm="1">
        <f t="array" ref="J60">_xll.VALEUROUTPUT($A$923,_xlfn.CONCAT("THEME14=",$C60),SCENARIOS!$A$2,SCENARIOS!$B$2,J$1)</f>
        <v>0</v>
      </c>
      <c r="K60" cm="1">
        <f t="array" ref="K60">_xll.VALEUROUTPUT($A$923,_xlfn.CONCAT("THEME14=",$C60),SCENARIOS!$A$2,SCENARIOS!$B$2,K$1)</f>
        <v>0</v>
      </c>
      <c r="L60" cm="1">
        <f t="array" ref="L60">_xll.VALEUROUTPUT($A$923,_xlfn.CONCAT("THEME14=",$C60),SCENARIOS!$A$2,SCENARIOS!$B$2,L$1)</f>
        <v>0</v>
      </c>
      <c r="M60" cm="1">
        <f t="array" ref="M60">_xll.VALEUROUTPUT($A$923,_xlfn.CONCAT("THEME14=",$C60),SCENARIOS!$A$2,SCENARIOS!$B$2,M$1)</f>
        <v>0</v>
      </c>
      <c r="N60" cm="1">
        <f t="array" ref="N60">_xll.VALEUROUTPUT($A$923,_xlfn.CONCAT("THEME14=",$C60),SCENARIOS!$A$2,SCENARIOS!$B$2,N$1)</f>
        <v>0</v>
      </c>
      <c r="O60" cm="1">
        <f t="array" ref="O60">_xll.VALEUROUTPUT($A$923,_xlfn.CONCAT("THEME14=",$C60),SCENARIOS!$A$2,SCENARIOS!$B$2,O$1)</f>
        <v>0</v>
      </c>
      <c r="P60" cm="1">
        <f t="array" ref="P60">_xll.VALEUROUTPUT($A$923,_xlfn.CONCAT("THEME14=",$C60),SCENARIOS!$A$2,SCENARIOS!$B$2,P$1)</f>
        <v>0</v>
      </c>
      <c r="Q60" cm="1">
        <f t="array" ref="Q60">_xll.VALEUROUTPUT($A$923,_xlfn.CONCAT("THEME14=",$C60),SCENARIOS!$A$2,SCENARIOS!$B$2,Q$1)</f>
        <v>0</v>
      </c>
      <c r="R60" cm="1">
        <f t="array" ref="R60">_xll.VALEUROUTPUT($A$923,_xlfn.CONCAT("THEME14=",$C60),SCENARIOS!$A$2,SCENARIOS!$B$2,R$1)</f>
        <v>0</v>
      </c>
      <c r="S60" cm="1">
        <f t="array" ref="S60">_xll.VALEUROUTPUT($A$923,_xlfn.CONCAT("THEME14=",$C60),SCENARIOS!$A$2,SCENARIOS!$B$2,S$1)</f>
        <v>0</v>
      </c>
      <c r="T60" cm="1">
        <f t="array" ref="T60">_xll.VALEUROUTPUT($A$923,_xlfn.CONCAT("THEME14=",$C60),SCENARIOS!$A$2,SCENARIOS!$B$2,T$1)</f>
        <v>0</v>
      </c>
      <c r="U60" cm="1">
        <f t="array" ref="U60">_xll.VALEUROUTPUT($A$923,_xlfn.CONCAT("THEME14=",$C60),SCENARIOS!$A$2,SCENARIOS!$B$2,U$1)</f>
        <v>0</v>
      </c>
      <c r="V60" cm="1">
        <f t="array" ref="V60">_xll.VALEUROUTPUT($A$923,_xlfn.CONCAT("THEME14=",$C60),SCENARIOS!$A$2,SCENARIOS!$B$2,V$1)</f>
        <v>0</v>
      </c>
      <c r="W60" cm="1">
        <f t="array" ref="W60">_xll.VALEUROUTPUT($A$923,_xlfn.CONCAT("THEME14=",$C60),SCENARIOS!$A$2,SCENARIOS!$B$2,W$1)</f>
        <v>0</v>
      </c>
      <c r="X60" cm="1">
        <f t="array" ref="X60">_xll.VALEUROUTPUT($A$923,_xlfn.CONCAT("THEME14=",$C60),SCENARIOS!$A$2,SCENARIOS!$B$2,X$1)</f>
        <v>0</v>
      </c>
      <c r="Y60" cm="1">
        <f t="array" ref="Y60">_xll.VALEUROUTPUT($A$923,_xlfn.CONCAT("THEME14=",$C60),SCENARIOS!$A$2,SCENARIOS!$B$2,Y$1)</f>
        <v>0</v>
      </c>
      <c r="Z60" cm="1">
        <f t="array" ref="Z60">_xll.VALEUROUTPUT($A$923,_xlfn.CONCAT("THEME14=",$C60),SCENARIOS!$A$2,SCENARIOS!$B$2,Z$1)</f>
        <v>0</v>
      </c>
      <c r="AA60" cm="1">
        <f t="array" ref="AA60">_xll.VALEUROUTPUT($A$923,_xlfn.CONCAT("THEME14=",$C60),SCENARIOS!$A$2,SCENARIOS!$B$2,AA$1)</f>
        <v>0</v>
      </c>
      <c r="AB60" cm="1">
        <f t="array" ref="AB60">_xll.VALEUROUTPUT($A$923,_xlfn.CONCAT("THEME14=",$C60),SCENARIOS!$A$2,SCENARIOS!$B$2,AB$1)</f>
        <v>0</v>
      </c>
      <c r="AC60" cm="1">
        <f t="array" ref="AC60">_xll.VALEUROUTPUT($A$923,_xlfn.CONCAT("THEME14=",$C60),SCENARIOS!$A$2,SCENARIOS!$B$2,AC$1)</f>
        <v>0</v>
      </c>
      <c r="AD60" cm="1">
        <f t="array" ref="AD60">_xll.VALEUROUTPUT($A$923,_xlfn.CONCAT("THEME14=",$C60),SCENARIOS!$A$2,SCENARIOS!$B$2,AD$1)</f>
        <v>0</v>
      </c>
      <c r="AE60" cm="1">
        <f t="array" ref="AE60">_xll.VALEUROUTPUT($A$923,_xlfn.CONCAT("THEME14=",$C60),SCENARIOS!$A$2,SCENARIOS!$B$2,AE$1)</f>
        <v>0</v>
      </c>
      <c r="AF60" cm="1">
        <f t="array" ref="AF60">_xll.VALEUROUTPUT($A$923,_xlfn.CONCAT("THEME14=",$C60),SCENARIOS!$A$2,SCENARIOS!$B$2,AF$1)</f>
        <v>0</v>
      </c>
    </row>
    <row r="61" spans="1:32" x14ac:dyDescent="0.25">
      <c r="A61" t="str">
        <v>OTAUXREG</v>
      </c>
      <c r="D61" cm="1">
        <f t="array" ref="D61">_xll.VALEUROUTPUT($A$923,_xlfn.CONCAT("THEME14=",$C61),SCENARIOS!$A$2,SCENARIOS!$B$2,D$1)</f>
        <v>0</v>
      </c>
      <c r="E61" cm="1">
        <f t="array" ref="E61">_xll.VALEUROUTPUT($A$923,_xlfn.CONCAT("THEME14=",$C61),SCENARIOS!$A$2,SCENARIOS!$B$2,E$1)</f>
        <v>0</v>
      </c>
      <c r="F61" cm="1">
        <f t="array" ref="F61">_xll.VALEUROUTPUT($A$923,_xlfn.CONCAT("THEME14=",$C61),SCENARIOS!$A$2,SCENARIOS!$B$2,F$1)</f>
        <v>0</v>
      </c>
      <c r="G61" cm="1">
        <f t="array" ref="G61">_xll.VALEUROUTPUT($A$923,_xlfn.CONCAT("THEME14=",$C61),SCENARIOS!$A$2,SCENARIOS!$B$2,G$1)</f>
        <v>0</v>
      </c>
      <c r="H61" cm="1">
        <f t="array" ref="H61">_xll.VALEUROUTPUT($A$923,_xlfn.CONCAT("THEME14=",$C61),SCENARIOS!$A$2,SCENARIOS!$B$2,H$1)</f>
        <v>0</v>
      </c>
      <c r="I61" cm="1">
        <f t="array" ref="I61">_xll.VALEUROUTPUT($A$923,_xlfn.CONCAT("THEME14=",$C61),SCENARIOS!$A$2,SCENARIOS!$B$2,I$1)</f>
        <v>0</v>
      </c>
      <c r="J61" cm="1">
        <f t="array" ref="J61">_xll.VALEUROUTPUT($A$923,_xlfn.CONCAT("THEME14=",$C61),SCENARIOS!$A$2,SCENARIOS!$B$2,J$1)</f>
        <v>0</v>
      </c>
      <c r="K61" cm="1">
        <f t="array" ref="K61">_xll.VALEUROUTPUT($A$923,_xlfn.CONCAT("THEME14=",$C61),SCENARIOS!$A$2,SCENARIOS!$B$2,K$1)</f>
        <v>0</v>
      </c>
      <c r="L61" cm="1">
        <f t="array" ref="L61">_xll.VALEUROUTPUT($A$923,_xlfn.CONCAT("THEME14=",$C61),SCENARIOS!$A$2,SCENARIOS!$B$2,L$1)</f>
        <v>0</v>
      </c>
      <c r="M61" cm="1">
        <f t="array" ref="M61">_xll.VALEUROUTPUT($A$923,_xlfn.CONCAT("THEME14=",$C61),SCENARIOS!$A$2,SCENARIOS!$B$2,M$1)</f>
        <v>0</v>
      </c>
      <c r="N61" cm="1">
        <f t="array" ref="N61">_xll.VALEUROUTPUT($A$923,_xlfn.CONCAT("THEME14=",$C61),SCENARIOS!$A$2,SCENARIOS!$B$2,N$1)</f>
        <v>0</v>
      </c>
      <c r="O61" cm="1">
        <f t="array" ref="O61">_xll.VALEUROUTPUT($A$923,_xlfn.CONCAT("THEME14=",$C61),SCENARIOS!$A$2,SCENARIOS!$B$2,O$1)</f>
        <v>0</v>
      </c>
      <c r="P61" cm="1">
        <f t="array" ref="P61">_xll.VALEUROUTPUT($A$923,_xlfn.CONCAT("THEME14=",$C61),SCENARIOS!$A$2,SCENARIOS!$B$2,P$1)</f>
        <v>0</v>
      </c>
      <c r="Q61" cm="1">
        <f t="array" ref="Q61">_xll.VALEUROUTPUT($A$923,_xlfn.CONCAT("THEME14=",$C61),SCENARIOS!$A$2,SCENARIOS!$B$2,Q$1)</f>
        <v>0</v>
      </c>
      <c r="R61" cm="1">
        <f t="array" ref="R61">_xll.VALEUROUTPUT($A$923,_xlfn.CONCAT("THEME14=",$C61),SCENARIOS!$A$2,SCENARIOS!$B$2,R$1)</f>
        <v>0</v>
      </c>
      <c r="S61" cm="1">
        <f t="array" ref="S61">_xll.VALEUROUTPUT($A$923,_xlfn.CONCAT("THEME14=",$C61),SCENARIOS!$A$2,SCENARIOS!$B$2,S$1)</f>
        <v>0</v>
      </c>
      <c r="T61" cm="1">
        <f t="array" ref="T61">_xll.VALEUROUTPUT($A$923,_xlfn.CONCAT("THEME14=",$C61),SCENARIOS!$A$2,SCENARIOS!$B$2,T$1)</f>
        <v>0</v>
      </c>
      <c r="U61" cm="1">
        <f t="array" ref="U61">_xll.VALEUROUTPUT($A$923,_xlfn.CONCAT("THEME14=",$C61),SCENARIOS!$A$2,SCENARIOS!$B$2,U$1)</f>
        <v>0</v>
      </c>
      <c r="V61" cm="1">
        <f t="array" ref="V61">_xll.VALEUROUTPUT($A$923,_xlfn.CONCAT("THEME14=",$C61),SCENARIOS!$A$2,SCENARIOS!$B$2,V$1)</f>
        <v>0</v>
      </c>
      <c r="W61" cm="1">
        <f t="array" ref="W61">_xll.VALEUROUTPUT($A$923,_xlfn.CONCAT("THEME14=",$C61),SCENARIOS!$A$2,SCENARIOS!$B$2,W$1)</f>
        <v>0</v>
      </c>
      <c r="X61" cm="1">
        <f t="array" ref="X61">_xll.VALEUROUTPUT($A$923,_xlfn.CONCAT("THEME14=",$C61),SCENARIOS!$A$2,SCENARIOS!$B$2,X$1)</f>
        <v>0</v>
      </c>
      <c r="Y61" cm="1">
        <f t="array" ref="Y61">_xll.VALEUROUTPUT($A$923,_xlfn.CONCAT("THEME14=",$C61),SCENARIOS!$A$2,SCENARIOS!$B$2,Y$1)</f>
        <v>0</v>
      </c>
      <c r="Z61" cm="1">
        <f t="array" ref="Z61">_xll.VALEUROUTPUT($A$923,_xlfn.CONCAT("THEME14=",$C61),SCENARIOS!$A$2,SCENARIOS!$B$2,Z$1)</f>
        <v>0</v>
      </c>
      <c r="AA61" cm="1">
        <f t="array" ref="AA61">_xll.VALEUROUTPUT($A$923,_xlfn.CONCAT("THEME14=",$C61),SCENARIOS!$A$2,SCENARIOS!$B$2,AA$1)</f>
        <v>0</v>
      </c>
      <c r="AB61" cm="1">
        <f t="array" ref="AB61">_xll.VALEUROUTPUT($A$923,_xlfn.CONCAT("THEME14=",$C61),SCENARIOS!$A$2,SCENARIOS!$B$2,AB$1)</f>
        <v>0</v>
      </c>
      <c r="AC61" cm="1">
        <f t="array" ref="AC61">_xll.VALEUROUTPUT($A$923,_xlfn.CONCAT("THEME14=",$C61),SCENARIOS!$A$2,SCENARIOS!$B$2,AC$1)</f>
        <v>0</v>
      </c>
      <c r="AD61" cm="1">
        <f t="array" ref="AD61">_xll.VALEUROUTPUT($A$923,_xlfn.CONCAT("THEME14=",$C61),SCENARIOS!$A$2,SCENARIOS!$B$2,AD$1)</f>
        <v>0</v>
      </c>
      <c r="AE61" cm="1">
        <f t="array" ref="AE61">_xll.VALEUROUTPUT($A$923,_xlfn.CONCAT("THEME14=",$C61),SCENARIOS!$A$2,SCENARIOS!$B$2,AE$1)</f>
        <v>0</v>
      </c>
      <c r="AF61" cm="1">
        <f t="array" ref="AF61">_xll.VALEUROUTPUT($A$923,_xlfn.CONCAT("THEME14=",$C61),SCENARIOS!$A$2,SCENARIOS!$B$2,AF$1)</f>
        <v>0</v>
      </c>
    </row>
    <row r="62" spans="1:32" x14ac:dyDescent="0.25">
      <c r="A62" t="str">
        <v>OTAUXCPI</v>
      </c>
      <c r="D62" cm="1">
        <f t="array" ref="D62">_xll.VALEUROUTPUT($A$923,_xlfn.CONCAT("THEME14=",$C62),SCENARIOS!$A$2,SCENARIOS!$B$2,D$1)</f>
        <v>0</v>
      </c>
      <c r="E62" cm="1">
        <f t="array" ref="E62">_xll.VALEUROUTPUT($A$923,_xlfn.CONCAT("THEME14=",$C62),SCENARIOS!$A$2,SCENARIOS!$B$2,E$1)</f>
        <v>0</v>
      </c>
      <c r="F62" cm="1">
        <f t="array" ref="F62">_xll.VALEUROUTPUT($A$923,_xlfn.CONCAT("THEME14=",$C62),SCENARIOS!$A$2,SCENARIOS!$B$2,F$1)</f>
        <v>0</v>
      </c>
      <c r="G62" cm="1">
        <f t="array" ref="G62">_xll.VALEUROUTPUT($A$923,_xlfn.CONCAT("THEME14=",$C62),SCENARIOS!$A$2,SCENARIOS!$B$2,G$1)</f>
        <v>0</v>
      </c>
      <c r="H62" cm="1">
        <f t="array" ref="H62">_xll.VALEUROUTPUT($A$923,_xlfn.CONCAT("THEME14=",$C62),SCENARIOS!$A$2,SCENARIOS!$B$2,H$1)</f>
        <v>0</v>
      </c>
      <c r="I62" cm="1">
        <f t="array" ref="I62">_xll.VALEUROUTPUT($A$923,_xlfn.CONCAT("THEME14=",$C62),SCENARIOS!$A$2,SCENARIOS!$B$2,I$1)</f>
        <v>0</v>
      </c>
      <c r="J62" cm="1">
        <f t="array" ref="J62">_xll.VALEUROUTPUT($A$923,_xlfn.CONCAT("THEME14=",$C62),SCENARIOS!$A$2,SCENARIOS!$B$2,J$1)</f>
        <v>0</v>
      </c>
      <c r="K62" cm="1">
        <f t="array" ref="K62">_xll.VALEUROUTPUT($A$923,_xlfn.CONCAT("THEME14=",$C62),SCENARIOS!$A$2,SCENARIOS!$B$2,K$1)</f>
        <v>0</v>
      </c>
      <c r="L62" cm="1">
        <f t="array" ref="L62">_xll.VALEUROUTPUT($A$923,_xlfn.CONCAT("THEME14=",$C62),SCENARIOS!$A$2,SCENARIOS!$B$2,L$1)</f>
        <v>0</v>
      </c>
      <c r="M62" cm="1">
        <f t="array" ref="M62">_xll.VALEUROUTPUT($A$923,_xlfn.CONCAT("THEME14=",$C62),SCENARIOS!$A$2,SCENARIOS!$B$2,M$1)</f>
        <v>0</v>
      </c>
      <c r="N62" cm="1">
        <f t="array" ref="N62">_xll.VALEUROUTPUT($A$923,_xlfn.CONCAT("THEME14=",$C62),SCENARIOS!$A$2,SCENARIOS!$B$2,N$1)</f>
        <v>0</v>
      </c>
      <c r="O62" cm="1">
        <f t="array" ref="O62">_xll.VALEUROUTPUT($A$923,_xlfn.CONCAT("THEME14=",$C62),SCENARIOS!$A$2,SCENARIOS!$B$2,O$1)</f>
        <v>0</v>
      </c>
      <c r="P62" cm="1">
        <f t="array" ref="P62">_xll.VALEUROUTPUT($A$923,_xlfn.CONCAT("THEME14=",$C62),SCENARIOS!$A$2,SCENARIOS!$B$2,P$1)</f>
        <v>0</v>
      </c>
      <c r="Q62" cm="1">
        <f t="array" ref="Q62">_xll.VALEUROUTPUT($A$923,_xlfn.CONCAT("THEME14=",$C62),SCENARIOS!$A$2,SCENARIOS!$B$2,Q$1)</f>
        <v>0</v>
      </c>
      <c r="R62" cm="1">
        <f t="array" ref="R62">_xll.VALEUROUTPUT($A$923,_xlfn.CONCAT("THEME14=",$C62),SCENARIOS!$A$2,SCENARIOS!$B$2,R$1)</f>
        <v>0</v>
      </c>
      <c r="S62" cm="1">
        <f t="array" ref="S62">_xll.VALEUROUTPUT($A$923,_xlfn.CONCAT("THEME14=",$C62),SCENARIOS!$A$2,SCENARIOS!$B$2,S$1)</f>
        <v>0</v>
      </c>
      <c r="T62" cm="1">
        <f t="array" ref="T62">_xll.VALEUROUTPUT($A$923,_xlfn.CONCAT("THEME14=",$C62),SCENARIOS!$A$2,SCENARIOS!$B$2,T$1)</f>
        <v>0</v>
      </c>
      <c r="U62" cm="1">
        <f t="array" ref="U62">_xll.VALEUROUTPUT($A$923,_xlfn.CONCAT("THEME14=",$C62),SCENARIOS!$A$2,SCENARIOS!$B$2,U$1)</f>
        <v>0</v>
      </c>
      <c r="V62" cm="1">
        <f t="array" ref="V62">_xll.VALEUROUTPUT($A$923,_xlfn.CONCAT("THEME14=",$C62),SCENARIOS!$A$2,SCENARIOS!$B$2,V$1)</f>
        <v>0</v>
      </c>
      <c r="W62" cm="1">
        <f t="array" ref="W62">_xll.VALEUROUTPUT($A$923,_xlfn.CONCAT("THEME14=",$C62),SCENARIOS!$A$2,SCENARIOS!$B$2,W$1)</f>
        <v>0</v>
      </c>
      <c r="X62" cm="1">
        <f t="array" ref="X62">_xll.VALEUROUTPUT($A$923,_xlfn.CONCAT("THEME14=",$C62),SCENARIOS!$A$2,SCENARIOS!$B$2,X$1)</f>
        <v>0</v>
      </c>
      <c r="Y62" cm="1">
        <f t="array" ref="Y62">_xll.VALEUROUTPUT($A$923,_xlfn.CONCAT("THEME14=",$C62),SCENARIOS!$A$2,SCENARIOS!$B$2,Y$1)</f>
        <v>0</v>
      </c>
      <c r="Z62" cm="1">
        <f t="array" ref="Z62">_xll.VALEUROUTPUT($A$923,_xlfn.CONCAT("THEME14=",$C62),SCENARIOS!$A$2,SCENARIOS!$B$2,Z$1)</f>
        <v>0</v>
      </c>
      <c r="AA62" cm="1">
        <f t="array" ref="AA62">_xll.VALEUROUTPUT($A$923,_xlfn.CONCAT("THEME14=",$C62),SCENARIOS!$A$2,SCENARIOS!$B$2,AA$1)</f>
        <v>0</v>
      </c>
      <c r="AB62" cm="1">
        <f t="array" ref="AB62">_xll.VALEUROUTPUT($A$923,_xlfn.CONCAT("THEME14=",$C62),SCENARIOS!$A$2,SCENARIOS!$B$2,AB$1)</f>
        <v>0</v>
      </c>
      <c r="AC62" cm="1">
        <f t="array" ref="AC62">_xll.VALEUROUTPUT($A$923,_xlfn.CONCAT("THEME14=",$C62),SCENARIOS!$A$2,SCENARIOS!$B$2,AC$1)</f>
        <v>0</v>
      </c>
      <c r="AD62" cm="1">
        <f t="array" ref="AD62">_xll.VALEUROUTPUT($A$923,_xlfn.CONCAT("THEME14=",$C62),SCENARIOS!$A$2,SCENARIOS!$B$2,AD$1)</f>
        <v>0</v>
      </c>
      <c r="AE62" cm="1">
        <f t="array" ref="AE62">_xll.VALEUROUTPUT($A$923,_xlfn.CONCAT("THEME14=",$C62),SCENARIOS!$A$2,SCENARIOS!$B$2,AE$1)</f>
        <v>0</v>
      </c>
      <c r="AF62" cm="1">
        <f t="array" ref="AF62">_xll.VALEUROUTPUT($A$923,_xlfn.CONCAT("THEME14=",$C62),SCENARIOS!$A$2,SCENARIOS!$B$2,AF$1)</f>
        <v>0</v>
      </c>
    </row>
    <row r="63" spans="1:32" x14ac:dyDescent="0.25">
      <c r="A63" t="str">
        <v>OTAUXCT</v>
      </c>
      <c r="D63" cm="1">
        <f t="array" ref="D63">_xll.VALEUROUTPUT($A$923,_xlfn.CONCAT("THEME14=",$C63),SCENARIOS!$A$2,SCENARIOS!$B$2,D$1)</f>
        <v>0</v>
      </c>
      <c r="E63" cm="1">
        <f t="array" ref="E63">_xll.VALEUROUTPUT($A$923,_xlfn.CONCAT("THEME14=",$C63),SCENARIOS!$A$2,SCENARIOS!$B$2,E$1)</f>
        <v>0</v>
      </c>
      <c r="F63" cm="1">
        <f t="array" ref="F63">_xll.VALEUROUTPUT($A$923,_xlfn.CONCAT("THEME14=",$C63),SCENARIOS!$A$2,SCENARIOS!$B$2,F$1)</f>
        <v>0</v>
      </c>
      <c r="G63" cm="1">
        <f t="array" ref="G63">_xll.VALEUROUTPUT($A$923,_xlfn.CONCAT("THEME14=",$C63),SCENARIOS!$A$2,SCENARIOS!$B$2,G$1)</f>
        <v>0</v>
      </c>
      <c r="H63" cm="1">
        <f t="array" ref="H63">_xll.VALEUROUTPUT($A$923,_xlfn.CONCAT("THEME14=",$C63),SCENARIOS!$A$2,SCENARIOS!$B$2,H$1)</f>
        <v>0</v>
      </c>
      <c r="I63" cm="1">
        <f t="array" ref="I63">_xll.VALEUROUTPUT($A$923,_xlfn.CONCAT("THEME14=",$C63),SCENARIOS!$A$2,SCENARIOS!$B$2,I$1)</f>
        <v>0</v>
      </c>
      <c r="J63" cm="1">
        <f t="array" ref="J63">_xll.VALEUROUTPUT($A$923,_xlfn.CONCAT("THEME14=",$C63),SCENARIOS!$A$2,SCENARIOS!$B$2,J$1)</f>
        <v>0</v>
      </c>
      <c r="K63" cm="1">
        <f t="array" ref="K63">_xll.VALEUROUTPUT($A$923,_xlfn.CONCAT("THEME14=",$C63),SCENARIOS!$A$2,SCENARIOS!$B$2,K$1)</f>
        <v>0</v>
      </c>
      <c r="L63" cm="1">
        <f t="array" ref="L63">_xll.VALEUROUTPUT($A$923,_xlfn.CONCAT("THEME14=",$C63),SCENARIOS!$A$2,SCENARIOS!$B$2,L$1)</f>
        <v>0</v>
      </c>
      <c r="M63" cm="1">
        <f t="array" ref="M63">_xll.VALEUROUTPUT($A$923,_xlfn.CONCAT("THEME14=",$C63),SCENARIOS!$A$2,SCENARIOS!$B$2,M$1)</f>
        <v>0</v>
      </c>
      <c r="N63" cm="1">
        <f t="array" ref="N63">_xll.VALEUROUTPUT($A$923,_xlfn.CONCAT("THEME14=",$C63),SCENARIOS!$A$2,SCENARIOS!$B$2,N$1)</f>
        <v>0</v>
      </c>
      <c r="O63" cm="1">
        <f t="array" ref="O63">_xll.VALEUROUTPUT($A$923,_xlfn.CONCAT("THEME14=",$C63),SCENARIOS!$A$2,SCENARIOS!$B$2,O$1)</f>
        <v>0</v>
      </c>
      <c r="P63" cm="1">
        <f t="array" ref="P63">_xll.VALEUROUTPUT($A$923,_xlfn.CONCAT("THEME14=",$C63),SCENARIOS!$A$2,SCENARIOS!$B$2,P$1)</f>
        <v>0</v>
      </c>
      <c r="Q63" cm="1">
        <f t="array" ref="Q63">_xll.VALEUROUTPUT($A$923,_xlfn.CONCAT("THEME14=",$C63),SCENARIOS!$A$2,SCENARIOS!$B$2,Q$1)</f>
        <v>0</v>
      </c>
      <c r="R63" cm="1">
        <f t="array" ref="R63">_xll.VALEUROUTPUT($A$923,_xlfn.CONCAT("THEME14=",$C63),SCENARIOS!$A$2,SCENARIOS!$B$2,R$1)</f>
        <v>0</v>
      </c>
      <c r="S63" cm="1">
        <f t="array" ref="S63">_xll.VALEUROUTPUT($A$923,_xlfn.CONCAT("THEME14=",$C63),SCENARIOS!$A$2,SCENARIOS!$B$2,S$1)</f>
        <v>0</v>
      </c>
      <c r="T63" cm="1">
        <f t="array" ref="T63">_xll.VALEUROUTPUT($A$923,_xlfn.CONCAT("THEME14=",$C63),SCENARIOS!$A$2,SCENARIOS!$B$2,T$1)</f>
        <v>0</v>
      </c>
      <c r="U63" cm="1">
        <f t="array" ref="U63">_xll.VALEUROUTPUT($A$923,_xlfn.CONCAT("THEME14=",$C63),SCENARIOS!$A$2,SCENARIOS!$B$2,U$1)</f>
        <v>0</v>
      </c>
      <c r="V63" cm="1">
        <f t="array" ref="V63">_xll.VALEUROUTPUT($A$923,_xlfn.CONCAT("THEME14=",$C63),SCENARIOS!$A$2,SCENARIOS!$B$2,V$1)</f>
        <v>0</v>
      </c>
      <c r="W63" cm="1">
        <f t="array" ref="W63">_xll.VALEUROUTPUT($A$923,_xlfn.CONCAT("THEME14=",$C63),SCENARIOS!$A$2,SCENARIOS!$B$2,W$1)</f>
        <v>0</v>
      </c>
      <c r="X63" cm="1">
        <f t="array" ref="X63">_xll.VALEUROUTPUT($A$923,_xlfn.CONCAT("THEME14=",$C63),SCENARIOS!$A$2,SCENARIOS!$B$2,X$1)</f>
        <v>0</v>
      </c>
      <c r="Y63" cm="1">
        <f t="array" ref="Y63">_xll.VALEUROUTPUT($A$923,_xlfn.CONCAT("THEME14=",$C63),SCENARIOS!$A$2,SCENARIOS!$B$2,Y$1)</f>
        <v>0</v>
      </c>
      <c r="Z63" cm="1">
        <f t="array" ref="Z63">_xll.VALEUROUTPUT($A$923,_xlfn.CONCAT("THEME14=",$C63),SCENARIOS!$A$2,SCENARIOS!$B$2,Z$1)</f>
        <v>0</v>
      </c>
      <c r="AA63" cm="1">
        <f t="array" ref="AA63">_xll.VALEUROUTPUT($A$923,_xlfn.CONCAT("THEME14=",$C63),SCENARIOS!$A$2,SCENARIOS!$B$2,AA$1)</f>
        <v>0</v>
      </c>
      <c r="AB63" cm="1">
        <f t="array" ref="AB63">_xll.VALEUROUTPUT($A$923,_xlfn.CONCAT("THEME14=",$C63),SCENARIOS!$A$2,SCENARIOS!$B$2,AB$1)</f>
        <v>0</v>
      </c>
      <c r="AC63" cm="1">
        <f t="array" ref="AC63">_xll.VALEUROUTPUT($A$923,_xlfn.CONCAT("THEME14=",$C63),SCENARIOS!$A$2,SCENARIOS!$B$2,AC$1)</f>
        <v>0</v>
      </c>
      <c r="AD63" cm="1">
        <f t="array" ref="AD63">_xll.VALEUROUTPUT($A$923,_xlfn.CONCAT("THEME14=",$C63),SCENARIOS!$A$2,SCENARIOS!$B$2,AD$1)</f>
        <v>0</v>
      </c>
      <c r="AE63" cm="1">
        <f t="array" ref="AE63">_xll.VALEUROUTPUT($A$923,_xlfn.CONCAT("THEME14=",$C63),SCENARIOS!$A$2,SCENARIOS!$B$2,AE$1)</f>
        <v>0</v>
      </c>
      <c r="AF63" cm="1">
        <f t="array" ref="AF63">_xll.VALEUROUTPUT($A$923,_xlfn.CONCAT("THEME14=",$C63),SCENARIOS!$A$2,SCENARIOS!$B$2,AF$1)</f>
        <v>0</v>
      </c>
    </row>
    <row r="64" spans="1:32" x14ac:dyDescent="0.25">
      <c r="A64" t="str">
        <v>OTAUXPL</v>
      </c>
      <c r="D64" cm="1">
        <f t="array" ref="D64">_xll.VALEUROUTPUT($A$923,_xlfn.CONCAT("THEME14=",$C64),SCENARIOS!$A$2,SCENARIOS!$B$2,D$1)</f>
        <v>0</v>
      </c>
      <c r="E64" cm="1">
        <f t="array" ref="E64">_xll.VALEUROUTPUT($A$923,_xlfn.CONCAT("THEME14=",$C64),SCENARIOS!$A$2,SCENARIOS!$B$2,E$1)</f>
        <v>0</v>
      </c>
      <c r="F64" cm="1">
        <f t="array" ref="F64">_xll.VALEUROUTPUT($A$923,_xlfn.CONCAT("THEME14=",$C64),SCENARIOS!$A$2,SCENARIOS!$B$2,F$1)</f>
        <v>0</v>
      </c>
      <c r="G64" cm="1">
        <f t="array" ref="G64">_xll.VALEUROUTPUT($A$923,_xlfn.CONCAT("THEME14=",$C64),SCENARIOS!$A$2,SCENARIOS!$B$2,G$1)</f>
        <v>0</v>
      </c>
      <c r="H64" cm="1">
        <f t="array" ref="H64">_xll.VALEUROUTPUT($A$923,_xlfn.CONCAT("THEME14=",$C64),SCENARIOS!$A$2,SCENARIOS!$B$2,H$1)</f>
        <v>0</v>
      </c>
      <c r="I64" cm="1">
        <f t="array" ref="I64">_xll.VALEUROUTPUT($A$923,_xlfn.CONCAT("THEME14=",$C64),SCENARIOS!$A$2,SCENARIOS!$B$2,I$1)</f>
        <v>0</v>
      </c>
      <c r="J64" cm="1">
        <f t="array" ref="J64">_xll.VALEUROUTPUT($A$923,_xlfn.CONCAT("THEME14=",$C64),SCENARIOS!$A$2,SCENARIOS!$B$2,J$1)</f>
        <v>0</v>
      </c>
      <c r="K64" cm="1">
        <f t="array" ref="K64">_xll.VALEUROUTPUT($A$923,_xlfn.CONCAT("THEME14=",$C64),SCENARIOS!$A$2,SCENARIOS!$B$2,K$1)</f>
        <v>0</v>
      </c>
      <c r="L64" cm="1">
        <f t="array" ref="L64">_xll.VALEUROUTPUT($A$923,_xlfn.CONCAT("THEME14=",$C64),SCENARIOS!$A$2,SCENARIOS!$B$2,L$1)</f>
        <v>0</v>
      </c>
      <c r="M64" cm="1">
        <f t="array" ref="M64">_xll.VALEUROUTPUT($A$923,_xlfn.CONCAT("THEME14=",$C64),SCENARIOS!$A$2,SCENARIOS!$B$2,M$1)</f>
        <v>0</v>
      </c>
      <c r="N64" cm="1">
        <f t="array" ref="N64">_xll.VALEUROUTPUT($A$923,_xlfn.CONCAT("THEME14=",$C64),SCENARIOS!$A$2,SCENARIOS!$B$2,N$1)</f>
        <v>0</v>
      </c>
      <c r="O64" cm="1">
        <f t="array" ref="O64">_xll.VALEUROUTPUT($A$923,_xlfn.CONCAT("THEME14=",$C64),SCENARIOS!$A$2,SCENARIOS!$B$2,O$1)</f>
        <v>0</v>
      </c>
      <c r="P64" cm="1">
        <f t="array" ref="P64">_xll.VALEUROUTPUT($A$923,_xlfn.CONCAT("THEME14=",$C64),SCENARIOS!$A$2,SCENARIOS!$B$2,P$1)</f>
        <v>0</v>
      </c>
      <c r="Q64" cm="1">
        <f t="array" ref="Q64">_xll.VALEUROUTPUT($A$923,_xlfn.CONCAT("THEME14=",$C64),SCENARIOS!$A$2,SCENARIOS!$B$2,Q$1)</f>
        <v>0</v>
      </c>
      <c r="R64" cm="1">
        <f t="array" ref="R64">_xll.VALEUROUTPUT($A$923,_xlfn.CONCAT("THEME14=",$C64),SCENARIOS!$A$2,SCENARIOS!$B$2,R$1)</f>
        <v>0</v>
      </c>
      <c r="S64" cm="1">
        <f t="array" ref="S64">_xll.VALEUROUTPUT($A$923,_xlfn.CONCAT("THEME14=",$C64),SCENARIOS!$A$2,SCENARIOS!$B$2,S$1)</f>
        <v>0</v>
      </c>
      <c r="T64" cm="1">
        <f t="array" ref="T64">_xll.VALEUROUTPUT($A$923,_xlfn.CONCAT("THEME14=",$C64),SCENARIOS!$A$2,SCENARIOS!$B$2,T$1)</f>
        <v>0</v>
      </c>
      <c r="U64" cm="1">
        <f t="array" ref="U64">_xll.VALEUROUTPUT($A$923,_xlfn.CONCAT("THEME14=",$C64),SCENARIOS!$A$2,SCENARIOS!$B$2,U$1)</f>
        <v>0</v>
      </c>
      <c r="V64" cm="1">
        <f t="array" ref="V64">_xll.VALEUROUTPUT($A$923,_xlfn.CONCAT("THEME14=",$C64),SCENARIOS!$A$2,SCENARIOS!$B$2,V$1)</f>
        <v>0</v>
      </c>
      <c r="W64" cm="1">
        <f t="array" ref="W64">_xll.VALEUROUTPUT($A$923,_xlfn.CONCAT("THEME14=",$C64),SCENARIOS!$A$2,SCENARIOS!$B$2,W$1)</f>
        <v>0</v>
      </c>
      <c r="X64" cm="1">
        <f t="array" ref="X64">_xll.VALEUROUTPUT($A$923,_xlfn.CONCAT("THEME14=",$C64),SCENARIOS!$A$2,SCENARIOS!$B$2,X$1)</f>
        <v>0</v>
      </c>
      <c r="Y64" cm="1">
        <f t="array" ref="Y64">_xll.VALEUROUTPUT($A$923,_xlfn.CONCAT("THEME14=",$C64),SCENARIOS!$A$2,SCENARIOS!$B$2,Y$1)</f>
        <v>0</v>
      </c>
      <c r="Z64" cm="1">
        <f t="array" ref="Z64">_xll.VALEUROUTPUT($A$923,_xlfn.CONCAT("THEME14=",$C64),SCENARIOS!$A$2,SCENARIOS!$B$2,Z$1)</f>
        <v>0</v>
      </c>
      <c r="AA64" cm="1">
        <f t="array" ref="AA64">_xll.VALEUROUTPUT($A$923,_xlfn.CONCAT("THEME14=",$C64),SCENARIOS!$A$2,SCENARIOS!$B$2,AA$1)</f>
        <v>0</v>
      </c>
      <c r="AB64" cm="1">
        <f t="array" ref="AB64">_xll.VALEUROUTPUT($A$923,_xlfn.CONCAT("THEME14=",$C64),SCENARIOS!$A$2,SCENARIOS!$B$2,AB$1)</f>
        <v>0</v>
      </c>
      <c r="AC64" cm="1">
        <f t="array" ref="AC64">_xll.VALEUROUTPUT($A$923,_xlfn.CONCAT("THEME14=",$C64),SCENARIOS!$A$2,SCENARIOS!$B$2,AC$1)</f>
        <v>0</v>
      </c>
      <c r="AD64" cm="1">
        <f t="array" ref="AD64">_xll.VALEUROUTPUT($A$923,_xlfn.CONCAT("THEME14=",$C64),SCENARIOS!$A$2,SCENARIOS!$B$2,AD$1)</f>
        <v>0</v>
      </c>
      <c r="AE64" cm="1">
        <f t="array" ref="AE64">_xll.VALEUROUTPUT($A$923,_xlfn.CONCAT("THEME14=",$C64),SCENARIOS!$A$2,SCENARIOS!$B$2,AE$1)</f>
        <v>0</v>
      </c>
      <c r="AF64" cm="1">
        <f t="array" ref="AF64">_xll.VALEUROUTPUT($A$923,_xlfn.CONCAT("THEME14=",$C64),SCENARIOS!$A$2,SCENARIOS!$B$2,AF$1)</f>
        <v>0</v>
      </c>
    </row>
    <row r="65" spans="1:32" x14ac:dyDescent="0.25">
      <c r="A65" t="str">
        <v>OTAUXEPC</v>
      </c>
      <c r="D65" cm="1">
        <f t="array" ref="D65">_xll.VALEUROUTPUT($A$923,_xlfn.CONCAT("THEME14=",$C65),SCENARIOS!$A$2,SCENARIOS!$B$2,D$1)</f>
        <v>0</v>
      </c>
      <c r="E65" cm="1">
        <f t="array" ref="E65">_xll.VALEUROUTPUT($A$923,_xlfn.CONCAT("THEME14=",$C65),SCENARIOS!$A$2,SCENARIOS!$B$2,E$1)</f>
        <v>0</v>
      </c>
      <c r="F65" cm="1">
        <f t="array" ref="F65">_xll.VALEUROUTPUT($A$923,_xlfn.CONCAT("THEME14=",$C65),SCENARIOS!$A$2,SCENARIOS!$B$2,F$1)</f>
        <v>0</v>
      </c>
      <c r="G65" cm="1">
        <f t="array" ref="G65">_xll.VALEUROUTPUT($A$923,_xlfn.CONCAT("THEME14=",$C65),SCENARIOS!$A$2,SCENARIOS!$B$2,G$1)</f>
        <v>0</v>
      </c>
      <c r="H65" cm="1">
        <f t="array" ref="H65">_xll.VALEUROUTPUT($A$923,_xlfn.CONCAT("THEME14=",$C65),SCENARIOS!$A$2,SCENARIOS!$B$2,H$1)</f>
        <v>0</v>
      </c>
      <c r="I65" cm="1">
        <f t="array" ref="I65">_xll.VALEUROUTPUT($A$923,_xlfn.CONCAT("THEME14=",$C65),SCENARIOS!$A$2,SCENARIOS!$B$2,I$1)</f>
        <v>0</v>
      </c>
      <c r="J65" cm="1">
        <f t="array" ref="J65">_xll.VALEUROUTPUT($A$923,_xlfn.CONCAT("THEME14=",$C65),SCENARIOS!$A$2,SCENARIOS!$B$2,J$1)</f>
        <v>0</v>
      </c>
      <c r="K65" cm="1">
        <f t="array" ref="K65">_xll.VALEUROUTPUT($A$923,_xlfn.CONCAT("THEME14=",$C65),SCENARIOS!$A$2,SCENARIOS!$B$2,K$1)</f>
        <v>0</v>
      </c>
      <c r="L65" cm="1">
        <f t="array" ref="L65">_xll.VALEUROUTPUT($A$923,_xlfn.CONCAT("THEME14=",$C65),SCENARIOS!$A$2,SCENARIOS!$B$2,L$1)</f>
        <v>0</v>
      </c>
      <c r="M65" cm="1">
        <f t="array" ref="M65">_xll.VALEUROUTPUT($A$923,_xlfn.CONCAT("THEME14=",$C65),SCENARIOS!$A$2,SCENARIOS!$B$2,M$1)</f>
        <v>0</v>
      </c>
      <c r="N65" cm="1">
        <f t="array" ref="N65">_xll.VALEUROUTPUT($A$923,_xlfn.CONCAT("THEME14=",$C65),SCENARIOS!$A$2,SCENARIOS!$B$2,N$1)</f>
        <v>0</v>
      </c>
      <c r="O65" cm="1">
        <f t="array" ref="O65">_xll.VALEUROUTPUT($A$923,_xlfn.CONCAT("THEME14=",$C65),SCENARIOS!$A$2,SCENARIOS!$B$2,O$1)</f>
        <v>0</v>
      </c>
      <c r="P65" cm="1">
        <f t="array" ref="P65">_xll.VALEUROUTPUT($A$923,_xlfn.CONCAT("THEME14=",$C65),SCENARIOS!$A$2,SCENARIOS!$B$2,P$1)</f>
        <v>0</v>
      </c>
      <c r="Q65" cm="1">
        <f t="array" ref="Q65">_xll.VALEUROUTPUT($A$923,_xlfn.CONCAT("THEME14=",$C65),SCENARIOS!$A$2,SCENARIOS!$B$2,Q$1)</f>
        <v>0</v>
      </c>
      <c r="R65" cm="1">
        <f t="array" ref="R65">_xll.VALEUROUTPUT($A$923,_xlfn.CONCAT("THEME14=",$C65),SCENARIOS!$A$2,SCENARIOS!$B$2,R$1)</f>
        <v>0</v>
      </c>
      <c r="S65" cm="1">
        <f t="array" ref="S65">_xll.VALEUROUTPUT($A$923,_xlfn.CONCAT("THEME14=",$C65),SCENARIOS!$A$2,SCENARIOS!$B$2,S$1)</f>
        <v>0</v>
      </c>
      <c r="T65" cm="1">
        <f t="array" ref="T65">_xll.VALEUROUTPUT($A$923,_xlfn.CONCAT("THEME14=",$C65),SCENARIOS!$A$2,SCENARIOS!$B$2,T$1)</f>
        <v>0</v>
      </c>
      <c r="U65" cm="1">
        <f t="array" ref="U65">_xll.VALEUROUTPUT($A$923,_xlfn.CONCAT("THEME14=",$C65),SCENARIOS!$A$2,SCENARIOS!$B$2,U$1)</f>
        <v>0</v>
      </c>
      <c r="V65" cm="1">
        <f t="array" ref="V65">_xll.VALEUROUTPUT($A$923,_xlfn.CONCAT("THEME14=",$C65),SCENARIOS!$A$2,SCENARIOS!$B$2,V$1)</f>
        <v>0</v>
      </c>
      <c r="W65" cm="1">
        <f t="array" ref="W65">_xll.VALEUROUTPUT($A$923,_xlfn.CONCAT("THEME14=",$C65),SCENARIOS!$A$2,SCENARIOS!$B$2,W$1)</f>
        <v>0</v>
      </c>
      <c r="X65" cm="1">
        <f t="array" ref="X65">_xll.VALEUROUTPUT($A$923,_xlfn.CONCAT("THEME14=",$C65),SCENARIOS!$A$2,SCENARIOS!$B$2,X$1)</f>
        <v>0</v>
      </c>
      <c r="Y65" cm="1">
        <f t="array" ref="Y65">_xll.VALEUROUTPUT($A$923,_xlfn.CONCAT("THEME14=",$C65),SCENARIOS!$A$2,SCENARIOS!$B$2,Y$1)</f>
        <v>0</v>
      </c>
      <c r="Z65" cm="1">
        <f t="array" ref="Z65">_xll.VALEUROUTPUT($A$923,_xlfn.CONCAT("THEME14=",$C65),SCENARIOS!$A$2,SCENARIOS!$B$2,Z$1)</f>
        <v>0</v>
      </c>
      <c r="AA65" cm="1">
        <f t="array" ref="AA65">_xll.VALEUROUTPUT($A$923,_xlfn.CONCAT("THEME14=",$C65),SCENARIOS!$A$2,SCENARIOS!$B$2,AA$1)</f>
        <v>0</v>
      </c>
      <c r="AB65" cm="1">
        <f t="array" ref="AB65">_xll.VALEUROUTPUT($A$923,_xlfn.CONCAT("THEME14=",$C65),SCENARIOS!$A$2,SCENARIOS!$B$2,AB$1)</f>
        <v>0</v>
      </c>
      <c r="AC65" cm="1">
        <f t="array" ref="AC65">_xll.VALEUROUTPUT($A$923,_xlfn.CONCAT("THEME14=",$C65),SCENARIOS!$A$2,SCENARIOS!$B$2,AC$1)</f>
        <v>0</v>
      </c>
      <c r="AD65" cm="1">
        <f t="array" ref="AD65">_xll.VALEUROUTPUT($A$923,_xlfn.CONCAT("THEME14=",$C65),SCENARIOS!$A$2,SCENARIOS!$B$2,AD$1)</f>
        <v>0</v>
      </c>
      <c r="AE65" cm="1">
        <f t="array" ref="AE65">_xll.VALEUROUTPUT($A$923,_xlfn.CONCAT("THEME14=",$C65),SCENARIOS!$A$2,SCENARIOS!$B$2,AE$1)</f>
        <v>0</v>
      </c>
      <c r="AF65" cm="1">
        <f t="array" ref="AF65">_xll.VALEUROUTPUT($A$923,_xlfn.CONCAT("THEME14=",$C65),SCENARIOS!$A$2,SCENARIOS!$B$2,AF$1)</f>
        <v>0</v>
      </c>
    </row>
    <row r="66" spans="1:32" x14ac:dyDescent="0.25">
      <c r="A66" t="str">
        <v>OTAUXEC</v>
      </c>
      <c r="D66" cm="1">
        <f t="array" ref="D66">_xll.VALEUROUTPUT($A$923,_xlfn.CONCAT("THEME14=",$C66),SCENARIOS!$A$2,SCENARIOS!$B$2,D$1)</f>
        <v>0</v>
      </c>
      <c r="E66" cm="1">
        <f t="array" ref="E66">_xll.VALEUROUTPUT($A$923,_xlfn.CONCAT("THEME14=",$C66),SCENARIOS!$A$2,SCENARIOS!$B$2,E$1)</f>
        <v>0</v>
      </c>
      <c r="F66" cm="1">
        <f t="array" ref="F66">_xll.VALEUROUTPUT($A$923,_xlfn.CONCAT("THEME14=",$C66),SCENARIOS!$A$2,SCENARIOS!$B$2,F$1)</f>
        <v>0</v>
      </c>
      <c r="G66" cm="1">
        <f t="array" ref="G66">_xll.VALEUROUTPUT($A$923,_xlfn.CONCAT("THEME14=",$C66),SCENARIOS!$A$2,SCENARIOS!$B$2,G$1)</f>
        <v>0</v>
      </c>
      <c r="H66" cm="1">
        <f t="array" ref="H66">_xll.VALEUROUTPUT($A$923,_xlfn.CONCAT("THEME14=",$C66),SCENARIOS!$A$2,SCENARIOS!$B$2,H$1)</f>
        <v>0</v>
      </c>
      <c r="I66" cm="1">
        <f t="array" ref="I66">_xll.VALEUROUTPUT($A$923,_xlfn.CONCAT("THEME14=",$C66),SCENARIOS!$A$2,SCENARIOS!$B$2,I$1)</f>
        <v>0</v>
      </c>
      <c r="J66" cm="1">
        <f t="array" ref="J66">_xll.VALEUROUTPUT($A$923,_xlfn.CONCAT("THEME14=",$C66),SCENARIOS!$A$2,SCENARIOS!$B$2,J$1)</f>
        <v>0</v>
      </c>
      <c r="K66" cm="1">
        <f t="array" ref="K66">_xll.VALEUROUTPUT($A$923,_xlfn.CONCAT("THEME14=",$C66),SCENARIOS!$A$2,SCENARIOS!$B$2,K$1)</f>
        <v>0</v>
      </c>
      <c r="L66" cm="1">
        <f t="array" ref="L66">_xll.VALEUROUTPUT($A$923,_xlfn.CONCAT("THEME14=",$C66),SCENARIOS!$A$2,SCENARIOS!$B$2,L$1)</f>
        <v>0</v>
      </c>
      <c r="M66" cm="1">
        <f t="array" ref="M66">_xll.VALEUROUTPUT($A$923,_xlfn.CONCAT("THEME14=",$C66),SCENARIOS!$A$2,SCENARIOS!$B$2,M$1)</f>
        <v>0</v>
      </c>
      <c r="N66" cm="1">
        <f t="array" ref="N66">_xll.VALEUROUTPUT($A$923,_xlfn.CONCAT("THEME14=",$C66),SCENARIOS!$A$2,SCENARIOS!$B$2,N$1)</f>
        <v>0</v>
      </c>
      <c r="O66" cm="1">
        <f t="array" ref="O66">_xll.VALEUROUTPUT($A$923,_xlfn.CONCAT("THEME14=",$C66),SCENARIOS!$A$2,SCENARIOS!$B$2,O$1)</f>
        <v>0</v>
      </c>
      <c r="P66" cm="1">
        <f t="array" ref="P66">_xll.VALEUROUTPUT($A$923,_xlfn.CONCAT("THEME14=",$C66),SCENARIOS!$A$2,SCENARIOS!$B$2,P$1)</f>
        <v>0</v>
      </c>
      <c r="Q66" cm="1">
        <f t="array" ref="Q66">_xll.VALEUROUTPUT($A$923,_xlfn.CONCAT("THEME14=",$C66),SCENARIOS!$A$2,SCENARIOS!$B$2,Q$1)</f>
        <v>0</v>
      </c>
      <c r="R66" cm="1">
        <f t="array" ref="R66">_xll.VALEUROUTPUT($A$923,_xlfn.CONCAT("THEME14=",$C66),SCENARIOS!$A$2,SCENARIOS!$B$2,R$1)</f>
        <v>0</v>
      </c>
      <c r="S66" cm="1">
        <f t="array" ref="S66">_xll.VALEUROUTPUT($A$923,_xlfn.CONCAT("THEME14=",$C66),SCENARIOS!$A$2,SCENARIOS!$B$2,S$1)</f>
        <v>0</v>
      </c>
      <c r="T66" cm="1">
        <f t="array" ref="T66">_xll.VALEUROUTPUT($A$923,_xlfn.CONCAT("THEME14=",$C66),SCENARIOS!$A$2,SCENARIOS!$B$2,T$1)</f>
        <v>0</v>
      </c>
      <c r="U66" cm="1">
        <f t="array" ref="U66">_xll.VALEUROUTPUT($A$923,_xlfn.CONCAT("THEME14=",$C66),SCENARIOS!$A$2,SCENARIOS!$B$2,U$1)</f>
        <v>0</v>
      </c>
      <c r="V66" cm="1">
        <f t="array" ref="V66">_xll.VALEUROUTPUT($A$923,_xlfn.CONCAT("THEME14=",$C66),SCENARIOS!$A$2,SCENARIOS!$B$2,V$1)</f>
        <v>0</v>
      </c>
      <c r="W66" cm="1">
        <f t="array" ref="W66">_xll.VALEUROUTPUT($A$923,_xlfn.CONCAT("THEME14=",$C66),SCENARIOS!$A$2,SCENARIOS!$B$2,W$1)</f>
        <v>0</v>
      </c>
      <c r="X66" cm="1">
        <f t="array" ref="X66">_xll.VALEUROUTPUT($A$923,_xlfn.CONCAT("THEME14=",$C66),SCENARIOS!$A$2,SCENARIOS!$B$2,X$1)</f>
        <v>0</v>
      </c>
      <c r="Y66" cm="1">
        <f t="array" ref="Y66">_xll.VALEUROUTPUT($A$923,_xlfn.CONCAT("THEME14=",$C66),SCENARIOS!$A$2,SCENARIOS!$B$2,Y$1)</f>
        <v>0</v>
      </c>
      <c r="Z66" cm="1">
        <f t="array" ref="Z66">_xll.VALEUROUTPUT($A$923,_xlfn.CONCAT("THEME14=",$C66),SCENARIOS!$A$2,SCENARIOS!$B$2,Z$1)</f>
        <v>0</v>
      </c>
      <c r="AA66" cm="1">
        <f t="array" ref="AA66">_xll.VALEUROUTPUT($A$923,_xlfn.CONCAT("THEME14=",$C66),SCENARIOS!$A$2,SCENARIOS!$B$2,AA$1)</f>
        <v>0</v>
      </c>
      <c r="AB66" cm="1">
        <f t="array" ref="AB66">_xll.VALEUROUTPUT($A$923,_xlfn.CONCAT("THEME14=",$C66),SCENARIOS!$A$2,SCENARIOS!$B$2,AB$1)</f>
        <v>0</v>
      </c>
      <c r="AC66" cm="1">
        <f t="array" ref="AC66">_xll.VALEUROUTPUT($A$923,_xlfn.CONCAT("THEME14=",$C66),SCENARIOS!$A$2,SCENARIOS!$B$2,AC$1)</f>
        <v>0</v>
      </c>
      <c r="AD66" cm="1">
        <f t="array" ref="AD66">_xll.VALEUROUTPUT($A$923,_xlfn.CONCAT("THEME14=",$C66),SCENARIOS!$A$2,SCENARIOS!$B$2,AD$1)</f>
        <v>0</v>
      </c>
      <c r="AE66" cm="1">
        <f t="array" ref="AE66">_xll.VALEUROUTPUT($A$923,_xlfn.CONCAT("THEME14=",$C66),SCENARIOS!$A$2,SCENARIOS!$B$2,AE$1)</f>
        <v>0</v>
      </c>
      <c r="AF66" cm="1">
        <f t="array" ref="AF66">_xll.VALEUROUTPUT($A$923,_xlfn.CONCAT("THEME14=",$C66),SCENARIOS!$A$2,SCENARIOS!$B$2,AF$1)</f>
        <v>0</v>
      </c>
    </row>
    <row r="67" spans="1:32" x14ac:dyDescent="0.25">
      <c r="A67" t="str">
        <v>OTAUXNET</v>
      </c>
      <c r="D67" cm="1">
        <f t="array" ref="D67">_xll.VALEUROUTPUT($A$923,_xlfn.CONCAT("THEME14=",$C67),SCENARIOS!$A$2,SCENARIOS!$B$2,D$1)</f>
        <v>0</v>
      </c>
      <c r="E67" cm="1">
        <f t="array" ref="E67">_xll.VALEUROUTPUT($A$923,_xlfn.CONCAT("THEME14=",$C67),SCENARIOS!$A$2,SCENARIOS!$B$2,E$1)</f>
        <v>0</v>
      </c>
      <c r="F67" cm="1">
        <f t="array" ref="F67">_xll.VALEUROUTPUT($A$923,_xlfn.CONCAT("THEME14=",$C67),SCENARIOS!$A$2,SCENARIOS!$B$2,F$1)</f>
        <v>0</v>
      </c>
      <c r="G67" cm="1">
        <f t="array" ref="G67">_xll.VALEUROUTPUT($A$923,_xlfn.CONCAT("THEME14=",$C67),SCENARIOS!$A$2,SCENARIOS!$B$2,G$1)</f>
        <v>0</v>
      </c>
      <c r="H67" cm="1">
        <f t="array" ref="H67">_xll.VALEUROUTPUT($A$923,_xlfn.CONCAT("THEME14=",$C67),SCENARIOS!$A$2,SCENARIOS!$B$2,H$1)</f>
        <v>0</v>
      </c>
      <c r="I67" cm="1">
        <f t="array" ref="I67">_xll.VALEUROUTPUT($A$923,_xlfn.CONCAT("THEME14=",$C67),SCENARIOS!$A$2,SCENARIOS!$B$2,I$1)</f>
        <v>0</v>
      </c>
      <c r="J67" cm="1">
        <f t="array" ref="J67">_xll.VALEUROUTPUT($A$923,_xlfn.CONCAT("THEME14=",$C67),SCENARIOS!$A$2,SCENARIOS!$B$2,J$1)</f>
        <v>0</v>
      </c>
      <c r="K67" cm="1">
        <f t="array" ref="K67">_xll.VALEUROUTPUT($A$923,_xlfn.CONCAT("THEME14=",$C67),SCENARIOS!$A$2,SCENARIOS!$B$2,K$1)</f>
        <v>0</v>
      </c>
      <c r="L67" cm="1">
        <f t="array" ref="L67">_xll.VALEUROUTPUT($A$923,_xlfn.CONCAT("THEME14=",$C67),SCENARIOS!$A$2,SCENARIOS!$B$2,L$1)</f>
        <v>0</v>
      </c>
      <c r="M67" cm="1">
        <f t="array" ref="M67">_xll.VALEUROUTPUT($A$923,_xlfn.CONCAT("THEME14=",$C67),SCENARIOS!$A$2,SCENARIOS!$B$2,M$1)</f>
        <v>0</v>
      </c>
      <c r="N67" cm="1">
        <f t="array" ref="N67">_xll.VALEUROUTPUT($A$923,_xlfn.CONCAT("THEME14=",$C67),SCENARIOS!$A$2,SCENARIOS!$B$2,N$1)</f>
        <v>0</v>
      </c>
      <c r="O67" cm="1">
        <f t="array" ref="O67">_xll.VALEUROUTPUT($A$923,_xlfn.CONCAT("THEME14=",$C67),SCENARIOS!$A$2,SCENARIOS!$B$2,O$1)</f>
        <v>0</v>
      </c>
      <c r="P67" cm="1">
        <f t="array" ref="P67">_xll.VALEUROUTPUT($A$923,_xlfn.CONCAT("THEME14=",$C67),SCENARIOS!$A$2,SCENARIOS!$B$2,P$1)</f>
        <v>0</v>
      </c>
      <c r="Q67" cm="1">
        <f t="array" ref="Q67">_xll.VALEUROUTPUT($A$923,_xlfn.CONCAT("THEME14=",$C67),SCENARIOS!$A$2,SCENARIOS!$B$2,Q$1)</f>
        <v>0</v>
      </c>
      <c r="R67" cm="1">
        <f t="array" ref="R67">_xll.VALEUROUTPUT($A$923,_xlfn.CONCAT("THEME14=",$C67),SCENARIOS!$A$2,SCENARIOS!$B$2,R$1)</f>
        <v>0</v>
      </c>
      <c r="S67" cm="1">
        <f t="array" ref="S67">_xll.VALEUROUTPUT($A$923,_xlfn.CONCAT("THEME14=",$C67),SCENARIOS!$A$2,SCENARIOS!$B$2,S$1)</f>
        <v>0</v>
      </c>
      <c r="T67" cm="1">
        <f t="array" ref="T67">_xll.VALEUROUTPUT($A$923,_xlfn.CONCAT("THEME14=",$C67),SCENARIOS!$A$2,SCENARIOS!$B$2,T$1)</f>
        <v>0</v>
      </c>
      <c r="U67" cm="1">
        <f t="array" ref="U67">_xll.VALEUROUTPUT($A$923,_xlfn.CONCAT("THEME14=",$C67),SCENARIOS!$A$2,SCENARIOS!$B$2,U$1)</f>
        <v>0</v>
      </c>
      <c r="V67" cm="1">
        <f t="array" ref="V67">_xll.VALEUROUTPUT($A$923,_xlfn.CONCAT("THEME14=",$C67),SCENARIOS!$A$2,SCENARIOS!$B$2,V$1)</f>
        <v>0</v>
      </c>
      <c r="W67" cm="1">
        <f t="array" ref="W67">_xll.VALEUROUTPUT($A$923,_xlfn.CONCAT("THEME14=",$C67),SCENARIOS!$A$2,SCENARIOS!$B$2,W$1)</f>
        <v>0</v>
      </c>
      <c r="X67" cm="1">
        <f t="array" ref="X67">_xll.VALEUROUTPUT($A$923,_xlfn.CONCAT("THEME14=",$C67),SCENARIOS!$A$2,SCENARIOS!$B$2,X$1)</f>
        <v>0</v>
      </c>
      <c r="Y67" cm="1">
        <f t="array" ref="Y67">_xll.VALEUROUTPUT($A$923,_xlfn.CONCAT("THEME14=",$C67),SCENARIOS!$A$2,SCENARIOS!$B$2,Y$1)</f>
        <v>0</v>
      </c>
      <c r="Z67" cm="1">
        <f t="array" ref="Z67">_xll.VALEUROUTPUT($A$923,_xlfn.CONCAT("THEME14=",$C67),SCENARIOS!$A$2,SCENARIOS!$B$2,Z$1)</f>
        <v>0</v>
      </c>
      <c r="AA67" cm="1">
        <f t="array" ref="AA67">_xll.VALEUROUTPUT($A$923,_xlfn.CONCAT("THEME14=",$C67),SCENARIOS!$A$2,SCENARIOS!$B$2,AA$1)</f>
        <v>0</v>
      </c>
      <c r="AB67" cm="1">
        <f t="array" ref="AB67">_xll.VALEUROUTPUT($A$923,_xlfn.CONCAT("THEME14=",$C67),SCENARIOS!$A$2,SCENARIOS!$B$2,AB$1)</f>
        <v>0</v>
      </c>
      <c r="AC67" cm="1">
        <f t="array" ref="AC67">_xll.VALEUROUTPUT($A$923,_xlfn.CONCAT("THEME14=",$C67),SCENARIOS!$A$2,SCENARIOS!$B$2,AC$1)</f>
        <v>0</v>
      </c>
      <c r="AD67" cm="1">
        <f t="array" ref="AD67">_xll.VALEUROUTPUT($A$923,_xlfn.CONCAT("THEME14=",$C67),SCENARIOS!$A$2,SCENARIOS!$B$2,AD$1)</f>
        <v>0</v>
      </c>
      <c r="AE67" cm="1">
        <f t="array" ref="AE67">_xll.VALEUROUTPUT($A$923,_xlfn.CONCAT("THEME14=",$C67),SCENARIOS!$A$2,SCENARIOS!$B$2,AE$1)</f>
        <v>0</v>
      </c>
      <c r="AF67" cm="1">
        <f t="array" ref="AF67">_xll.VALEUROUTPUT($A$923,_xlfn.CONCAT("THEME14=",$C67),SCENARIOS!$A$2,SCENARIOS!$B$2,AF$1)</f>
        <v>0</v>
      </c>
    </row>
    <row r="68" spans="1:32" x14ac:dyDescent="0.25">
      <c r="A68" t="str">
        <v>OSUPREALDEG</v>
      </c>
      <c r="D68" cm="1">
        <f t="array" ref="D68">_xll.VALEUROUTPUT($A$923,_xlfn.CONCAT("THEME14=",$C68),SCENARIOS!$A$2,SCENARIOS!$B$2,D$1)</f>
        <v>0</v>
      </c>
      <c r="E68" cm="1">
        <f t="array" ref="E68">_xll.VALEUROUTPUT($A$923,_xlfn.CONCAT("THEME14=",$C68),SCENARIOS!$A$2,SCENARIOS!$B$2,E$1)</f>
        <v>0</v>
      </c>
      <c r="F68" cm="1">
        <f t="array" ref="F68">_xll.VALEUROUTPUT($A$923,_xlfn.CONCAT("THEME14=",$C68),SCENARIOS!$A$2,SCENARIOS!$B$2,F$1)</f>
        <v>0</v>
      </c>
      <c r="G68" cm="1">
        <f t="array" ref="G68">_xll.VALEUROUTPUT($A$923,_xlfn.CONCAT("THEME14=",$C68),SCENARIOS!$A$2,SCENARIOS!$B$2,G$1)</f>
        <v>0</v>
      </c>
      <c r="H68" cm="1">
        <f t="array" ref="H68">_xll.VALEUROUTPUT($A$923,_xlfn.CONCAT("THEME14=",$C68),SCENARIOS!$A$2,SCENARIOS!$B$2,H$1)</f>
        <v>0</v>
      </c>
      <c r="I68" cm="1">
        <f t="array" ref="I68">_xll.VALEUROUTPUT($A$923,_xlfn.CONCAT("THEME14=",$C68),SCENARIOS!$A$2,SCENARIOS!$B$2,I$1)</f>
        <v>0</v>
      </c>
      <c r="J68" cm="1">
        <f t="array" ref="J68">_xll.VALEUROUTPUT($A$923,_xlfn.CONCAT("THEME14=",$C68),SCENARIOS!$A$2,SCENARIOS!$B$2,J$1)</f>
        <v>0</v>
      </c>
      <c r="K68" cm="1">
        <f t="array" ref="K68">_xll.VALEUROUTPUT($A$923,_xlfn.CONCAT("THEME14=",$C68),SCENARIOS!$A$2,SCENARIOS!$B$2,K$1)</f>
        <v>0</v>
      </c>
      <c r="L68" cm="1">
        <f t="array" ref="L68">_xll.VALEUROUTPUT($A$923,_xlfn.CONCAT("THEME14=",$C68),SCENARIOS!$A$2,SCENARIOS!$B$2,L$1)</f>
        <v>0</v>
      </c>
      <c r="M68" cm="1">
        <f t="array" ref="M68">_xll.VALEUROUTPUT($A$923,_xlfn.CONCAT("THEME14=",$C68),SCENARIOS!$A$2,SCENARIOS!$B$2,M$1)</f>
        <v>0</v>
      </c>
      <c r="N68" cm="1">
        <f t="array" ref="N68">_xll.VALEUROUTPUT($A$923,_xlfn.CONCAT("THEME14=",$C68),SCENARIOS!$A$2,SCENARIOS!$B$2,N$1)</f>
        <v>0</v>
      </c>
      <c r="O68" cm="1">
        <f t="array" ref="O68">_xll.VALEUROUTPUT($A$923,_xlfn.CONCAT("THEME14=",$C68),SCENARIOS!$A$2,SCENARIOS!$B$2,O$1)</f>
        <v>0</v>
      </c>
      <c r="P68" cm="1">
        <f t="array" ref="P68">_xll.VALEUROUTPUT($A$923,_xlfn.CONCAT("THEME14=",$C68),SCENARIOS!$A$2,SCENARIOS!$B$2,P$1)</f>
        <v>0</v>
      </c>
      <c r="Q68" cm="1">
        <f t="array" ref="Q68">_xll.VALEUROUTPUT($A$923,_xlfn.CONCAT("THEME14=",$C68),SCENARIOS!$A$2,SCENARIOS!$B$2,Q$1)</f>
        <v>0</v>
      </c>
      <c r="R68" cm="1">
        <f t="array" ref="R68">_xll.VALEUROUTPUT($A$923,_xlfn.CONCAT("THEME14=",$C68),SCENARIOS!$A$2,SCENARIOS!$B$2,R$1)</f>
        <v>0</v>
      </c>
      <c r="S68" cm="1">
        <f t="array" ref="S68">_xll.VALEUROUTPUT($A$923,_xlfn.CONCAT("THEME14=",$C68),SCENARIOS!$A$2,SCENARIOS!$B$2,S$1)</f>
        <v>0</v>
      </c>
      <c r="T68" cm="1">
        <f t="array" ref="T68">_xll.VALEUROUTPUT($A$923,_xlfn.CONCAT("THEME14=",$C68),SCENARIOS!$A$2,SCENARIOS!$B$2,T$1)</f>
        <v>0</v>
      </c>
      <c r="U68" cm="1">
        <f t="array" ref="U68">_xll.VALEUROUTPUT($A$923,_xlfn.CONCAT("THEME14=",$C68),SCENARIOS!$A$2,SCENARIOS!$B$2,U$1)</f>
        <v>0</v>
      </c>
      <c r="V68" cm="1">
        <f t="array" ref="V68">_xll.VALEUROUTPUT($A$923,_xlfn.CONCAT("THEME14=",$C68),SCENARIOS!$A$2,SCENARIOS!$B$2,V$1)</f>
        <v>0</v>
      </c>
      <c r="W68" cm="1">
        <f t="array" ref="W68">_xll.VALEUROUTPUT($A$923,_xlfn.CONCAT("THEME14=",$C68),SCENARIOS!$A$2,SCENARIOS!$B$2,W$1)</f>
        <v>0</v>
      </c>
      <c r="X68" cm="1">
        <f t="array" ref="X68">_xll.VALEUROUTPUT($A$923,_xlfn.CONCAT("THEME14=",$C68),SCENARIOS!$A$2,SCENARIOS!$B$2,X$1)</f>
        <v>0</v>
      </c>
      <c r="Y68" cm="1">
        <f t="array" ref="Y68">_xll.VALEUROUTPUT($A$923,_xlfn.CONCAT("THEME14=",$C68),SCENARIOS!$A$2,SCENARIOS!$B$2,Y$1)</f>
        <v>0</v>
      </c>
      <c r="Z68" cm="1">
        <f t="array" ref="Z68">_xll.VALEUROUTPUT($A$923,_xlfn.CONCAT("THEME14=",$C68),SCENARIOS!$A$2,SCENARIOS!$B$2,Z$1)</f>
        <v>0</v>
      </c>
      <c r="AA68" cm="1">
        <f t="array" ref="AA68">_xll.VALEUROUTPUT($A$923,_xlfn.CONCAT("THEME14=",$C68),SCENARIOS!$A$2,SCENARIOS!$B$2,AA$1)</f>
        <v>0</v>
      </c>
      <c r="AB68" cm="1">
        <f t="array" ref="AB68">_xll.VALEUROUTPUT($A$923,_xlfn.CONCAT("THEME14=",$C68),SCENARIOS!$A$2,SCENARIOS!$B$2,AB$1)</f>
        <v>0</v>
      </c>
      <c r="AC68" cm="1">
        <f t="array" ref="AC68">_xll.VALEUROUTPUT($A$923,_xlfn.CONCAT("THEME14=",$C68),SCENARIOS!$A$2,SCENARIOS!$B$2,AC$1)</f>
        <v>0</v>
      </c>
      <c r="AD68" cm="1">
        <f t="array" ref="AD68">_xll.VALEUROUTPUT($A$923,_xlfn.CONCAT("THEME14=",$C68),SCENARIOS!$A$2,SCENARIOS!$B$2,AD$1)</f>
        <v>0</v>
      </c>
      <c r="AE68" cm="1">
        <f t="array" ref="AE68">_xll.VALEUROUTPUT($A$923,_xlfn.CONCAT("THEME14=",$C68),SCENARIOS!$A$2,SCENARIOS!$B$2,AE$1)</f>
        <v>0</v>
      </c>
      <c r="AF68" cm="1">
        <f t="array" ref="AF68">_xll.VALEUROUTPUT($A$923,_xlfn.CONCAT("THEME14=",$C68),SCENARIOS!$A$2,SCENARIOS!$B$2,AF$1)</f>
        <v>0</v>
      </c>
    </row>
    <row r="69" spans="1:32" x14ac:dyDescent="0.25">
      <c r="A69" t="str">
        <v>OSUPREALSCA</v>
      </c>
      <c r="D69" cm="1">
        <f t="array" ref="D69">_xll.VALEUROUTPUT($A$923,_xlfn.CONCAT("THEME14=",$C69),SCENARIOS!$A$2,SCENARIOS!$B$2,D$1)</f>
        <v>0</v>
      </c>
      <c r="E69" cm="1">
        <f t="array" ref="E69">_xll.VALEUROUTPUT($A$923,_xlfn.CONCAT("THEME14=",$C69),SCENARIOS!$A$2,SCENARIOS!$B$2,E$1)</f>
        <v>0</v>
      </c>
      <c r="F69" cm="1">
        <f t="array" ref="F69">_xll.VALEUROUTPUT($A$923,_xlfn.CONCAT("THEME14=",$C69),SCENARIOS!$A$2,SCENARIOS!$B$2,F$1)</f>
        <v>0</v>
      </c>
      <c r="G69" cm="1">
        <f t="array" ref="G69">_xll.VALEUROUTPUT($A$923,_xlfn.CONCAT("THEME14=",$C69),SCENARIOS!$A$2,SCENARIOS!$B$2,G$1)</f>
        <v>0</v>
      </c>
      <c r="H69" cm="1">
        <f t="array" ref="H69">_xll.VALEUROUTPUT($A$923,_xlfn.CONCAT("THEME14=",$C69),SCENARIOS!$A$2,SCENARIOS!$B$2,H$1)</f>
        <v>0</v>
      </c>
      <c r="I69" cm="1">
        <f t="array" ref="I69">_xll.VALEUROUTPUT($A$923,_xlfn.CONCAT("THEME14=",$C69),SCENARIOS!$A$2,SCENARIOS!$B$2,I$1)</f>
        <v>0</v>
      </c>
      <c r="J69" cm="1">
        <f t="array" ref="J69">_xll.VALEUROUTPUT($A$923,_xlfn.CONCAT("THEME14=",$C69),SCENARIOS!$A$2,SCENARIOS!$B$2,J$1)</f>
        <v>0</v>
      </c>
      <c r="K69" cm="1">
        <f t="array" ref="K69">_xll.VALEUROUTPUT($A$923,_xlfn.CONCAT("THEME14=",$C69),SCENARIOS!$A$2,SCENARIOS!$B$2,K$1)</f>
        <v>0</v>
      </c>
      <c r="L69" cm="1">
        <f t="array" ref="L69">_xll.VALEUROUTPUT($A$923,_xlfn.CONCAT("THEME14=",$C69),SCENARIOS!$A$2,SCENARIOS!$B$2,L$1)</f>
        <v>0</v>
      </c>
      <c r="M69" cm="1">
        <f t="array" ref="M69">_xll.VALEUROUTPUT($A$923,_xlfn.CONCAT("THEME14=",$C69),SCENARIOS!$A$2,SCENARIOS!$B$2,M$1)</f>
        <v>0</v>
      </c>
      <c r="N69" cm="1">
        <f t="array" ref="N69">_xll.VALEUROUTPUT($A$923,_xlfn.CONCAT("THEME14=",$C69),SCENARIOS!$A$2,SCENARIOS!$B$2,N$1)</f>
        <v>0</v>
      </c>
      <c r="O69" cm="1">
        <f t="array" ref="O69">_xll.VALEUROUTPUT($A$923,_xlfn.CONCAT("THEME14=",$C69),SCENARIOS!$A$2,SCENARIOS!$B$2,O$1)</f>
        <v>0</v>
      </c>
      <c r="P69" cm="1">
        <f t="array" ref="P69">_xll.VALEUROUTPUT($A$923,_xlfn.CONCAT("THEME14=",$C69),SCENARIOS!$A$2,SCENARIOS!$B$2,P$1)</f>
        <v>0</v>
      </c>
      <c r="Q69" cm="1">
        <f t="array" ref="Q69">_xll.VALEUROUTPUT($A$923,_xlfn.CONCAT("THEME14=",$C69),SCENARIOS!$A$2,SCENARIOS!$B$2,Q$1)</f>
        <v>0</v>
      </c>
      <c r="R69" cm="1">
        <f t="array" ref="R69">_xll.VALEUROUTPUT($A$923,_xlfn.CONCAT("THEME14=",$C69),SCENARIOS!$A$2,SCENARIOS!$B$2,R$1)</f>
        <v>0</v>
      </c>
      <c r="S69" cm="1">
        <f t="array" ref="S69">_xll.VALEUROUTPUT($A$923,_xlfn.CONCAT("THEME14=",$C69),SCENARIOS!$A$2,SCENARIOS!$B$2,S$1)</f>
        <v>0</v>
      </c>
      <c r="T69" cm="1">
        <f t="array" ref="T69">_xll.VALEUROUTPUT($A$923,_xlfn.CONCAT("THEME14=",$C69),SCENARIOS!$A$2,SCENARIOS!$B$2,T$1)</f>
        <v>0</v>
      </c>
      <c r="U69" cm="1">
        <f t="array" ref="U69">_xll.VALEUROUTPUT($A$923,_xlfn.CONCAT("THEME14=",$C69),SCENARIOS!$A$2,SCENARIOS!$B$2,U$1)</f>
        <v>0</v>
      </c>
      <c r="V69" cm="1">
        <f t="array" ref="V69">_xll.VALEUROUTPUT($A$923,_xlfn.CONCAT("THEME14=",$C69),SCENARIOS!$A$2,SCENARIOS!$B$2,V$1)</f>
        <v>0</v>
      </c>
      <c r="W69" cm="1">
        <f t="array" ref="W69">_xll.VALEUROUTPUT($A$923,_xlfn.CONCAT("THEME14=",$C69),SCENARIOS!$A$2,SCENARIOS!$B$2,W$1)</f>
        <v>0</v>
      </c>
      <c r="X69" cm="1">
        <f t="array" ref="X69">_xll.VALEUROUTPUT($A$923,_xlfn.CONCAT("THEME14=",$C69),SCENARIOS!$A$2,SCENARIOS!$B$2,X$1)</f>
        <v>0</v>
      </c>
      <c r="Y69" cm="1">
        <f t="array" ref="Y69">_xll.VALEUROUTPUT($A$923,_xlfn.CONCAT("THEME14=",$C69),SCENARIOS!$A$2,SCENARIOS!$B$2,Y$1)</f>
        <v>0</v>
      </c>
      <c r="Z69" cm="1">
        <f t="array" ref="Z69">_xll.VALEUROUTPUT($A$923,_xlfn.CONCAT("THEME14=",$C69),SCENARIOS!$A$2,SCENARIOS!$B$2,Z$1)</f>
        <v>0</v>
      </c>
      <c r="AA69" cm="1">
        <f t="array" ref="AA69">_xll.VALEUROUTPUT($A$923,_xlfn.CONCAT("THEME14=",$C69),SCENARIOS!$A$2,SCENARIOS!$B$2,AA$1)</f>
        <v>0</v>
      </c>
      <c r="AB69" cm="1">
        <f t="array" ref="AB69">_xll.VALEUROUTPUT($A$923,_xlfn.CONCAT("THEME14=",$C69),SCENARIOS!$A$2,SCENARIOS!$B$2,AB$1)</f>
        <v>0</v>
      </c>
      <c r="AC69" cm="1">
        <f t="array" ref="AC69">_xll.VALEUROUTPUT($A$923,_xlfn.CONCAT("THEME14=",$C69),SCENARIOS!$A$2,SCENARIOS!$B$2,AC$1)</f>
        <v>0</v>
      </c>
      <c r="AD69" cm="1">
        <f t="array" ref="AD69">_xll.VALEUROUTPUT($A$923,_xlfn.CONCAT("THEME14=",$C69),SCENARIOS!$A$2,SCENARIOS!$B$2,AD$1)</f>
        <v>0</v>
      </c>
      <c r="AE69" cm="1">
        <f t="array" ref="AE69">_xll.VALEUROUTPUT($A$923,_xlfn.CONCAT("THEME14=",$C69),SCENARIOS!$A$2,SCENARIOS!$B$2,AE$1)</f>
        <v>0</v>
      </c>
      <c r="AF69" cm="1">
        <f t="array" ref="AF69">_xll.VALEUROUTPUT($A$923,_xlfn.CONCAT("THEME14=",$C69),SCENARIOS!$A$2,SCENARIOS!$B$2,AF$1)</f>
        <v>0</v>
      </c>
    </row>
    <row r="70" spans="1:32" x14ac:dyDescent="0.25">
      <c r="A70" t="str">
        <v>OSUPREALREG</v>
      </c>
      <c r="D70" cm="1">
        <f t="array" ref="D70">_xll.VALEUROUTPUT($A$923,_xlfn.CONCAT("THEME14=",$C70),SCENARIOS!$A$2,SCENARIOS!$B$2,D$1)</f>
        <v>0</v>
      </c>
      <c r="E70" cm="1">
        <f t="array" ref="E70">_xll.VALEUROUTPUT($A$923,_xlfn.CONCAT("THEME14=",$C70),SCENARIOS!$A$2,SCENARIOS!$B$2,E$1)</f>
        <v>0</v>
      </c>
      <c r="F70" cm="1">
        <f t="array" ref="F70">_xll.VALEUROUTPUT($A$923,_xlfn.CONCAT("THEME14=",$C70),SCENARIOS!$A$2,SCENARIOS!$B$2,F$1)</f>
        <v>0</v>
      </c>
      <c r="G70" cm="1">
        <f t="array" ref="G70">_xll.VALEUROUTPUT($A$923,_xlfn.CONCAT("THEME14=",$C70),SCENARIOS!$A$2,SCENARIOS!$B$2,G$1)</f>
        <v>0</v>
      </c>
      <c r="H70" cm="1">
        <f t="array" ref="H70">_xll.VALEUROUTPUT($A$923,_xlfn.CONCAT("THEME14=",$C70),SCENARIOS!$A$2,SCENARIOS!$B$2,H$1)</f>
        <v>0</v>
      </c>
      <c r="I70" cm="1">
        <f t="array" ref="I70">_xll.VALEUROUTPUT($A$923,_xlfn.CONCAT("THEME14=",$C70),SCENARIOS!$A$2,SCENARIOS!$B$2,I$1)</f>
        <v>0</v>
      </c>
      <c r="J70" cm="1">
        <f t="array" ref="J70">_xll.VALEUROUTPUT($A$923,_xlfn.CONCAT("THEME14=",$C70),SCENARIOS!$A$2,SCENARIOS!$B$2,J$1)</f>
        <v>0</v>
      </c>
      <c r="K70" cm="1">
        <f t="array" ref="K70">_xll.VALEUROUTPUT($A$923,_xlfn.CONCAT("THEME14=",$C70),SCENARIOS!$A$2,SCENARIOS!$B$2,K$1)</f>
        <v>0</v>
      </c>
      <c r="L70" cm="1">
        <f t="array" ref="L70">_xll.VALEUROUTPUT($A$923,_xlfn.CONCAT("THEME14=",$C70),SCENARIOS!$A$2,SCENARIOS!$B$2,L$1)</f>
        <v>0</v>
      </c>
      <c r="M70" cm="1">
        <f t="array" ref="M70">_xll.VALEUROUTPUT($A$923,_xlfn.CONCAT("THEME14=",$C70),SCENARIOS!$A$2,SCENARIOS!$B$2,M$1)</f>
        <v>0</v>
      </c>
      <c r="N70" cm="1">
        <f t="array" ref="N70">_xll.VALEUROUTPUT($A$923,_xlfn.CONCAT("THEME14=",$C70),SCENARIOS!$A$2,SCENARIOS!$B$2,N$1)</f>
        <v>0</v>
      </c>
      <c r="O70" cm="1">
        <f t="array" ref="O70">_xll.VALEUROUTPUT($A$923,_xlfn.CONCAT("THEME14=",$C70),SCENARIOS!$A$2,SCENARIOS!$B$2,O$1)</f>
        <v>0</v>
      </c>
      <c r="P70" cm="1">
        <f t="array" ref="P70">_xll.VALEUROUTPUT($A$923,_xlfn.CONCAT("THEME14=",$C70),SCENARIOS!$A$2,SCENARIOS!$B$2,P$1)</f>
        <v>0</v>
      </c>
      <c r="Q70" cm="1">
        <f t="array" ref="Q70">_xll.VALEUROUTPUT($A$923,_xlfn.CONCAT("THEME14=",$C70),SCENARIOS!$A$2,SCENARIOS!$B$2,Q$1)</f>
        <v>0</v>
      </c>
      <c r="R70" cm="1">
        <f t="array" ref="R70">_xll.VALEUROUTPUT($A$923,_xlfn.CONCAT("THEME14=",$C70),SCENARIOS!$A$2,SCENARIOS!$B$2,R$1)</f>
        <v>0</v>
      </c>
      <c r="S70" cm="1">
        <f t="array" ref="S70">_xll.VALEUROUTPUT($A$923,_xlfn.CONCAT("THEME14=",$C70),SCENARIOS!$A$2,SCENARIOS!$B$2,S$1)</f>
        <v>0</v>
      </c>
      <c r="T70" cm="1">
        <f t="array" ref="T70">_xll.VALEUROUTPUT($A$923,_xlfn.CONCAT("THEME14=",$C70),SCENARIOS!$A$2,SCENARIOS!$B$2,T$1)</f>
        <v>0</v>
      </c>
      <c r="U70" cm="1">
        <f t="array" ref="U70">_xll.VALEUROUTPUT($A$923,_xlfn.CONCAT("THEME14=",$C70),SCENARIOS!$A$2,SCENARIOS!$B$2,U$1)</f>
        <v>0</v>
      </c>
      <c r="V70" cm="1">
        <f t="array" ref="V70">_xll.VALEUROUTPUT($A$923,_xlfn.CONCAT("THEME14=",$C70),SCENARIOS!$A$2,SCENARIOS!$B$2,V$1)</f>
        <v>0</v>
      </c>
      <c r="W70" cm="1">
        <f t="array" ref="W70">_xll.VALEUROUTPUT($A$923,_xlfn.CONCAT("THEME14=",$C70),SCENARIOS!$A$2,SCENARIOS!$B$2,W$1)</f>
        <v>0</v>
      </c>
      <c r="X70" cm="1">
        <f t="array" ref="X70">_xll.VALEUROUTPUT($A$923,_xlfn.CONCAT("THEME14=",$C70),SCENARIOS!$A$2,SCENARIOS!$B$2,X$1)</f>
        <v>0</v>
      </c>
      <c r="Y70" cm="1">
        <f t="array" ref="Y70">_xll.VALEUROUTPUT($A$923,_xlfn.CONCAT("THEME14=",$C70),SCENARIOS!$A$2,SCENARIOS!$B$2,Y$1)</f>
        <v>0</v>
      </c>
      <c r="Z70" cm="1">
        <f t="array" ref="Z70">_xll.VALEUROUTPUT($A$923,_xlfn.CONCAT("THEME14=",$C70),SCENARIOS!$A$2,SCENARIOS!$B$2,Z$1)</f>
        <v>0</v>
      </c>
      <c r="AA70" cm="1">
        <f t="array" ref="AA70">_xll.VALEUROUTPUT($A$923,_xlfn.CONCAT("THEME14=",$C70),SCENARIOS!$A$2,SCENARIOS!$B$2,AA$1)</f>
        <v>0</v>
      </c>
      <c r="AB70" cm="1">
        <f t="array" ref="AB70">_xll.VALEUROUTPUT($A$923,_xlfn.CONCAT("THEME14=",$C70),SCENARIOS!$A$2,SCENARIOS!$B$2,AB$1)</f>
        <v>0</v>
      </c>
      <c r="AC70" cm="1">
        <f t="array" ref="AC70">_xll.VALEUROUTPUT($A$923,_xlfn.CONCAT("THEME14=",$C70),SCENARIOS!$A$2,SCENARIOS!$B$2,AC$1)</f>
        <v>0</v>
      </c>
      <c r="AD70" cm="1">
        <f t="array" ref="AD70">_xll.VALEUROUTPUT($A$923,_xlfn.CONCAT("THEME14=",$C70),SCENARIOS!$A$2,SCENARIOS!$B$2,AD$1)</f>
        <v>0</v>
      </c>
      <c r="AE70" cm="1">
        <f t="array" ref="AE70">_xll.VALEUROUTPUT($A$923,_xlfn.CONCAT("THEME14=",$C70),SCENARIOS!$A$2,SCENARIOS!$B$2,AE$1)</f>
        <v>0</v>
      </c>
      <c r="AF70" cm="1">
        <f t="array" ref="AF70">_xll.VALEUROUTPUT($A$923,_xlfn.CONCAT("THEME14=",$C70),SCENARIOS!$A$2,SCENARIOS!$B$2,AF$1)</f>
        <v>0</v>
      </c>
    </row>
    <row r="71" spans="1:32" x14ac:dyDescent="0.25">
      <c r="A71" t="str">
        <v>OSUPREALCPI</v>
      </c>
      <c r="D71" cm="1">
        <f t="array" ref="D71">_xll.VALEUROUTPUT($A$923,_xlfn.CONCAT("THEME14=",$C71),SCENARIOS!$A$2,SCENARIOS!$B$2,D$1)</f>
        <v>0</v>
      </c>
      <c r="E71" cm="1">
        <f t="array" ref="E71">_xll.VALEUROUTPUT($A$923,_xlfn.CONCAT("THEME14=",$C71),SCENARIOS!$A$2,SCENARIOS!$B$2,E$1)</f>
        <v>0</v>
      </c>
      <c r="F71" cm="1">
        <f t="array" ref="F71">_xll.VALEUROUTPUT($A$923,_xlfn.CONCAT("THEME14=",$C71),SCENARIOS!$A$2,SCENARIOS!$B$2,F$1)</f>
        <v>0</v>
      </c>
      <c r="G71" cm="1">
        <f t="array" ref="G71">_xll.VALEUROUTPUT($A$923,_xlfn.CONCAT("THEME14=",$C71),SCENARIOS!$A$2,SCENARIOS!$B$2,G$1)</f>
        <v>0</v>
      </c>
      <c r="H71" cm="1">
        <f t="array" ref="H71">_xll.VALEUROUTPUT($A$923,_xlfn.CONCAT("THEME14=",$C71),SCENARIOS!$A$2,SCENARIOS!$B$2,H$1)</f>
        <v>0</v>
      </c>
      <c r="I71" cm="1">
        <f t="array" ref="I71">_xll.VALEUROUTPUT($A$923,_xlfn.CONCAT("THEME14=",$C71),SCENARIOS!$A$2,SCENARIOS!$B$2,I$1)</f>
        <v>0</v>
      </c>
      <c r="J71" cm="1">
        <f t="array" ref="J71">_xll.VALEUROUTPUT($A$923,_xlfn.CONCAT("THEME14=",$C71),SCENARIOS!$A$2,SCENARIOS!$B$2,J$1)</f>
        <v>0</v>
      </c>
      <c r="K71" cm="1">
        <f t="array" ref="K71">_xll.VALEUROUTPUT($A$923,_xlfn.CONCAT("THEME14=",$C71),SCENARIOS!$A$2,SCENARIOS!$B$2,K$1)</f>
        <v>0</v>
      </c>
      <c r="L71" cm="1">
        <f t="array" ref="L71">_xll.VALEUROUTPUT($A$923,_xlfn.CONCAT("THEME14=",$C71),SCENARIOS!$A$2,SCENARIOS!$B$2,L$1)</f>
        <v>0</v>
      </c>
      <c r="M71" cm="1">
        <f t="array" ref="M71">_xll.VALEUROUTPUT($A$923,_xlfn.CONCAT("THEME14=",$C71),SCENARIOS!$A$2,SCENARIOS!$B$2,M$1)</f>
        <v>0</v>
      </c>
      <c r="N71" cm="1">
        <f t="array" ref="N71">_xll.VALEUROUTPUT($A$923,_xlfn.CONCAT("THEME14=",$C71),SCENARIOS!$A$2,SCENARIOS!$B$2,N$1)</f>
        <v>0</v>
      </c>
      <c r="O71" cm="1">
        <f t="array" ref="O71">_xll.VALEUROUTPUT($A$923,_xlfn.CONCAT("THEME14=",$C71),SCENARIOS!$A$2,SCENARIOS!$B$2,O$1)</f>
        <v>0</v>
      </c>
      <c r="P71" cm="1">
        <f t="array" ref="P71">_xll.VALEUROUTPUT($A$923,_xlfn.CONCAT("THEME14=",$C71),SCENARIOS!$A$2,SCENARIOS!$B$2,P$1)</f>
        <v>0</v>
      </c>
      <c r="Q71" cm="1">
        <f t="array" ref="Q71">_xll.VALEUROUTPUT($A$923,_xlfn.CONCAT("THEME14=",$C71),SCENARIOS!$A$2,SCENARIOS!$B$2,Q$1)</f>
        <v>0</v>
      </c>
      <c r="R71" cm="1">
        <f t="array" ref="R71">_xll.VALEUROUTPUT($A$923,_xlfn.CONCAT("THEME14=",$C71),SCENARIOS!$A$2,SCENARIOS!$B$2,R$1)</f>
        <v>0</v>
      </c>
      <c r="S71" cm="1">
        <f t="array" ref="S71">_xll.VALEUROUTPUT($A$923,_xlfn.CONCAT("THEME14=",$C71),SCENARIOS!$A$2,SCENARIOS!$B$2,S$1)</f>
        <v>0</v>
      </c>
      <c r="T71" cm="1">
        <f t="array" ref="T71">_xll.VALEUROUTPUT($A$923,_xlfn.CONCAT("THEME14=",$C71),SCENARIOS!$A$2,SCENARIOS!$B$2,T$1)</f>
        <v>0</v>
      </c>
      <c r="U71" cm="1">
        <f t="array" ref="U71">_xll.VALEUROUTPUT($A$923,_xlfn.CONCAT("THEME14=",$C71),SCENARIOS!$A$2,SCENARIOS!$B$2,U$1)</f>
        <v>0</v>
      </c>
      <c r="V71" cm="1">
        <f t="array" ref="V71">_xll.VALEUROUTPUT($A$923,_xlfn.CONCAT("THEME14=",$C71),SCENARIOS!$A$2,SCENARIOS!$B$2,V$1)</f>
        <v>0</v>
      </c>
      <c r="W71" cm="1">
        <f t="array" ref="W71">_xll.VALEUROUTPUT($A$923,_xlfn.CONCAT("THEME14=",$C71),SCENARIOS!$A$2,SCENARIOS!$B$2,W$1)</f>
        <v>0</v>
      </c>
      <c r="X71" cm="1">
        <f t="array" ref="X71">_xll.VALEUROUTPUT($A$923,_xlfn.CONCAT("THEME14=",$C71),SCENARIOS!$A$2,SCENARIOS!$B$2,X$1)</f>
        <v>0</v>
      </c>
      <c r="Y71" cm="1">
        <f t="array" ref="Y71">_xll.VALEUROUTPUT($A$923,_xlfn.CONCAT("THEME14=",$C71),SCENARIOS!$A$2,SCENARIOS!$B$2,Y$1)</f>
        <v>0</v>
      </c>
      <c r="Z71" cm="1">
        <f t="array" ref="Z71">_xll.VALEUROUTPUT($A$923,_xlfn.CONCAT("THEME14=",$C71),SCENARIOS!$A$2,SCENARIOS!$B$2,Z$1)</f>
        <v>0</v>
      </c>
      <c r="AA71" cm="1">
        <f t="array" ref="AA71">_xll.VALEUROUTPUT($A$923,_xlfn.CONCAT("THEME14=",$C71),SCENARIOS!$A$2,SCENARIOS!$B$2,AA$1)</f>
        <v>0</v>
      </c>
      <c r="AB71" cm="1">
        <f t="array" ref="AB71">_xll.VALEUROUTPUT($A$923,_xlfn.CONCAT("THEME14=",$C71),SCENARIOS!$A$2,SCENARIOS!$B$2,AB$1)</f>
        <v>0</v>
      </c>
      <c r="AC71" cm="1">
        <f t="array" ref="AC71">_xll.VALEUROUTPUT($A$923,_xlfn.CONCAT("THEME14=",$C71),SCENARIOS!$A$2,SCENARIOS!$B$2,AC$1)</f>
        <v>0</v>
      </c>
      <c r="AD71" cm="1">
        <f t="array" ref="AD71">_xll.VALEUROUTPUT($A$923,_xlfn.CONCAT("THEME14=",$C71),SCENARIOS!$A$2,SCENARIOS!$B$2,AD$1)</f>
        <v>0</v>
      </c>
      <c r="AE71" cm="1">
        <f t="array" ref="AE71">_xll.VALEUROUTPUT($A$923,_xlfn.CONCAT("THEME14=",$C71),SCENARIOS!$A$2,SCENARIOS!$B$2,AE$1)</f>
        <v>0</v>
      </c>
      <c r="AF71" cm="1">
        <f t="array" ref="AF71">_xll.VALEUROUTPUT($A$923,_xlfn.CONCAT("THEME14=",$C71),SCENARIOS!$A$2,SCENARIOS!$B$2,AF$1)</f>
        <v>0</v>
      </c>
    </row>
    <row r="72" spans="1:32" x14ac:dyDescent="0.25">
      <c r="A72" t="str">
        <v>OSUPREALCT</v>
      </c>
      <c r="D72" cm="1">
        <f t="array" ref="D72">_xll.VALEUROUTPUT($A$923,_xlfn.CONCAT("THEME14=",$C72),SCENARIOS!$A$2,SCENARIOS!$B$2,D$1)</f>
        <v>0</v>
      </c>
      <c r="E72" cm="1">
        <f t="array" ref="E72">_xll.VALEUROUTPUT($A$923,_xlfn.CONCAT("THEME14=",$C72),SCENARIOS!$A$2,SCENARIOS!$B$2,E$1)</f>
        <v>0</v>
      </c>
      <c r="F72" cm="1">
        <f t="array" ref="F72">_xll.VALEUROUTPUT($A$923,_xlfn.CONCAT("THEME14=",$C72),SCENARIOS!$A$2,SCENARIOS!$B$2,F$1)</f>
        <v>0</v>
      </c>
      <c r="G72" cm="1">
        <f t="array" ref="G72">_xll.VALEUROUTPUT($A$923,_xlfn.CONCAT("THEME14=",$C72),SCENARIOS!$A$2,SCENARIOS!$B$2,G$1)</f>
        <v>0</v>
      </c>
      <c r="H72" cm="1">
        <f t="array" ref="H72">_xll.VALEUROUTPUT($A$923,_xlfn.CONCAT("THEME14=",$C72),SCENARIOS!$A$2,SCENARIOS!$B$2,H$1)</f>
        <v>0</v>
      </c>
      <c r="I72" cm="1">
        <f t="array" ref="I72">_xll.VALEUROUTPUT($A$923,_xlfn.CONCAT("THEME14=",$C72),SCENARIOS!$A$2,SCENARIOS!$B$2,I$1)</f>
        <v>0</v>
      </c>
      <c r="J72" cm="1">
        <f t="array" ref="J72">_xll.VALEUROUTPUT($A$923,_xlfn.CONCAT("THEME14=",$C72),SCENARIOS!$A$2,SCENARIOS!$B$2,J$1)</f>
        <v>0</v>
      </c>
      <c r="K72" cm="1">
        <f t="array" ref="K72">_xll.VALEUROUTPUT($A$923,_xlfn.CONCAT("THEME14=",$C72),SCENARIOS!$A$2,SCENARIOS!$B$2,K$1)</f>
        <v>0</v>
      </c>
      <c r="L72" cm="1">
        <f t="array" ref="L72">_xll.VALEUROUTPUT($A$923,_xlfn.CONCAT("THEME14=",$C72),SCENARIOS!$A$2,SCENARIOS!$B$2,L$1)</f>
        <v>0</v>
      </c>
      <c r="M72" cm="1">
        <f t="array" ref="M72">_xll.VALEUROUTPUT($A$923,_xlfn.CONCAT("THEME14=",$C72),SCENARIOS!$A$2,SCENARIOS!$B$2,M$1)</f>
        <v>0</v>
      </c>
      <c r="N72" cm="1">
        <f t="array" ref="N72">_xll.VALEUROUTPUT($A$923,_xlfn.CONCAT("THEME14=",$C72),SCENARIOS!$A$2,SCENARIOS!$B$2,N$1)</f>
        <v>0</v>
      </c>
      <c r="O72" cm="1">
        <f t="array" ref="O72">_xll.VALEUROUTPUT($A$923,_xlfn.CONCAT("THEME14=",$C72),SCENARIOS!$A$2,SCENARIOS!$B$2,O$1)</f>
        <v>0</v>
      </c>
      <c r="P72" cm="1">
        <f t="array" ref="P72">_xll.VALEUROUTPUT($A$923,_xlfn.CONCAT("THEME14=",$C72),SCENARIOS!$A$2,SCENARIOS!$B$2,P$1)</f>
        <v>0</v>
      </c>
      <c r="Q72" cm="1">
        <f t="array" ref="Q72">_xll.VALEUROUTPUT($A$923,_xlfn.CONCAT("THEME14=",$C72),SCENARIOS!$A$2,SCENARIOS!$B$2,Q$1)</f>
        <v>0</v>
      </c>
      <c r="R72" cm="1">
        <f t="array" ref="R72">_xll.VALEUROUTPUT($A$923,_xlfn.CONCAT("THEME14=",$C72),SCENARIOS!$A$2,SCENARIOS!$B$2,R$1)</f>
        <v>0</v>
      </c>
      <c r="S72" cm="1">
        <f t="array" ref="S72">_xll.VALEUROUTPUT($A$923,_xlfn.CONCAT("THEME14=",$C72),SCENARIOS!$A$2,SCENARIOS!$B$2,S$1)</f>
        <v>0</v>
      </c>
      <c r="T72" cm="1">
        <f t="array" ref="T72">_xll.VALEUROUTPUT($A$923,_xlfn.CONCAT("THEME14=",$C72),SCENARIOS!$A$2,SCENARIOS!$B$2,T$1)</f>
        <v>0</v>
      </c>
      <c r="U72" cm="1">
        <f t="array" ref="U72">_xll.VALEUROUTPUT($A$923,_xlfn.CONCAT("THEME14=",$C72),SCENARIOS!$A$2,SCENARIOS!$B$2,U$1)</f>
        <v>0</v>
      </c>
      <c r="V72" cm="1">
        <f t="array" ref="V72">_xll.VALEUROUTPUT($A$923,_xlfn.CONCAT("THEME14=",$C72),SCENARIOS!$A$2,SCENARIOS!$B$2,V$1)</f>
        <v>0</v>
      </c>
      <c r="W72" cm="1">
        <f t="array" ref="W72">_xll.VALEUROUTPUT($A$923,_xlfn.CONCAT("THEME14=",$C72),SCENARIOS!$A$2,SCENARIOS!$B$2,W$1)</f>
        <v>0</v>
      </c>
      <c r="X72" cm="1">
        <f t="array" ref="X72">_xll.VALEUROUTPUT($A$923,_xlfn.CONCAT("THEME14=",$C72),SCENARIOS!$A$2,SCENARIOS!$B$2,X$1)</f>
        <v>0</v>
      </c>
      <c r="Y72" cm="1">
        <f t="array" ref="Y72">_xll.VALEUROUTPUT($A$923,_xlfn.CONCAT("THEME14=",$C72),SCENARIOS!$A$2,SCENARIOS!$B$2,Y$1)</f>
        <v>0</v>
      </c>
      <c r="Z72" cm="1">
        <f t="array" ref="Z72">_xll.VALEUROUTPUT($A$923,_xlfn.CONCAT("THEME14=",$C72),SCENARIOS!$A$2,SCENARIOS!$B$2,Z$1)</f>
        <v>0</v>
      </c>
      <c r="AA72" cm="1">
        <f t="array" ref="AA72">_xll.VALEUROUTPUT($A$923,_xlfn.CONCAT("THEME14=",$C72),SCENARIOS!$A$2,SCENARIOS!$B$2,AA$1)</f>
        <v>0</v>
      </c>
      <c r="AB72" cm="1">
        <f t="array" ref="AB72">_xll.VALEUROUTPUT($A$923,_xlfn.CONCAT("THEME14=",$C72),SCENARIOS!$A$2,SCENARIOS!$B$2,AB$1)</f>
        <v>0</v>
      </c>
      <c r="AC72" cm="1">
        <f t="array" ref="AC72">_xll.VALEUROUTPUT($A$923,_xlfn.CONCAT("THEME14=",$C72),SCENARIOS!$A$2,SCENARIOS!$B$2,AC$1)</f>
        <v>0</v>
      </c>
      <c r="AD72" cm="1">
        <f t="array" ref="AD72">_xll.VALEUROUTPUT($A$923,_xlfn.CONCAT("THEME14=",$C72),SCENARIOS!$A$2,SCENARIOS!$B$2,AD$1)</f>
        <v>0</v>
      </c>
      <c r="AE72" cm="1">
        <f t="array" ref="AE72">_xll.VALEUROUTPUT($A$923,_xlfn.CONCAT("THEME14=",$C72),SCENARIOS!$A$2,SCENARIOS!$B$2,AE$1)</f>
        <v>0</v>
      </c>
      <c r="AF72" cm="1">
        <f t="array" ref="AF72">_xll.VALEUROUTPUT($A$923,_xlfn.CONCAT("THEME14=",$C72),SCENARIOS!$A$2,SCENARIOS!$B$2,AF$1)</f>
        <v>0</v>
      </c>
    </row>
    <row r="73" spans="1:32" x14ac:dyDescent="0.25">
      <c r="A73" t="str">
        <v>OSUPREALPL</v>
      </c>
      <c r="D73" cm="1">
        <f t="array" ref="D73">_xll.VALEUROUTPUT($A$923,_xlfn.CONCAT("THEME14=",$C73),SCENARIOS!$A$2,SCENARIOS!$B$2,D$1)</f>
        <v>0</v>
      </c>
      <c r="E73" cm="1">
        <f t="array" ref="E73">_xll.VALEUROUTPUT($A$923,_xlfn.CONCAT("THEME14=",$C73),SCENARIOS!$A$2,SCENARIOS!$B$2,E$1)</f>
        <v>0</v>
      </c>
      <c r="F73" cm="1">
        <f t="array" ref="F73">_xll.VALEUROUTPUT($A$923,_xlfn.CONCAT("THEME14=",$C73),SCENARIOS!$A$2,SCENARIOS!$B$2,F$1)</f>
        <v>0</v>
      </c>
      <c r="G73" cm="1">
        <f t="array" ref="G73">_xll.VALEUROUTPUT($A$923,_xlfn.CONCAT("THEME14=",$C73),SCENARIOS!$A$2,SCENARIOS!$B$2,G$1)</f>
        <v>0</v>
      </c>
      <c r="H73" cm="1">
        <f t="array" ref="H73">_xll.VALEUROUTPUT($A$923,_xlfn.CONCAT("THEME14=",$C73),SCENARIOS!$A$2,SCENARIOS!$B$2,H$1)</f>
        <v>0</v>
      </c>
      <c r="I73" cm="1">
        <f t="array" ref="I73">_xll.VALEUROUTPUT($A$923,_xlfn.CONCAT("THEME14=",$C73),SCENARIOS!$A$2,SCENARIOS!$B$2,I$1)</f>
        <v>0</v>
      </c>
      <c r="J73" cm="1">
        <f t="array" ref="J73">_xll.VALEUROUTPUT($A$923,_xlfn.CONCAT("THEME14=",$C73),SCENARIOS!$A$2,SCENARIOS!$B$2,J$1)</f>
        <v>0</v>
      </c>
      <c r="K73" cm="1">
        <f t="array" ref="K73">_xll.VALEUROUTPUT($A$923,_xlfn.CONCAT("THEME14=",$C73),SCENARIOS!$A$2,SCENARIOS!$B$2,K$1)</f>
        <v>0</v>
      </c>
      <c r="L73" cm="1">
        <f t="array" ref="L73">_xll.VALEUROUTPUT($A$923,_xlfn.CONCAT("THEME14=",$C73),SCENARIOS!$A$2,SCENARIOS!$B$2,L$1)</f>
        <v>0</v>
      </c>
      <c r="M73" cm="1">
        <f t="array" ref="M73">_xll.VALEUROUTPUT($A$923,_xlfn.CONCAT("THEME14=",$C73),SCENARIOS!$A$2,SCENARIOS!$B$2,M$1)</f>
        <v>0</v>
      </c>
      <c r="N73" cm="1">
        <f t="array" ref="N73">_xll.VALEUROUTPUT($A$923,_xlfn.CONCAT("THEME14=",$C73),SCENARIOS!$A$2,SCENARIOS!$B$2,N$1)</f>
        <v>0</v>
      </c>
      <c r="O73" cm="1">
        <f t="array" ref="O73">_xll.VALEUROUTPUT($A$923,_xlfn.CONCAT("THEME14=",$C73),SCENARIOS!$A$2,SCENARIOS!$B$2,O$1)</f>
        <v>0</v>
      </c>
      <c r="P73" cm="1">
        <f t="array" ref="P73">_xll.VALEUROUTPUT($A$923,_xlfn.CONCAT("THEME14=",$C73),SCENARIOS!$A$2,SCENARIOS!$B$2,P$1)</f>
        <v>0</v>
      </c>
      <c r="Q73" cm="1">
        <f t="array" ref="Q73">_xll.VALEUROUTPUT($A$923,_xlfn.CONCAT("THEME14=",$C73),SCENARIOS!$A$2,SCENARIOS!$B$2,Q$1)</f>
        <v>0</v>
      </c>
      <c r="R73" cm="1">
        <f t="array" ref="R73">_xll.VALEUROUTPUT($A$923,_xlfn.CONCAT("THEME14=",$C73),SCENARIOS!$A$2,SCENARIOS!$B$2,R$1)</f>
        <v>0</v>
      </c>
      <c r="S73" cm="1">
        <f t="array" ref="S73">_xll.VALEUROUTPUT($A$923,_xlfn.CONCAT("THEME14=",$C73),SCENARIOS!$A$2,SCENARIOS!$B$2,S$1)</f>
        <v>0</v>
      </c>
      <c r="T73" cm="1">
        <f t="array" ref="T73">_xll.VALEUROUTPUT($A$923,_xlfn.CONCAT("THEME14=",$C73),SCENARIOS!$A$2,SCENARIOS!$B$2,T$1)</f>
        <v>0</v>
      </c>
      <c r="U73" cm="1">
        <f t="array" ref="U73">_xll.VALEUROUTPUT($A$923,_xlfn.CONCAT("THEME14=",$C73),SCENARIOS!$A$2,SCENARIOS!$B$2,U$1)</f>
        <v>0</v>
      </c>
      <c r="V73" cm="1">
        <f t="array" ref="V73">_xll.VALEUROUTPUT($A$923,_xlfn.CONCAT("THEME14=",$C73),SCENARIOS!$A$2,SCENARIOS!$B$2,V$1)</f>
        <v>0</v>
      </c>
      <c r="W73" cm="1">
        <f t="array" ref="W73">_xll.VALEUROUTPUT($A$923,_xlfn.CONCAT("THEME14=",$C73),SCENARIOS!$A$2,SCENARIOS!$B$2,W$1)</f>
        <v>0</v>
      </c>
      <c r="X73" cm="1">
        <f t="array" ref="X73">_xll.VALEUROUTPUT($A$923,_xlfn.CONCAT("THEME14=",$C73),SCENARIOS!$A$2,SCENARIOS!$B$2,X$1)</f>
        <v>0</v>
      </c>
      <c r="Y73" cm="1">
        <f t="array" ref="Y73">_xll.VALEUROUTPUT($A$923,_xlfn.CONCAT("THEME14=",$C73),SCENARIOS!$A$2,SCENARIOS!$B$2,Y$1)</f>
        <v>0</v>
      </c>
      <c r="Z73" cm="1">
        <f t="array" ref="Z73">_xll.VALEUROUTPUT($A$923,_xlfn.CONCAT("THEME14=",$C73),SCENARIOS!$A$2,SCENARIOS!$B$2,Z$1)</f>
        <v>0</v>
      </c>
      <c r="AA73" cm="1">
        <f t="array" ref="AA73">_xll.VALEUROUTPUT($A$923,_xlfn.CONCAT("THEME14=",$C73),SCENARIOS!$A$2,SCENARIOS!$B$2,AA$1)</f>
        <v>0</v>
      </c>
      <c r="AB73" cm="1">
        <f t="array" ref="AB73">_xll.VALEUROUTPUT($A$923,_xlfn.CONCAT("THEME14=",$C73),SCENARIOS!$A$2,SCENARIOS!$B$2,AB$1)</f>
        <v>0</v>
      </c>
      <c r="AC73" cm="1">
        <f t="array" ref="AC73">_xll.VALEUROUTPUT($A$923,_xlfn.CONCAT("THEME14=",$C73),SCENARIOS!$A$2,SCENARIOS!$B$2,AC$1)</f>
        <v>0</v>
      </c>
      <c r="AD73" cm="1">
        <f t="array" ref="AD73">_xll.VALEUROUTPUT($A$923,_xlfn.CONCAT("THEME14=",$C73),SCENARIOS!$A$2,SCENARIOS!$B$2,AD$1)</f>
        <v>0</v>
      </c>
      <c r="AE73" cm="1">
        <f t="array" ref="AE73">_xll.VALEUROUTPUT($A$923,_xlfn.CONCAT("THEME14=",$C73),SCENARIOS!$A$2,SCENARIOS!$B$2,AE$1)</f>
        <v>0</v>
      </c>
      <c r="AF73" cm="1">
        <f t="array" ref="AF73">_xll.VALEUROUTPUT($A$923,_xlfn.CONCAT("THEME14=",$C73),SCENARIOS!$A$2,SCENARIOS!$B$2,AF$1)</f>
        <v>0</v>
      </c>
    </row>
    <row r="74" spans="1:32" x14ac:dyDescent="0.25">
      <c r="A74" t="str">
        <v>OSUPREALEPC</v>
      </c>
      <c r="D74" cm="1">
        <f t="array" ref="D74">_xll.VALEUROUTPUT($A$923,_xlfn.CONCAT("THEME14=",$C74),SCENARIOS!$A$2,SCENARIOS!$B$2,D$1)</f>
        <v>0</v>
      </c>
      <c r="E74" cm="1">
        <f t="array" ref="E74">_xll.VALEUROUTPUT($A$923,_xlfn.CONCAT("THEME14=",$C74),SCENARIOS!$A$2,SCENARIOS!$B$2,E$1)</f>
        <v>0</v>
      </c>
      <c r="F74" cm="1">
        <f t="array" ref="F74">_xll.VALEUROUTPUT($A$923,_xlfn.CONCAT("THEME14=",$C74),SCENARIOS!$A$2,SCENARIOS!$B$2,F$1)</f>
        <v>0</v>
      </c>
      <c r="G74" cm="1">
        <f t="array" ref="G74">_xll.VALEUROUTPUT($A$923,_xlfn.CONCAT("THEME14=",$C74),SCENARIOS!$A$2,SCENARIOS!$B$2,G$1)</f>
        <v>0</v>
      </c>
      <c r="H74" cm="1">
        <f t="array" ref="H74">_xll.VALEUROUTPUT($A$923,_xlfn.CONCAT("THEME14=",$C74),SCENARIOS!$A$2,SCENARIOS!$B$2,H$1)</f>
        <v>0</v>
      </c>
      <c r="I74" cm="1">
        <f t="array" ref="I74">_xll.VALEUROUTPUT($A$923,_xlfn.CONCAT("THEME14=",$C74),SCENARIOS!$A$2,SCENARIOS!$B$2,I$1)</f>
        <v>0</v>
      </c>
      <c r="J74" cm="1">
        <f t="array" ref="J74">_xll.VALEUROUTPUT($A$923,_xlfn.CONCAT("THEME14=",$C74),SCENARIOS!$A$2,SCENARIOS!$B$2,J$1)</f>
        <v>0</v>
      </c>
      <c r="K74" cm="1">
        <f t="array" ref="K74">_xll.VALEUROUTPUT($A$923,_xlfn.CONCAT("THEME14=",$C74),SCENARIOS!$A$2,SCENARIOS!$B$2,K$1)</f>
        <v>0</v>
      </c>
      <c r="L74" cm="1">
        <f t="array" ref="L74">_xll.VALEUROUTPUT($A$923,_xlfn.CONCAT("THEME14=",$C74),SCENARIOS!$A$2,SCENARIOS!$B$2,L$1)</f>
        <v>0</v>
      </c>
      <c r="M74" cm="1">
        <f t="array" ref="M74">_xll.VALEUROUTPUT($A$923,_xlfn.CONCAT("THEME14=",$C74),SCENARIOS!$A$2,SCENARIOS!$B$2,M$1)</f>
        <v>0</v>
      </c>
      <c r="N74" cm="1">
        <f t="array" ref="N74">_xll.VALEUROUTPUT($A$923,_xlfn.CONCAT("THEME14=",$C74),SCENARIOS!$A$2,SCENARIOS!$B$2,N$1)</f>
        <v>0</v>
      </c>
      <c r="O74" cm="1">
        <f t="array" ref="O74">_xll.VALEUROUTPUT($A$923,_xlfn.CONCAT("THEME14=",$C74),SCENARIOS!$A$2,SCENARIOS!$B$2,O$1)</f>
        <v>0</v>
      </c>
      <c r="P74" cm="1">
        <f t="array" ref="P74">_xll.VALEUROUTPUT($A$923,_xlfn.CONCAT("THEME14=",$C74),SCENARIOS!$A$2,SCENARIOS!$B$2,P$1)</f>
        <v>0</v>
      </c>
      <c r="Q74" cm="1">
        <f t="array" ref="Q74">_xll.VALEUROUTPUT($A$923,_xlfn.CONCAT("THEME14=",$C74),SCENARIOS!$A$2,SCENARIOS!$B$2,Q$1)</f>
        <v>0</v>
      </c>
      <c r="R74" cm="1">
        <f t="array" ref="R74">_xll.VALEUROUTPUT($A$923,_xlfn.CONCAT("THEME14=",$C74),SCENARIOS!$A$2,SCENARIOS!$B$2,R$1)</f>
        <v>0</v>
      </c>
      <c r="S74" cm="1">
        <f t="array" ref="S74">_xll.VALEUROUTPUT($A$923,_xlfn.CONCAT("THEME14=",$C74),SCENARIOS!$A$2,SCENARIOS!$B$2,S$1)</f>
        <v>0</v>
      </c>
      <c r="T74" cm="1">
        <f t="array" ref="T74">_xll.VALEUROUTPUT($A$923,_xlfn.CONCAT("THEME14=",$C74),SCENARIOS!$A$2,SCENARIOS!$B$2,T$1)</f>
        <v>0</v>
      </c>
      <c r="U74" cm="1">
        <f t="array" ref="U74">_xll.VALEUROUTPUT($A$923,_xlfn.CONCAT("THEME14=",$C74),SCENARIOS!$A$2,SCENARIOS!$B$2,U$1)</f>
        <v>0</v>
      </c>
      <c r="V74" cm="1">
        <f t="array" ref="V74">_xll.VALEUROUTPUT($A$923,_xlfn.CONCAT("THEME14=",$C74),SCENARIOS!$A$2,SCENARIOS!$B$2,V$1)</f>
        <v>0</v>
      </c>
      <c r="W74" cm="1">
        <f t="array" ref="W74">_xll.VALEUROUTPUT($A$923,_xlfn.CONCAT("THEME14=",$C74),SCENARIOS!$A$2,SCENARIOS!$B$2,W$1)</f>
        <v>0</v>
      </c>
      <c r="X74" cm="1">
        <f t="array" ref="X74">_xll.VALEUROUTPUT($A$923,_xlfn.CONCAT("THEME14=",$C74),SCENARIOS!$A$2,SCENARIOS!$B$2,X$1)</f>
        <v>0</v>
      </c>
      <c r="Y74" cm="1">
        <f t="array" ref="Y74">_xll.VALEUROUTPUT($A$923,_xlfn.CONCAT("THEME14=",$C74),SCENARIOS!$A$2,SCENARIOS!$B$2,Y$1)</f>
        <v>0</v>
      </c>
      <c r="Z74" cm="1">
        <f t="array" ref="Z74">_xll.VALEUROUTPUT($A$923,_xlfn.CONCAT("THEME14=",$C74),SCENARIOS!$A$2,SCENARIOS!$B$2,Z$1)</f>
        <v>0</v>
      </c>
      <c r="AA74" cm="1">
        <f t="array" ref="AA74">_xll.VALEUROUTPUT($A$923,_xlfn.CONCAT("THEME14=",$C74),SCENARIOS!$A$2,SCENARIOS!$B$2,AA$1)</f>
        <v>0</v>
      </c>
      <c r="AB74" cm="1">
        <f t="array" ref="AB74">_xll.VALEUROUTPUT($A$923,_xlfn.CONCAT("THEME14=",$C74),SCENARIOS!$A$2,SCENARIOS!$B$2,AB$1)</f>
        <v>0</v>
      </c>
      <c r="AC74" cm="1">
        <f t="array" ref="AC74">_xll.VALEUROUTPUT($A$923,_xlfn.CONCAT("THEME14=",$C74),SCENARIOS!$A$2,SCENARIOS!$B$2,AC$1)</f>
        <v>0</v>
      </c>
      <c r="AD74" cm="1">
        <f t="array" ref="AD74">_xll.VALEUROUTPUT($A$923,_xlfn.CONCAT("THEME14=",$C74),SCENARIOS!$A$2,SCENARIOS!$B$2,AD$1)</f>
        <v>0</v>
      </c>
      <c r="AE74" cm="1">
        <f t="array" ref="AE74">_xll.VALEUROUTPUT($A$923,_xlfn.CONCAT("THEME14=",$C74),SCENARIOS!$A$2,SCENARIOS!$B$2,AE$1)</f>
        <v>0</v>
      </c>
      <c r="AF74" cm="1">
        <f t="array" ref="AF74">_xll.VALEUROUTPUT($A$923,_xlfn.CONCAT("THEME14=",$C74),SCENARIOS!$A$2,SCENARIOS!$B$2,AF$1)</f>
        <v>0</v>
      </c>
    </row>
    <row r="75" spans="1:32" x14ac:dyDescent="0.25">
      <c r="A75" t="str">
        <v>OSUPREALEC</v>
      </c>
      <c r="D75" cm="1">
        <f t="array" ref="D75">_xll.VALEUROUTPUT($A$923,_xlfn.CONCAT("THEME14=",$C75),SCENARIOS!$A$2,SCENARIOS!$B$2,D$1)</f>
        <v>0</v>
      </c>
      <c r="E75" cm="1">
        <f t="array" ref="E75">_xll.VALEUROUTPUT($A$923,_xlfn.CONCAT("THEME14=",$C75),SCENARIOS!$A$2,SCENARIOS!$B$2,E$1)</f>
        <v>0</v>
      </c>
      <c r="F75" cm="1">
        <f t="array" ref="F75">_xll.VALEUROUTPUT($A$923,_xlfn.CONCAT("THEME14=",$C75),SCENARIOS!$A$2,SCENARIOS!$B$2,F$1)</f>
        <v>0</v>
      </c>
      <c r="G75" cm="1">
        <f t="array" ref="G75">_xll.VALEUROUTPUT($A$923,_xlfn.CONCAT("THEME14=",$C75),SCENARIOS!$A$2,SCENARIOS!$B$2,G$1)</f>
        <v>0</v>
      </c>
      <c r="H75" cm="1">
        <f t="array" ref="H75">_xll.VALEUROUTPUT($A$923,_xlfn.CONCAT("THEME14=",$C75),SCENARIOS!$A$2,SCENARIOS!$B$2,H$1)</f>
        <v>0</v>
      </c>
      <c r="I75" cm="1">
        <f t="array" ref="I75">_xll.VALEUROUTPUT($A$923,_xlfn.CONCAT("THEME14=",$C75),SCENARIOS!$A$2,SCENARIOS!$B$2,I$1)</f>
        <v>0</v>
      </c>
      <c r="J75" cm="1">
        <f t="array" ref="J75">_xll.VALEUROUTPUT($A$923,_xlfn.CONCAT("THEME14=",$C75),SCENARIOS!$A$2,SCENARIOS!$B$2,J$1)</f>
        <v>0</v>
      </c>
      <c r="K75" cm="1">
        <f t="array" ref="K75">_xll.VALEUROUTPUT($A$923,_xlfn.CONCAT("THEME14=",$C75),SCENARIOS!$A$2,SCENARIOS!$B$2,K$1)</f>
        <v>0</v>
      </c>
      <c r="L75" cm="1">
        <f t="array" ref="L75">_xll.VALEUROUTPUT($A$923,_xlfn.CONCAT("THEME14=",$C75),SCENARIOS!$A$2,SCENARIOS!$B$2,L$1)</f>
        <v>0</v>
      </c>
      <c r="M75" cm="1">
        <f t="array" ref="M75">_xll.VALEUROUTPUT($A$923,_xlfn.CONCAT("THEME14=",$C75),SCENARIOS!$A$2,SCENARIOS!$B$2,M$1)</f>
        <v>0</v>
      </c>
      <c r="N75" cm="1">
        <f t="array" ref="N75">_xll.VALEUROUTPUT($A$923,_xlfn.CONCAT("THEME14=",$C75),SCENARIOS!$A$2,SCENARIOS!$B$2,N$1)</f>
        <v>0</v>
      </c>
      <c r="O75" cm="1">
        <f t="array" ref="O75">_xll.VALEUROUTPUT($A$923,_xlfn.CONCAT("THEME14=",$C75),SCENARIOS!$A$2,SCENARIOS!$B$2,O$1)</f>
        <v>0</v>
      </c>
      <c r="P75" cm="1">
        <f t="array" ref="P75">_xll.VALEUROUTPUT($A$923,_xlfn.CONCAT("THEME14=",$C75),SCENARIOS!$A$2,SCENARIOS!$B$2,P$1)</f>
        <v>0</v>
      </c>
      <c r="Q75" cm="1">
        <f t="array" ref="Q75">_xll.VALEUROUTPUT($A$923,_xlfn.CONCAT("THEME14=",$C75),SCENARIOS!$A$2,SCENARIOS!$B$2,Q$1)</f>
        <v>0</v>
      </c>
      <c r="R75" cm="1">
        <f t="array" ref="R75">_xll.VALEUROUTPUT($A$923,_xlfn.CONCAT("THEME14=",$C75),SCENARIOS!$A$2,SCENARIOS!$B$2,R$1)</f>
        <v>0</v>
      </c>
      <c r="S75" cm="1">
        <f t="array" ref="S75">_xll.VALEUROUTPUT($A$923,_xlfn.CONCAT("THEME14=",$C75),SCENARIOS!$A$2,SCENARIOS!$B$2,S$1)</f>
        <v>0</v>
      </c>
      <c r="T75" cm="1">
        <f t="array" ref="T75">_xll.VALEUROUTPUT($A$923,_xlfn.CONCAT("THEME14=",$C75),SCENARIOS!$A$2,SCENARIOS!$B$2,T$1)</f>
        <v>0</v>
      </c>
      <c r="U75" cm="1">
        <f t="array" ref="U75">_xll.VALEUROUTPUT($A$923,_xlfn.CONCAT("THEME14=",$C75),SCENARIOS!$A$2,SCENARIOS!$B$2,U$1)</f>
        <v>0</v>
      </c>
      <c r="V75" cm="1">
        <f t="array" ref="V75">_xll.VALEUROUTPUT($A$923,_xlfn.CONCAT("THEME14=",$C75),SCENARIOS!$A$2,SCENARIOS!$B$2,V$1)</f>
        <v>0</v>
      </c>
      <c r="W75" cm="1">
        <f t="array" ref="W75">_xll.VALEUROUTPUT($A$923,_xlfn.CONCAT("THEME14=",$C75),SCENARIOS!$A$2,SCENARIOS!$B$2,W$1)</f>
        <v>0</v>
      </c>
      <c r="X75" cm="1">
        <f t="array" ref="X75">_xll.VALEUROUTPUT($A$923,_xlfn.CONCAT("THEME14=",$C75),SCENARIOS!$A$2,SCENARIOS!$B$2,X$1)</f>
        <v>0</v>
      </c>
      <c r="Y75" cm="1">
        <f t="array" ref="Y75">_xll.VALEUROUTPUT($A$923,_xlfn.CONCAT("THEME14=",$C75),SCENARIOS!$A$2,SCENARIOS!$B$2,Y$1)</f>
        <v>0</v>
      </c>
      <c r="Z75" cm="1">
        <f t="array" ref="Z75">_xll.VALEUROUTPUT($A$923,_xlfn.CONCAT("THEME14=",$C75),SCENARIOS!$A$2,SCENARIOS!$B$2,Z$1)</f>
        <v>0</v>
      </c>
      <c r="AA75" cm="1">
        <f t="array" ref="AA75">_xll.VALEUROUTPUT($A$923,_xlfn.CONCAT("THEME14=",$C75),SCENARIOS!$A$2,SCENARIOS!$B$2,AA$1)</f>
        <v>0</v>
      </c>
      <c r="AB75" cm="1">
        <f t="array" ref="AB75">_xll.VALEUROUTPUT($A$923,_xlfn.CONCAT("THEME14=",$C75),SCENARIOS!$A$2,SCENARIOS!$B$2,AB$1)</f>
        <v>0</v>
      </c>
      <c r="AC75" cm="1">
        <f t="array" ref="AC75">_xll.VALEUROUTPUT($A$923,_xlfn.CONCAT("THEME14=",$C75),SCENARIOS!$A$2,SCENARIOS!$B$2,AC$1)</f>
        <v>0</v>
      </c>
      <c r="AD75" cm="1">
        <f t="array" ref="AD75">_xll.VALEUROUTPUT($A$923,_xlfn.CONCAT("THEME14=",$C75),SCENARIOS!$A$2,SCENARIOS!$B$2,AD$1)</f>
        <v>0</v>
      </c>
      <c r="AE75" cm="1">
        <f t="array" ref="AE75">_xll.VALEUROUTPUT($A$923,_xlfn.CONCAT("THEME14=",$C75),SCENARIOS!$A$2,SCENARIOS!$B$2,AE$1)</f>
        <v>0</v>
      </c>
      <c r="AF75" cm="1">
        <f t="array" ref="AF75">_xll.VALEUROUTPUT($A$923,_xlfn.CONCAT("THEME14=",$C75),SCENARIOS!$A$2,SCENARIOS!$B$2,AF$1)</f>
        <v>0</v>
      </c>
    </row>
    <row r="76" spans="1:32" x14ac:dyDescent="0.25">
      <c r="A76" t="str">
        <v>OSUPREALNET</v>
      </c>
      <c r="D76" cm="1">
        <f t="array" ref="D76">_xll.VALEUROUTPUT($A$923,_xlfn.CONCAT("THEME14=",$C76),SCENARIOS!$A$2,SCENARIOS!$B$2,D$1)</f>
        <v>0</v>
      </c>
      <c r="E76" cm="1">
        <f t="array" ref="E76">_xll.VALEUROUTPUT($A$923,_xlfn.CONCAT("THEME14=",$C76),SCENARIOS!$A$2,SCENARIOS!$B$2,E$1)</f>
        <v>0</v>
      </c>
      <c r="F76" cm="1">
        <f t="array" ref="F76">_xll.VALEUROUTPUT($A$923,_xlfn.CONCAT("THEME14=",$C76),SCENARIOS!$A$2,SCENARIOS!$B$2,F$1)</f>
        <v>0</v>
      </c>
      <c r="G76" cm="1">
        <f t="array" ref="G76">_xll.VALEUROUTPUT($A$923,_xlfn.CONCAT("THEME14=",$C76),SCENARIOS!$A$2,SCENARIOS!$B$2,G$1)</f>
        <v>0</v>
      </c>
      <c r="H76" cm="1">
        <f t="array" ref="H76">_xll.VALEUROUTPUT($A$923,_xlfn.CONCAT("THEME14=",$C76),SCENARIOS!$A$2,SCENARIOS!$B$2,H$1)</f>
        <v>0</v>
      </c>
      <c r="I76" cm="1">
        <f t="array" ref="I76">_xll.VALEUROUTPUT($A$923,_xlfn.CONCAT("THEME14=",$C76),SCENARIOS!$A$2,SCENARIOS!$B$2,I$1)</f>
        <v>0</v>
      </c>
      <c r="J76" cm="1">
        <f t="array" ref="J76">_xll.VALEUROUTPUT($A$923,_xlfn.CONCAT("THEME14=",$C76),SCENARIOS!$A$2,SCENARIOS!$B$2,J$1)</f>
        <v>0</v>
      </c>
      <c r="K76" cm="1">
        <f t="array" ref="K76">_xll.VALEUROUTPUT($A$923,_xlfn.CONCAT("THEME14=",$C76),SCENARIOS!$A$2,SCENARIOS!$B$2,K$1)</f>
        <v>0</v>
      </c>
      <c r="L76" cm="1">
        <f t="array" ref="L76">_xll.VALEUROUTPUT($A$923,_xlfn.CONCAT("THEME14=",$C76),SCENARIOS!$A$2,SCENARIOS!$B$2,L$1)</f>
        <v>0</v>
      </c>
      <c r="M76" cm="1">
        <f t="array" ref="M76">_xll.VALEUROUTPUT($A$923,_xlfn.CONCAT("THEME14=",$C76),SCENARIOS!$A$2,SCENARIOS!$B$2,M$1)</f>
        <v>0</v>
      </c>
      <c r="N76" cm="1">
        <f t="array" ref="N76">_xll.VALEUROUTPUT($A$923,_xlfn.CONCAT("THEME14=",$C76),SCENARIOS!$A$2,SCENARIOS!$B$2,N$1)</f>
        <v>0</v>
      </c>
      <c r="O76" cm="1">
        <f t="array" ref="O76">_xll.VALEUROUTPUT($A$923,_xlfn.CONCAT("THEME14=",$C76),SCENARIOS!$A$2,SCENARIOS!$B$2,O$1)</f>
        <v>0</v>
      </c>
      <c r="P76" cm="1">
        <f t="array" ref="P76">_xll.VALEUROUTPUT($A$923,_xlfn.CONCAT("THEME14=",$C76),SCENARIOS!$A$2,SCENARIOS!$B$2,P$1)</f>
        <v>0</v>
      </c>
      <c r="Q76" cm="1">
        <f t="array" ref="Q76">_xll.VALEUROUTPUT($A$923,_xlfn.CONCAT("THEME14=",$C76),SCENARIOS!$A$2,SCENARIOS!$B$2,Q$1)</f>
        <v>0</v>
      </c>
      <c r="R76" cm="1">
        <f t="array" ref="R76">_xll.VALEUROUTPUT($A$923,_xlfn.CONCAT("THEME14=",$C76),SCENARIOS!$A$2,SCENARIOS!$B$2,R$1)</f>
        <v>0</v>
      </c>
      <c r="S76" cm="1">
        <f t="array" ref="S76">_xll.VALEUROUTPUT($A$923,_xlfn.CONCAT("THEME14=",$C76),SCENARIOS!$A$2,SCENARIOS!$B$2,S$1)</f>
        <v>0</v>
      </c>
      <c r="T76" cm="1">
        <f t="array" ref="T76">_xll.VALEUROUTPUT($A$923,_xlfn.CONCAT("THEME14=",$C76),SCENARIOS!$A$2,SCENARIOS!$B$2,T$1)</f>
        <v>0</v>
      </c>
      <c r="U76" cm="1">
        <f t="array" ref="U76">_xll.VALEUROUTPUT($A$923,_xlfn.CONCAT("THEME14=",$C76),SCENARIOS!$A$2,SCENARIOS!$B$2,U$1)</f>
        <v>0</v>
      </c>
      <c r="V76" cm="1">
        <f t="array" ref="V76">_xll.VALEUROUTPUT($A$923,_xlfn.CONCAT("THEME14=",$C76),SCENARIOS!$A$2,SCENARIOS!$B$2,V$1)</f>
        <v>0</v>
      </c>
      <c r="W76" cm="1">
        <f t="array" ref="W76">_xll.VALEUROUTPUT($A$923,_xlfn.CONCAT("THEME14=",$C76),SCENARIOS!$A$2,SCENARIOS!$B$2,W$1)</f>
        <v>0</v>
      </c>
      <c r="X76" cm="1">
        <f t="array" ref="X76">_xll.VALEUROUTPUT($A$923,_xlfn.CONCAT("THEME14=",$C76),SCENARIOS!$A$2,SCENARIOS!$B$2,X$1)</f>
        <v>0</v>
      </c>
      <c r="Y76" cm="1">
        <f t="array" ref="Y76">_xll.VALEUROUTPUT($A$923,_xlfn.CONCAT("THEME14=",$C76),SCENARIOS!$A$2,SCENARIOS!$B$2,Y$1)</f>
        <v>0</v>
      </c>
      <c r="Z76" cm="1">
        <f t="array" ref="Z76">_xll.VALEUROUTPUT($A$923,_xlfn.CONCAT("THEME14=",$C76),SCENARIOS!$A$2,SCENARIOS!$B$2,Z$1)</f>
        <v>0</v>
      </c>
      <c r="AA76" cm="1">
        <f t="array" ref="AA76">_xll.VALEUROUTPUT($A$923,_xlfn.CONCAT("THEME14=",$C76),SCENARIOS!$A$2,SCENARIOS!$B$2,AA$1)</f>
        <v>0</v>
      </c>
      <c r="AB76" cm="1">
        <f t="array" ref="AB76">_xll.VALEUROUTPUT($A$923,_xlfn.CONCAT("THEME14=",$C76),SCENARIOS!$A$2,SCENARIOS!$B$2,AB$1)</f>
        <v>0</v>
      </c>
      <c r="AC76" cm="1">
        <f t="array" ref="AC76">_xll.VALEUROUTPUT($A$923,_xlfn.CONCAT("THEME14=",$C76),SCENARIOS!$A$2,SCENARIOS!$B$2,AC$1)</f>
        <v>0</v>
      </c>
      <c r="AD76" cm="1">
        <f t="array" ref="AD76">_xll.VALEUROUTPUT($A$923,_xlfn.CONCAT("THEME14=",$C76),SCENARIOS!$A$2,SCENARIOS!$B$2,AD$1)</f>
        <v>0</v>
      </c>
      <c r="AE76" cm="1">
        <f t="array" ref="AE76">_xll.VALEUROUTPUT($A$923,_xlfn.CONCAT("THEME14=",$C76),SCENARIOS!$A$2,SCENARIOS!$B$2,AE$1)</f>
        <v>0</v>
      </c>
      <c r="AF76" cm="1">
        <f t="array" ref="AF76">_xll.VALEUROUTPUT($A$923,_xlfn.CONCAT("THEME14=",$C76),SCENARIOS!$A$2,SCENARIOS!$B$2,AF$1)</f>
        <v>0</v>
      </c>
    </row>
    <row r="77" spans="1:32" x14ac:dyDescent="0.25">
      <c r="A77" t="str">
        <v>OCOUTPRODPLANTS</v>
      </c>
      <c r="D77" cm="1">
        <f t="array" ref="D77">_xll.VALEUROUTPUT($A$923,_xlfn.CONCAT("THEME14=",$C77),SCENARIOS!$A$2,SCENARIOS!$B$2,D$1)</f>
        <v>0</v>
      </c>
      <c r="E77" cm="1">
        <f t="array" ref="E77">_xll.VALEUROUTPUT($A$923,_xlfn.CONCAT("THEME14=",$C77),SCENARIOS!$A$2,SCENARIOS!$B$2,E$1)</f>
        <v>0</v>
      </c>
      <c r="F77" cm="1">
        <f t="array" ref="F77">_xll.VALEUROUTPUT($A$923,_xlfn.CONCAT("THEME14=",$C77),SCENARIOS!$A$2,SCENARIOS!$B$2,F$1)</f>
        <v>0</v>
      </c>
      <c r="G77" cm="1">
        <f t="array" ref="G77">_xll.VALEUROUTPUT($A$923,_xlfn.CONCAT("THEME14=",$C77),SCENARIOS!$A$2,SCENARIOS!$B$2,G$1)</f>
        <v>0</v>
      </c>
      <c r="H77" cm="1">
        <f t="array" ref="H77">_xll.VALEUROUTPUT($A$923,_xlfn.CONCAT("THEME14=",$C77),SCENARIOS!$A$2,SCENARIOS!$B$2,H$1)</f>
        <v>0</v>
      </c>
      <c r="I77" cm="1">
        <f t="array" ref="I77">_xll.VALEUROUTPUT($A$923,_xlfn.CONCAT("THEME14=",$C77),SCENARIOS!$A$2,SCENARIOS!$B$2,I$1)</f>
        <v>0</v>
      </c>
      <c r="J77" cm="1">
        <f t="array" ref="J77">_xll.VALEUROUTPUT($A$923,_xlfn.CONCAT("THEME14=",$C77),SCENARIOS!$A$2,SCENARIOS!$B$2,J$1)</f>
        <v>0</v>
      </c>
      <c r="K77" cm="1">
        <f t="array" ref="K77">_xll.VALEUROUTPUT($A$923,_xlfn.CONCAT("THEME14=",$C77),SCENARIOS!$A$2,SCENARIOS!$B$2,K$1)</f>
        <v>0</v>
      </c>
      <c r="L77" cm="1">
        <f t="array" ref="L77">_xll.VALEUROUTPUT($A$923,_xlfn.CONCAT("THEME14=",$C77),SCENARIOS!$A$2,SCENARIOS!$B$2,L$1)</f>
        <v>0</v>
      </c>
      <c r="M77" cm="1">
        <f t="array" ref="M77">_xll.VALEUROUTPUT($A$923,_xlfn.CONCAT("THEME14=",$C77),SCENARIOS!$A$2,SCENARIOS!$B$2,M$1)</f>
        <v>0</v>
      </c>
      <c r="N77" cm="1">
        <f t="array" ref="N77">_xll.VALEUROUTPUT($A$923,_xlfn.CONCAT("THEME14=",$C77),SCENARIOS!$A$2,SCENARIOS!$B$2,N$1)</f>
        <v>0</v>
      </c>
      <c r="O77" cm="1">
        <f t="array" ref="O77">_xll.VALEUROUTPUT($A$923,_xlfn.CONCAT("THEME14=",$C77),SCENARIOS!$A$2,SCENARIOS!$B$2,O$1)</f>
        <v>0</v>
      </c>
      <c r="P77" cm="1">
        <f t="array" ref="P77">_xll.VALEUROUTPUT($A$923,_xlfn.CONCAT("THEME14=",$C77),SCENARIOS!$A$2,SCENARIOS!$B$2,P$1)</f>
        <v>0</v>
      </c>
      <c r="Q77" cm="1">
        <f t="array" ref="Q77">_xll.VALEUROUTPUT($A$923,_xlfn.CONCAT("THEME14=",$C77),SCENARIOS!$A$2,SCENARIOS!$B$2,Q$1)</f>
        <v>0</v>
      </c>
      <c r="R77" cm="1">
        <f t="array" ref="R77">_xll.VALEUROUTPUT($A$923,_xlfn.CONCAT("THEME14=",$C77),SCENARIOS!$A$2,SCENARIOS!$B$2,R$1)</f>
        <v>0</v>
      </c>
      <c r="S77" cm="1">
        <f t="array" ref="S77">_xll.VALEUROUTPUT($A$923,_xlfn.CONCAT("THEME14=",$C77),SCENARIOS!$A$2,SCENARIOS!$B$2,S$1)</f>
        <v>0</v>
      </c>
      <c r="T77" cm="1">
        <f t="array" ref="T77">_xll.VALEUROUTPUT($A$923,_xlfn.CONCAT("THEME14=",$C77),SCENARIOS!$A$2,SCENARIOS!$B$2,T$1)</f>
        <v>0</v>
      </c>
      <c r="U77" cm="1">
        <f t="array" ref="U77">_xll.VALEUROUTPUT($A$923,_xlfn.CONCAT("THEME14=",$C77),SCENARIOS!$A$2,SCENARIOS!$B$2,U$1)</f>
        <v>0</v>
      </c>
      <c r="V77" cm="1">
        <f t="array" ref="V77">_xll.VALEUROUTPUT($A$923,_xlfn.CONCAT("THEME14=",$C77),SCENARIOS!$A$2,SCENARIOS!$B$2,V$1)</f>
        <v>0</v>
      </c>
      <c r="W77" cm="1">
        <f t="array" ref="W77">_xll.VALEUROUTPUT($A$923,_xlfn.CONCAT("THEME14=",$C77),SCENARIOS!$A$2,SCENARIOS!$B$2,W$1)</f>
        <v>0</v>
      </c>
      <c r="X77" cm="1">
        <f t="array" ref="X77">_xll.VALEUROUTPUT($A$923,_xlfn.CONCAT("THEME14=",$C77),SCENARIOS!$A$2,SCENARIOS!$B$2,X$1)</f>
        <v>0</v>
      </c>
      <c r="Y77" cm="1">
        <f t="array" ref="Y77">_xll.VALEUROUTPUT($A$923,_xlfn.CONCAT("THEME14=",$C77),SCENARIOS!$A$2,SCENARIOS!$B$2,Y$1)</f>
        <v>0</v>
      </c>
      <c r="Z77" cm="1">
        <f t="array" ref="Z77">_xll.VALEUROUTPUT($A$923,_xlfn.CONCAT("THEME14=",$C77),SCENARIOS!$A$2,SCENARIOS!$B$2,Z$1)</f>
        <v>0</v>
      </c>
      <c r="AA77" cm="1">
        <f t="array" ref="AA77">_xll.VALEUROUTPUT($A$923,_xlfn.CONCAT("THEME14=",$C77),SCENARIOS!$A$2,SCENARIOS!$B$2,AA$1)</f>
        <v>0</v>
      </c>
      <c r="AB77" cm="1">
        <f t="array" ref="AB77">_xll.VALEUROUTPUT($A$923,_xlfn.CONCAT("THEME14=",$C77),SCENARIOS!$A$2,SCENARIOS!$B$2,AB$1)</f>
        <v>0</v>
      </c>
      <c r="AC77" cm="1">
        <f t="array" ref="AC77">_xll.VALEUROUTPUT($A$923,_xlfn.CONCAT("THEME14=",$C77),SCENARIOS!$A$2,SCENARIOS!$B$2,AC$1)</f>
        <v>0</v>
      </c>
      <c r="AD77" cm="1">
        <f t="array" ref="AD77">_xll.VALEUROUTPUT($A$923,_xlfn.CONCAT("THEME14=",$C77),SCENARIOS!$A$2,SCENARIOS!$B$2,AD$1)</f>
        <v>0</v>
      </c>
      <c r="AE77" cm="1">
        <f t="array" ref="AE77">_xll.VALEUROUTPUT($A$923,_xlfn.CONCAT("THEME14=",$C77),SCENARIOS!$A$2,SCENARIOS!$B$2,AE$1)</f>
        <v>0</v>
      </c>
      <c r="AF77" cm="1">
        <f t="array" ref="AF77">_xll.VALEUROUTPUT($A$923,_xlfn.CONCAT("THEME14=",$C77),SCENARIOS!$A$2,SCENARIOS!$B$2,AF$1)</f>
        <v>0</v>
      </c>
    </row>
    <row r="78" spans="1:32" x14ac:dyDescent="0.25">
      <c r="A78" t="str">
        <v>OCOUTTRANSPLANTS</v>
      </c>
      <c r="D78" cm="1">
        <f t="array" ref="D78">_xll.VALEUROUTPUT($A$923,_xlfn.CONCAT("THEME14=",$C78),SCENARIOS!$A$2,SCENARIOS!$B$2,D$1)</f>
        <v>0</v>
      </c>
      <c r="E78" cm="1">
        <f t="array" ref="E78">_xll.VALEUROUTPUT($A$923,_xlfn.CONCAT("THEME14=",$C78),SCENARIOS!$A$2,SCENARIOS!$B$2,E$1)</f>
        <v>0</v>
      </c>
      <c r="F78" cm="1">
        <f t="array" ref="F78">_xll.VALEUROUTPUT($A$923,_xlfn.CONCAT("THEME14=",$C78),SCENARIOS!$A$2,SCENARIOS!$B$2,F$1)</f>
        <v>0</v>
      </c>
      <c r="G78" cm="1">
        <f t="array" ref="G78">_xll.VALEUROUTPUT($A$923,_xlfn.CONCAT("THEME14=",$C78),SCENARIOS!$A$2,SCENARIOS!$B$2,G$1)</f>
        <v>0</v>
      </c>
      <c r="H78" cm="1">
        <f t="array" ref="H78">_xll.VALEUROUTPUT($A$923,_xlfn.CONCAT("THEME14=",$C78),SCENARIOS!$A$2,SCENARIOS!$B$2,H$1)</f>
        <v>0</v>
      </c>
      <c r="I78" cm="1">
        <f t="array" ref="I78">_xll.VALEUROUTPUT($A$923,_xlfn.CONCAT("THEME14=",$C78),SCENARIOS!$A$2,SCENARIOS!$B$2,I$1)</f>
        <v>0</v>
      </c>
      <c r="J78" cm="1">
        <f t="array" ref="J78">_xll.VALEUROUTPUT($A$923,_xlfn.CONCAT("THEME14=",$C78),SCENARIOS!$A$2,SCENARIOS!$B$2,J$1)</f>
        <v>0</v>
      </c>
      <c r="K78" cm="1">
        <f t="array" ref="K78">_xll.VALEUROUTPUT($A$923,_xlfn.CONCAT("THEME14=",$C78),SCENARIOS!$A$2,SCENARIOS!$B$2,K$1)</f>
        <v>0</v>
      </c>
      <c r="L78" cm="1">
        <f t="array" ref="L78">_xll.VALEUROUTPUT($A$923,_xlfn.CONCAT("THEME14=",$C78),SCENARIOS!$A$2,SCENARIOS!$B$2,L$1)</f>
        <v>0</v>
      </c>
      <c r="M78" cm="1">
        <f t="array" ref="M78">_xll.VALEUROUTPUT($A$923,_xlfn.CONCAT("THEME14=",$C78),SCENARIOS!$A$2,SCENARIOS!$B$2,M$1)</f>
        <v>0</v>
      </c>
      <c r="N78" cm="1">
        <f t="array" ref="N78">_xll.VALEUROUTPUT($A$923,_xlfn.CONCAT("THEME14=",$C78),SCENARIOS!$A$2,SCENARIOS!$B$2,N$1)</f>
        <v>0</v>
      </c>
      <c r="O78" cm="1">
        <f t="array" ref="O78">_xll.VALEUROUTPUT($A$923,_xlfn.CONCAT("THEME14=",$C78),SCENARIOS!$A$2,SCENARIOS!$B$2,O$1)</f>
        <v>0</v>
      </c>
      <c r="P78" cm="1">
        <f t="array" ref="P78">_xll.VALEUROUTPUT($A$923,_xlfn.CONCAT("THEME14=",$C78),SCENARIOS!$A$2,SCENARIOS!$B$2,P$1)</f>
        <v>0</v>
      </c>
      <c r="Q78" cm="1">
        <f t="array" ref="Q78">_xll.VALEUROUTPUT($A$923,_xlfn.CONCAT("THEME14=",$C78),SCENARIOS!$A$2,SCENARIOS!$B$2,Q$1)</f>
        <v>0</v>
      </c>
      <c r="R78" cm="1">
        <f t="array" ref="R78">_xll.VALEUROUTPUT($A$923,_xlfn.CONCAT("THEME14=",$C78),SCENARIOS!$A$2,SCENARIOS!$B$2,R$1)</f>
        <v>0</v>
      </c>
      <c r="S78" cm="1">
        <f t="array" ref="S78">_xll.VALEUROUTPUT($A$923,_xlfn.CONCAT("THEME14=",$C78),SCENARIOS!$A$2,SCENARIOS!$B$2,S$1)</f>
        <v>0</v>
      </c>
      <c r="T78" cm="1">
        <f t="array" ref="T78">_xll.VALEUROUTPUT($A$923,_xlfn.CONCAT("THEME14=",$C78),SCENARIOS!$A$2,SCENARIOS!$B$2,T$1)</f>
        <v>0</v>
      </c>
      <c r="U78" cm="1">
        <f t="array" ref="U78">_xll.VALEUROUTPUT($A$923,_xlfn.CONCAT("THEME14=",$C78),SCENARIOS!$A$2,SCENARIOS!$B$2,U$1)</f>
        <v>0</v>
      </c>
      <c r="V78" cm="1">
        <f t="array" ref="V78">_xll.VALEUROUTPUT($A$923,_xlfn.CONCAT("THEME14=",$C78),SCENARIOS!$A$2,SCENARIOS!$B$2,V$1)</f>
        <v>0</v>
      </c>
      <c r="W78" cm="1">
        <f t="array" ref="W78">_xll.VALEUROUTPUT($A$923,_xlfn.CONCAT("THEME14=",$C78),SCENARIOS!$A$2,SCENARIOS!$B$2,W$1)</f>
        <v>0</v>
      </c>
      <c r="X78" cm="1">
        <f t="array" ref="X78">_xll.VALEUROUTPUT($A$923,_xlfn.CONCAT("THEME14=",$C78),SCENARIOS!$A$2,SCENARIOS!$B$2,X$1)</f>
        <v>0</v>
      </c>
      <c r="Y78" cm="1">
        <f t="array" ref="Y78">_xll.VALEUROUTPUT($A$923,_xlfn.CONCAT("THEME14=",$C78),SCENARIOS!$A$2,SCENARIOS!$B$2,Y$1)</f>
        <v>0</v>
      </c>
      <c r="Z78" cm="1">
        <f t="array" ref="Z78">_xll.VALEUROUTPUT($A$923,_xlfn.CONCAT("THEME14=",$C78),SCENARIOS!$A$2,SCENARIOS!$B$2,Z$1)</f>
        <v>0</v>
      </c>
      <c r="AA78" cm="1">
        <f t="array" ref="AA78">_xll.VALEUROUTPUT($A$923,_xlfn.CONCAT("THEME14=",$C78),SCENARIOS!$A$2,SCENARIOS!$B$2,AA$1)</f>
        <v>0</v>
      </c>
      <c r="AB78" cm="1">
        <f t="array" ref="AB78">_xll.VALEUROUTPUT($A$923,_xlfn.CONCAT("THEME14=",$C78),SCENARIOS!$A$2,SCENARIOS!$B$2,AB$1)</f>
        <v>0</v>
      </c>
      <c r="AC78" cm="1">
        <f t="array" ref="AC78">_xll.VALEUROUTPUT($A$923,_xlfn.CONCAT("THEME14=",$C78),SCENARIOS!$A$2,SCENARIOS!$B$2,AC$1)</f>
        <v>0</v>
      </c>
      <c r="AD78" cm="1">
        <f t="array" ref="AD78">_xll.VALEUROUTPUT($A$923,_xlfn.CONCAT("THEME14=",$C78),SCENARIOS!$A$2,SCENARIOS!$B$2,AD$1)</f>
        <v>0</v>
      </c>
      <c r="AE78" cm="1">
        <f t="array" ref="AE78">_xll.VALEUROUTPUT($A$923,_xlfn.CONCAT("THEME14=",$C78),SCENARIOS!$A$2,SCENARIOS!$B$2,AE$1)</f>
        <v>0</v>
      </c>
      <c r="AF78" cm="1">
        <f t="array" ref="AF78">_xll.VALEUROUTPUT($A$923,_xlfn.CONCAT("THEME14=",$C78),SCENARIOS!$A$2,SCENARIOS!$B$2,AF$1)</f>
        <v>0</v>
      </c>
    </row>
    <row r="79" spans="1:32" x14ac:dyDescent="0.25">
      <c r="A79" t="str">
        <v>O$INVESTISTS</v>
      </c>
      <c r="D79" cm="1">
        <f t="array" ref="D79">_xll.VALEUROUTPUT($A$923,_xlfn.CONCAT("THEME14=",$C79),SCENARIOS!$A$2,SCENARIOS!$B$2,D$1)</f>
        <v>0</v>
      </c>
      <c r="E79" cm="1">
        <f t="array" ref="E79">_xll.VALEUROUTPUT($A$923,_xlfn.CONCAT("THEME14=",$C79),SCENARIOS!$A$2,SCENARIOS!$B$2,E$1)</f>
        <v>0</v>
      </c>
      <c r="F79" cm="1">
        <f t="array" ref="F79">_xll.VALEUROUTPUT($A$923,_xlfn.CONCAT("THEME14=",$C79),SCENARIOS!$A$2,SCENARIOS!$B$2,F$1)</f>
        <v>0</v>
      </c>
      <c r="G79" cm="1">
        <f t="array" ref="G79">_xll.VALEUROUTPUT($A$923,_xlfn.CONCAT("THEME14=",$C79),SCENARIOS!$A$2,SCENARIOS!$B$2,G$1)</f>
        <v>0</v>
      </c>
      <c r="H79" cm="1">
        <f t="array" ref="H79">_xll.VALEUROUTPUT($A$923,_xlfn.CONCAT("THEME14=",$C79),SCENARIOS!$A$2,SCENARIOS!$B$2,H$1)</f>
        <v>0</v>
      </c>
      <c r="I79" cm="1">
        <f t="array" ref="I79">_xll.VALEUROUTPUT($A$923,_xlfn.CONCAT("THEME14=",$C79),SCENARIOS!$A$2,SCENARIOS!$B$2,I$1)</f>
        <v>0</v>
      </c>
      <c r="J79" cm="1">
        <f t="array" ref="J79">_xll.VALEUROUTPUT($A$923,_xlfn.CONCAT("THEME14=",$C79),SCENARIOS!$A$2,SCENARIOS!$B$2,J$1)</f>
        <v>0</v>
      </c>
      <c r="K79" cm="1">
        <f t="array" ref="K79">_xll.VALEUROUTPUT($A$923,_xlfn.CONCAT("THEME14=",$C79),SCENARIOS!$A$2,SCENARIOS!$B$2,K$1)</f>
        <v>0</v>
      </c>
      <c r="L79" cm="1">
        <f t="array" ref="L79">_xll.VALEUROUTPUT($A$923,_xlfn.CONCAT("THEME14=",$C79),SCENARIOS!$A$2,SCENARIOS!$B$2,L$1)</f>
        <v>0</v>
      </c>
      <c r="M79" cm="1">
        <f t="array" ref="M79">_xll.VALEUROUTPUT($A$923,_xlfn.CONCAT("THEME14=",$C79),SCENARIOS!$A$2,SCENARIOS!$B$2,M$1)</f>
        <v>0</v>
      </c>
      <c r="N79" cm="1">
        <f t="array" ref="N79">_xll.VALEUROUTPUT($A$923,_xlfn.CONCAT("THEME14=",$C79),SCENARIOS!$A$2,SCENARIOS!$B$2,N$1)</f>
        <v>0</v>
      </c>
      <c r="O79" cm="1">
        <f t="array" ref="O79">_xll.VALEUROUTPUT($A$923,_xlfn.CONCAT("THEME14=",$C79),SCENARIOS!$A$2,SCENARIOS!$B$2,O$1)</f>
        <v>0</v>
      </c>
      <c r="P79" cm="1">
        <f t="array" ref="P79">_xll.VALEUROUTPUT($A$923,_xlfn.CONCAT("THEME14=",$C79),SCENARIOS!$A$2,SCENARIOS!$B$2,P$1)</f>
        <v>0</v>
      </c>
      <c r="Q79" cm="1">
        <f t="array" ref="Q79">_xll.VALEUROUTPUT($A$923,_xlfn.CONCAT("THEME14=",$C79),SCENARIOS!$A$2,SCENARIOS!$B$2,Q$1)</f>
        <v>0</v>
      </c>
      <c r="R79" cm="1">
        <f t="array" ref="R79">_xll.VALEUROUTPUT($A$923,_xlfn.CONCAT("THEME14=",$C79),SCENARIOS!$A$2,SCENARIOS!$B$2,R$1)</f>
        <v>0</v>
      </c>
      <c r="S79" cm="1">
        <f t="array" ref="S79">_xll.VALEUROUTPUT($A$923,_xlfn.CONCAT("THEME14=",$C79),SCENARIOS!$A$2,SCENARIOS!$B$2,S$1)</f>
        <v>0</v>
      </c>
      <c r="T79" cm="1">
        <f t="array" ref="T79">_xll.VALEUROUTPUT($A$923,_xlfn.CONCAT("THEME14=",$C79),SCENARIOS!$A$2,SCENARIOS!$B$2,T$1)</f>
        <v>0</v>
      </c>
      <c r="U79" cm="1">
        <f t="array" ref="U79">_xll.VALEUROUTPUT($A$923,_xlfn.CONCAT("THEME14=",$C79),SCENARIOS!$A$2,SCENARIOS!$B$2,U$1)</f>
        <v>0</v>
      </c>
      <c r="V79" cm="1">
        <f t="array" ref="V79">_xll.VALEUROUTPUT($A$923,_xlfn.CONCAT("THEME14=",$C79),SCENARIOS!$A$2,SCENARIOS!$B$2,V$1)</f>
        <v>0</v>
      </c>
      <c r="W79" cm="1">
        <f t="array" ref="W79">_xll.VALEUROUTPUT($A$923,_xlfn.CONCAT("THEME14=",$C79),SCENARIOS!$A$2,SCENARIOS!$B$2,W$1)</f>
        <v>0</v>
      </c>
      <c r="X79" cm="1">
        <f t="array" ref="X79">_xll.VALEUROUTPUT($A$923,_xlfn.CONCAT("THEME14=",$C79),SCENARIOS!$A$2,SCENARIOS!$B$2,X$1)</f>
        <v>0</v>
      </c>
      <c r="Y79" cm="1">
        <f t="array" ref="Y79">_xll.VALEUROUTPUT($A$923,_xlfn.CONCAT("THEME14=",$C79),SCENARIOS!$A$2,SCENARIOS!$B$2,Y$1)</f>
        <v>0</v>
      </c>
      <c r="Z79" cm="1">
        <f t="array" ref="Z79">_xll.VALEUROUTPUT($A$923,_xlfn.CONCAT("THEME14=",$C79),SCENARIOS!$A$2,SCENARIOS!$B$2,Z$1)</f>
        <v>0</v>
      </c>
      <c r="AA79" cm="1">
        <f t="array" ref="AA79">_xll.VALEUROUTPUT($A$923,_xlfn.CONCAT("THEME14=",$C79),SCENARIOS!$A$2,SCENARIOS!$B$2,AA$1)</f>
        <v>0</v>
      </c>
      <c r="AB79" cm="1">
        <f t="array" ref="AB79">_xll.VALEUROUTPUT($A$923,_xlfn.CONCAT("THEME14=",$C79),SCENARIOS!$A$2,SCENARIOS!$B$2,AB$1)</f>
        <v>0</v>
      </c>
      <c r="AC79" cm="1">
        <f t="array" ref="AC79">_xll.VALEUROUTPUT($A$923,_xlfn.CONCAT("THEME14=",$C79),SCENARIOS!$A$2,SCENARIOS!$B$2,AC$1)</f>
        <v>0</v>
      </c>
      <c r="AD79" cm="1">
        <f t="array" ref="AD79">_xll.VALEUROUTPUT($A$923,_xlfn.CONCAT("THEME14=",$C79),SCENARIOS!$A$2,SCENARIOS!$B$2,AD$1)</f>
        <v>0</v>
      </c>
      <c r="AE79" cm="1">
        <f t="array" ref="AE79">_xll.VALEUROUTPUT($A$923,_xlfn.CONCAT("THEME14=",$C79),SCENARIOS!$A$2,SCENARIOS!$B$2,AE$1)</f>
        <v>0</v>
      </c>
      <c r="AF79" cm="1">
        <f t="array" ref="AF79">_xll.VALEUROUTPUT($A$923,_xlfn.CONCAT("THEME14=",$C79),SCENARIOS!$A$2,SCENARIOS!$B$2,AF$1)</f>
        <v>0</v>
      </c>
    </row>
    <row r="80" spans="1:32" x14ac:dyDescent="0.25">
      <c r="A80" t="str">
        <v>OTAUXREGAPAR</v>
      </c>
      <c r="D80" cm="1">
        <f t="array" ref="D80">_xll.VALEUROUTPUT($A$923,_xlfn.CONCAT("THEME14=",$C80),SCENARIOS!$A$2,SCENARIOS!$B$2,D$1)</f>
        <v>0</v>
      </c>
      <c r="E80" cm="1">
        <f t="array" ref="E80">_xll.VALEUROUTPUT($A$923,_xlfn.CONCAT("THEME14=",$C80),SCENARIOS!$A$2,SCENARIOS!$B$2,E$1)</f>
        <v>0</v>
      </c>
      <c r="F80" cm="1">
        <f t="array" ref="F80">_xll.VALEUROUTPUT($A$923,_xlfn.CONCAT("THEME14=",$C80),SCENARIOS!$A$2,SCENARIOS!$B$2,F$1)</f>
        <v>0</v>
      </c>
      <c r="G80" cm="1">
        <f t="array" ref="G80">_xll.VALEUROUTPUT($A$923,_xlfn.CONCAT("THEME14=",$C80),SCENARIOS!$A$2,SCENARIOS!$B$2,G$1)</f>
        <v>0</v>
      </c>
      <c r="H80" cm="1">
        <f t="array" ref="H80">_xll.VALEUROUTPUT($A$923,_xlfn.CONCAT("THEME14=",$C80),SCENARIOS!$A$2,SCENARIOS!$B$2,H$1)</f>
        <v>0</v>
      </c>
      <c r="I80" cm="1">
        <f t="array" ref="I80">_xll.VALEUROUTPUT($A$923,_xlfn.CONCAT("THEME14=",$C80),SCENARIOS!$A$2,SCENARIOS!$B$2,I$1)</f>
        <v>0</v>
      </c>
      <c r="J80" cm="1">
        <f t="array" ref="J80">_xll.VALEUROUTPUT($A$923,_xlfn.CONCAT("THEME14=",$C80),SCENARIOS!$A$2,SCENARIOS!$B$2,J$1)</f>
        <v>0</v>
      </c>
      <c r="K80" cm="1">
        <f t="array" ref="K80">_xll.VALEUROUTPUT($A$923,_xlfn.CONCAT("THEME14=",$C80),SCENARIOS!$A$2,SCENARIOS!$B$2,K$1)</f>
        <v>0</v>
      </c>
      <c r="L80" cm="1">
        <f t="array" ref="L80">_xll.VALEUROUTPUT($A$923,_xlfn.CONCAT("THEME14=",$C80),SCENARIOS!$A$2,SCENARIOS!$B$2,L$1)</f>
        <v>0</v>
      </c>
      <c r="M80" cm="1">
        <f t="array" ref="M80">_xll.VALEUROUTPUT($A$923,_xlfn.CONCAT("THEME14=",$C80),SCENARIOS!$A$2,SCENARIOS!$B$2,M$1)</f>
        <v>0</v>
      </c>
      <c r="N80" cm="1">
        <f t="array" ref="N80">_xll.VALEUROUTPUT($A$923,_xlfn.CONCAT("THEME14=",$C80),SCENARIOS!$A$2,SCENARIOS!$B$2,N$1)</f>
        <v>0</v>
      </c>
      <c r="O80" cm="1">
        <f t="array" ref="O80">_xll.VALEUROUTPUT($A$923,_xlfn.CONCAT("THEME14=",$C80),SCENARIOS!$A$2,SCENARIOS!$B$2,O$1)</f>
        <v>0</v>
      </c>
      <c r="P80" cm="1">
        <f t="array" ref="P80">_xll.VALEUROUTPUT($A$923,_xlfn.CONCAT("THEME14=",$C80),SCENARIOS!$A$2,SCENARIOS!$B$2,P$1)</f>
        <v>0</v>
      </c>
      <c r="Q80" cm="1">
        <f t="array" ref="Q80">_xll.VALEUROUTPUT($A$923,_xlfn.CONCAT("THEME14=",$C80),SCENARIOS!$A$2,SCENARIOS!$B$2,Q$1)</f>
        <v>0</v>
      </c>
      <c r="R80" cm="1">
        <f t="array" ref="R80">_xll.VALEUROUTPUT($A$923,_xlfn.CONCAT("THEME14=",$C80),SCENARIOS!$A$2,SCENARIOS!$B$2,R$1)</f>
        <v>0</v>
      </c>
      <c r="S80" cm="1">
        <f t="array" ref="S80">_xll.VALEUROUTPUT($A$923,_xlfn.CONCAT("THEME14=",$C80),SCENARIOS!$A$2,SCENARIOS!$B$2,S$1)</f>
        <v>0</v>
      </c>
      <c r="T80" cm="1">
        <f t="array" ref="T80">_xll.VALEUROUTPUT($A$923,_xlfn.CONCAT("THEME14=",$C80),SCENARIOS!$A$2,SCENARIOS!$B$2,T$1)</f>
        <v>0</v>
      </c>
      <c r="U80" cm="1">
        <f t="array" ref="U80">_xll.VALEUROUTPUT($A$923,_xlfn.CONCAT("THEME14=",$C80),SCENARIOS!$A$2,SCENARIOS!$B$2,U$1)</f>
        <v>0</v>
      </c>
      <c r="V80" cm="1">
        <f t="array" ref="V80">_xll.VALEUROUTPUT($A$923,_xlfn.CONCAT("THEME14=",$C80),SCENARIOS!$A$2,SCENARIOS!$B$2,V$1)</f>
        <v>0</v>
      </c>
      <c r="W80" cm="1">
        <f t="array" ref="W80">_xll.VALEUROUTPUT($A$923,_xlfn.CONCAT("THEME14=",$C80),SCENARIOS!$A$2,SCENARIOS!$B$2,W$1)</f>
        <v>0</v>
      </c>
      <c r="X80" cm="1">
        <f t="array" ref="X80">_xll.VALEUROUTPUT($A$923,_xlfn.CONCAT("THEME14=",$C80),SCENARIOS!$A$2,SCENARIOS!$B$2,X$1)</f>
        <v>0</v>
      </c>
      <c r="Y80" cm="1">
        <f t="array" ref="Y80">_xll.VALEUROUTPUT($A$923,_xlfn.CONCAT("THEME14=",$C80),SCENARIOS!$A$2,SCENARIOS!$B$2,Y$1)</f>
        <v>0</v>
      </c>
      <c r="Z80" cm="1">
        <f t="array" ref="Z80">_xll.VALEUROUTPUT($A$923,_xlfn.CONCAT("THEME14=",$C80),SCENARIOS!$A$2,SCENARIOS!$B$2,Z$1)</f>
        <v>0</v>
      </c>
      <c r="AA80" cm="1">
        <f t="array" ref="AA80">_xll.VALEUROUTPUT($A$923,_xlfn.CONCAT("THEME14=",$C80),SCENARIOS!$A$2,SCENARIOS!$B$2,AA$1)</f>
        <v>0</v>
      </c>
      <c r="AB80" cm="1">
        <f t="array" ref="AB80">_xll.VALEUROUTPUT($A$923,_xlfn.CONCAT("THEME14=",$C80),SCENARIOS!$A$2,SCENARIOS!$B$2,AB$1)</f>
        <v>0</v>
      </c>
      <c r="AC80" cm="1">
        <f t="array" ref="AC80">_xll.VALEUROUTPUT($A$923,_xlfn.CONCAT("THEME14=",$C80),SCENARIOS!$A$2,SCENARIOS!$B$2,AC$1)</f>
        <v>0</v>
      </c>
      <c r="AD80" cm="1">
        <f t="array" ref="AD80">_xll.VALEUROUTPUT($A$923,_xlfn.CONCAT("THEME14=",$C80),SCENARIOS!$A$2,SCENARIOS!$B$2,AD$1)</f>
        <v>0</v>
      </c>
      <c r="AE80" cm="1">
        <f t="array" ref="AE80">_xll.VALEUROUTPUT($A$923,_xlfn.CONCAT("THEME14=",$C80),SCENARIOS!$A$2,SCENARIOS!$B$2,AE$1)</f>
        <v>0</v>
      </c>
      <c r="AF80" cm="1">
        <f t="array" ref="AF80">_xll.VALEUROUTPUT($A$923,_xlfn.CONCAT("THEME14=",$C80),SCENARIOS!$A$2,SCENARIOS!$B$2,AF$1)</f>
        <v>0</v>
      </c>
    </row>
    <row r="81" spans="1:32" x14ac:dyDescent="0.25">
      <c r="A81" t="str">
        <v>OTAUXREGAEDU</v>
      </c>
      <c r="D81" cm="1">
        <f t="array" ref="D81">_xll.VALEUROUTPUT($A$923,_xlfn.CONCAT("THEME14=",$C81),SCENARIOS!$A$2,SCENARIOS!$B$2,D$1)</f>
        <v>0</v>
      </c>
      <c r="E81" cm="1">
        <f t="array" ref="E81">_xll.VALEUROUTPUT($A$923,_xlfn.CONCAT("THEME14=",$C81),SCENARIOS!$A$2,SCENARIOS!$B$2,E$1)</f>
        <v>0</v>
      </c>
      <c r="F81" cm="1">
        <f t="array" ref="F81">_xll.VALEUROUTPUT($A$923,_xlfn.CONCAT("THEME14=",$C81),SCENARIOS!$A$2,SCENARIOS!$B$2,F$1)</f>
        <v>0</v>
      </c>
      <c r="G81" cm="1">
        <f t="array" ref="G81">_xll.VALEUROUTPUT($A$923,_xlfn.CONCAT("THEME14=",$C81),SCENARIOS!$A$2,SCENARIOS!$B$2,G$1)</f>
        <v>0</v>
      </c>
      <c r="H81" cm="1">
        <f t="array" ref="H81">_xll.VALEUROUTPUT($A$923,_xlfn.CONCAT("THEME14=",$C81),SCENARIOS!$A$2,SCENARIOS!$B$2,H$1)</f>
        <v>0</v>
      </c>
      <c r="I81" cm="1">
        <f t="array" ref="I81">_xll.VALEUROUTPUT($A$923,_xlfn.CONCAT("THEME14=",$C81),SCENARIOS!$A$2,SCENARIOS!$B$2,I$1)</f>
        <v>0</v>
      </c>
      <c r="J81" cm="1">
        <f t="array" ref="J81">_xll.VALEUROUTPUT($A$923,_xlfn.CONCAT("THEME14=",$C81),SCENARIOS!$A$2,SCENARIOS!$B$2,J$1)</f>
        <v>0</v>
      </c>
      <c r="K81" cm="1">
        <f t="array" ref="K81">_xll.VALEUROUTPUT($A$923,_xlfn.CONCAT("THEME14=",$C81),SCENARIOS!$A$2,SCENARIOS!$B$2,K$1)</f>
        <v>0</v>
      </c>
      <c r="L81" cm="1">
        <f t="array" ref="L81">_xll.VALEUROUTPUT($A$923,_xlfn.CONCAT("THEME14=",$C81),SCENARIOS!$A$2,SCENARIOS!$B$2,L$1)</f>
        <v>0</v>
      </c>
      <c r="M81" cm="1">
        <f t="array" ref="M81">_xll.VALEUROUTPUT($A$923,_xlfn.CONCAT("THEME14=",$C81),SCENARIOS!$A$2,SCENARIOS!$B$2,M$1)</f>
        <v>0</v>
      </c>
      <c r="N81" cm="1">
        <f t="array" ref="N81">_xll.VALEUROUTPUT($A$923,_xlfn.CONCAT("THEME14=",$C81),SCENARIOS!$A$2,SCENARIOS!$B$2,N$1)</f>
        <v>0</v>
      </c>
      <c r="O81" cm="1">
        <f t="array" ref="O81">_xll.VALEUROUTPUT($A$923,_xlfn.CONCAT("THEME14=",$C81),SCENARIOS!$A$2,SCENARIOS!$B$2,O$1)</f>
        <v>0</v>
      </c>
      <c r="P81" cm="1">
        <f t="array" ref="P81">_xll.VALEUROUTPUT($A$923,_xlfn.CONCAT("THEME14=",$C81),SCENARIOS!$A$2,SCENARIOS!$B$2,P$1)</f>
        <v>0</v>
      </c>
      <c r="Q81" cm="1">
        <f t="array" ref="Q81">_xll.VALEUROUTPUT($A$923,_xlfn.CONCAT("THEME14=",$C81),SCENARIOS!$A$2,SCENARIOS!$B$2,Q$1)</f>
        <v>0</v>
      </c>
      <c r="R81" cm="1">
        <f t="array" ref="R81">_xll.VALEUROUTPUT($A$923,_xlfn.CONCAT("THEME14=",$C81),SCENARIOS!$A$2,SCENARIOS!$B$2,R$1)</f>
        <v>0</v>
      </c>
      <c r="S81" cm="1">
        <f t="array" ref="S81">_xll.VALEUROUTPUT($A$923,_xlfn.CONCAT("THEME14=",$C81),SCENARIOS!$A$2,SCENARIOS!$B$2,S$1)</f>
        <v>0</v>
      </c>
      <c r="T81" cm="1">
        <f t="array" ref="T81">_xll.VALEUROUTPUT($A$923,_xlfn.CONCAT("THEME14=",$C81),SCENARIOS!$A$2,SCENARIOS!$B$2,T$1)</f>
        <v>0</v>
      </c>
      <c r="U81" cm="1">
        <f t="array" ref="U81">_xll.VALEUROUTPUT($A$923,_xlfn.CONCAT("THEME14=",$C81),SCENARIOS!$A$2,SCENARIOS!$B$2,U$1)</f>
        <v>0</v>
      </c>
      <c r="V81" cm="1">
        <f t="array" ref="V81">_xll.VALEUROUTPUT($A$923,_xlfn.CONCAT("THEME14=",$C81),SCENARIOS!$A$2,SCENARIOS!$B$2,V$1)</f>
        <v>0</v>
      </c>
      <c r="W81" cm="1">
        <f t="array" ref="W81">_xll.VALEUROUTPUT($A$923,_xlfn.CONCAT("THEME14=",$C81),SCENARIOS!$A$2,SCENARIOS!$B$2,W$1)</f>
        <v>0</v>
      </c>
      <c r="X81" cm="1">
        <f t="array" ref="X81">_xll.VALEUROUTPUT($A$923,_xlfn.CONCAT("THEME14=",$C81),SCENARIOS!$A$2,SCENARIOS!$B$2,X$1)</f>
        <v>0</v>
      </c>
      <c r="Y81" cm="1">
        <f t="array" ref="Y81">_xll.VALEUROUTPUT($A$923,_xlfn.CONCAT("THEME14=",$C81),SCENARIOS!$A$2,SCENARIOS!$B$2,Y$1)</f>
        <v>0</v>
      </c>
      <c r="Z81" cm="1">
        <f t="array" ref="Z81">_xll.VALEUROUTPUT($A$923,_xlfn.CONCAT("THEME14=",$C81),SCENARIOS!$A$2,SCENARIOS!$B$2,Z$1)</f>
        <v>0</v>
      </c>
      <c r="AA81" cm="1">
        <f t="array" ref="AA81">_xll.VALEUROUTPUT($A$923,_xlfn.CONCAT("THEME14=",$C81),SCENARIOS!$A$2,SCENARIOS!$B$2,AA$1)</f>
        <v>0</v>
      </c>
      <c r="AB81" cm="1">
        <f t="array" ref="AB81">_xll.VALEUROUTPUT($A$923,_xlfn.CONCAT("THEME14=",$C81),SCENARIOS!$A$2,SCENARIOS!$B$2,AB$1)</f>
        <v>0</v>
      </c>
      <c r="AC81" cm="1">
        <f t="array" ref="AC81">_xll.VALEUROUTPUT($A$923,_xlfn.CONCAT("THEME14=",$C81),SCENARIOS!$A$2,SCENARIOS!$B$2,AC$1)</f>
        <v>0</v>
      </c>
      <c r="AD81" cm="1">
        <f t="array" ref="AD81">_xll.VALEUROUTPUT($A$923,_xlfn.CONCAT("THEME14=",$C81),SCENARIOS!$A$2,SCENARIOS!$B$2,AD$1)</f>
        <v>0</v>
      </c>
      <c r="AE81" cm="1">
        <f t="array" ref="AE81">_xll.VALEUROUTPUT($A$923,_xlfn.CONCAT("THEME14=",$C81),SCENARIOS!$A$2,SCENARIOS!$B$2,AE$1)</f>
        <v>0</v>
      </c>
      <c r="AF81" cm="1">
        <f t="array" ref="AF81">_xll.VALEUROUTPUT($A$923,_xlfn.CONCAT("THEME14=",$C81),SCENARIOS!$A$2,SCENARIOS!$B$2,AF$1)</f>
        <v>0</v>
      </c>
    </row>
    <row r="82" spans="1:32" x14ac:dyDescent="0.25">
      <c r="A82" t="str">
        <v>OTAUXREGAFIN</v>
      </c>
      <c r="D82" cm="1">
        <f t="array" ref="D82">_xll.VALEUROUTPUT($A$923,_xlfn.CONCAT("THEME14=",$C82),SCENARIOS!$A$2,SCENARIOS!$B$2,D$1)</f>
        <v>0</v>
      </c>
      <c r="E82" cm="1">
        <f t="array" ref="E82">_xll.VALEUROUTPUT($A$923,_xlfn.CONCAT("THEME14=",$C82),SCENARIOS!$A$2,SCENARIOS!$B$2,E$1)</f>
        <v>0</v>
      </c>
      <c r="F82" cm="1">
        <f t="array" ref="F82">_xll.VALEUROUTPUT($A$923,_xlfn.CONCAT("THEME14=",$C82),SCENARIOS!$A$2,SCENARIOS!$B$2,F$1)</f>
        <v>0</v>
      </c>
      <c r="G82" cm="1">
        <f t="array" ref="G82">_xll.VALEUROUTPUT($A$923,_xlfn.CONCAT("THEME14=",$C82),SCENARIOS!$A$2,SCENARIOS!$B$2,G$1)</f>
        <v>0</v>
      </c>
      <c r="H82" cm="1">
        <f t="array" ref="H82">_xll.VALEUROUTPUT($A$923,_xlfn.CONCAT("THEME14=",$C82),SCENARIOS!$A$2,SCENARIOS!$B$2,H$1)</f>
        <v>0</v>
      </c>
      <c r="I82" cm="1">
        <f t="array" ref="I82">_xll.VALEUROUTPUT($A$923,_xlfn.CONCAT("THEME14=",$C82),SCENARIOS!$A$2,SCENARIOS!$B$2,I$1)</f>
        <v>0</v>
      </c>
      <c r="J82" cm="1">
        <f t="array" ref="J82">_xll.VALEUROUTPUT($A$923,_xlfn.CONCAT("THEME14=",$C82),SCENARIOS!$A$2,SCENARIOS!$B$2,J$1)</f>
        <v>0</v>
      </c>
      <c r="K82" cm="1">
        <f t="array" ref="K82">_xll.VALEUROUTPUT($A$923,_xlfn.CONCAT("THEME14=",$C82),SCENARIOS!$A$2,SCENARIOS!$B$2,K$1)</f>
        <v>0</v>
      </c>
      <c r="L82" cm="1">
        <f t="array" ref="L82">_xll.VALEUROUTPUT($A$923,_xlfn.CONCAT("THEME14=",$C82),SCENARIOS!$A$2,SCENARIOS!$B$2,L$1)</f>
        <v>0</v>
      </c>
      <c r="M82" cm="1">
        <f t="array" ref="M82">_xll.VALEUROUTPUT($A$923,_xlfn.CONCAT("THEME14=",$C82),SCENARIOS!$A$2,SCENARIOS!$B$2,M$1)</f>
        <v>0</v>
      </c>
      <c r="N82" cm="1">
        <f t="array" ref="N82">_xll.VALEUROUTPUT($A$923,_xlfn.CONCAT("THEME14=",$C82),SCENARIOS!$A$2,SCENARIOS!$B$2,N$1)</f>
        <v>0</v>
      </c>
      <c r="O82" cm="1">
        <f t="array" ref="O82">_xll.VALEUROUTPUT($A$923,_xlfn.CONCAT("THEME14=",$C82),SCENARIOS!$A$2,SCENARIOS!$B$2,O$1)</f>
        <v>0</v>
      </c>
      <c r="P82" cm="1">
        <f t="array" ref="P82">_xll.VALEUROUTPUT($A$923,_xlfn.CONCAT("THEME14=",$C82),SCENARIOS!$A$2,SCENARIOS!$B$2,P$1)</f>
        <v>0</v>
      </c>
      <c r="Q82" cm="1">
        <f t="array" ref="Q82">_xll.VALEUROUTPUT($A$923,_xlfn.CONCAT("THEME14=",$C82),SCENARIOS!$A$2,SCENARIOS!$B$2,Q$1)</f>
        <v>0</v>
      </c>
      <c r="R82" cm="1">
        <f t="array" ref="R82">_xll.VALEUROUTPUT($A$923,_xlfn.CONCAT("THEME14=",$C82),SCENARIOS!$A$2,SCENARIOS!$B$2,R$1)</f>
        <v>0</v>
      </c>
      <c r="S82" cm="1">
        <f t="array" ref="S82">_xll.VALEUROUTPUT($A$923,_xlfn.CONCAT("THEME14=",$C82),SCENARIOS!$A$2,SCENARIOS!$B$2,S$1)</f>
        <v>0</v>
      </c>
      <c r="T82" cm="1">
        <f t="array" ref="T82">_xll.VALEUROUTPUT($A$923,_xlfn.CONCAT("THEME14=",$C82),SCENARIOS!$A$2,SCENARIOS!$B$2,T$1)</f>
        <v>0</v>
      </c>
      <c r="U82" cm="1">
        <f t="array" ref="U82">_xll.VALEUROUTPUT($A$923,_xlfn.CONCAT("THEME14=",$C82),SCENARIOS!$A$2,SCENARIOS!$B$2,U$1)</f>
        <v>0</v>
      </c>
      <c r="V82" cm="1">
        <f t="array" ref="V82">_xll.VALEUROUTPUT($A$923,_xlfn.CONCAT("THEME14=",$C82),SCENARIOS!$A$2,SCENARIOS!$B$2,V$1)</f>
        <v>0</v>
      </c>
      <c r="W82" cm="1">
        <f t="array" ref="W82">_xll.VALEUROUTPUT($A$923,_xlfn.CONCAT("THEME14=",$C82),SCENARIOS!$A$2,SCENARIOS!$B$2,W$1)</f>
        <v>0</v>
      </c>
      <c r="X82" cm="1">
        <f t="array" ref="X82">_xll.VALEUROUTPUT($A$923,_xlfn.CONCAT("THEME14=",$C82),SCENARIOS!$A$2,SCENARIOS!$B$2,X$1)</f>
        <v>0</v>
      </c>
      <c r="Y82" cm="1">
        <f t="array" ref="Y82">_xll.VALEUROUTPUT($A$923,_xlfn.CONCAT("THEME14=",$C82),SCENARIOS!$A$2,SCENARIOS!$B$2,Y$1)</f>
        <v>0</v>
      </c>
      <c r="Z82" cm="1">
        <f t="array" ref="Z82">_xll.VALEUROUTPUT($A$923,_xlfn.CONCAT("THEME14=",$C82),SCENARIOS!$A$2,SCENARIOS!$B$2,Z$1)</f>
        <v>0</v>
      </c>
      <c r="AA82" cm="1">
        <f t="array" ref="AA82">_xll.VALEUROUTPUT($A$923,_xlfn.CONCAT("THEME14=",$C82),SCENARIOS!$A$2,SCENARIOS!$B$2,AA$1)</f>
        <v>0</v>
      </c>
      <c r="AB82" cm="1">
        <f t="array" ref="AB82">_xll.VALEUROUTPUT($A$923,_xlfn.CONCAT("THEME14=",$C82),SCENARIOS!$A$2,SCENARIOS!$B$2,AB$1)</f>
        <v>0</v>
      </c>
      <c r="AC82" cm="1">
        <f t="array" ref="AC82">_xll.VALEUROUTPUT($A$923,_xlfn.CONCAT("THEME14=",$C82),SCENARIOS!$A$2,SCENARIOS!$B$2,AC$1)</f>
        <v>0</v>
      </c>
      <c r="AD82" cm="1">
        <f t="array" ref="AD82">_xll.VALEUROUTPUT($A$923,_xlfn.CONCAT("THEME14=",$C82),SCENARIOS!$A$2,SCENARIOS!$B$2,AD$1)</f>
        <v>0</v>
      </c>
      <c r="AE82" cm="1">
        <f t="array" ref="AE82">_xll.VALEUROUTPUT($A$923,_xlfn.CONCAT("THEME14=",$C82),SCENARIOS!$A$2,SCENARIOS!$B$2,AE$1)</f>
        <v>0</v>
      </c>
      <c r="AF82" cm="1">
        <f t="array" ref="AF82">_xll.VALEUROUTPUT($A$923,_xlfn.CONCAT("THEME14=",$C82),SCENARIOS!$A$2,SCENARIOS!$B$2,AF$1)</f>
        <v>0</v>
      </c>
    </row>
    <row r="83" spans="1:32" x14ac:dyDescent="0.25">
      <c r="A83" t="str">
        <v>OTAUXREGAREG</v>
      </c>
      <c r="D83" cm="1">
        <f t="array" ref="D83">_xll.VALEUROUTPUT($A$923,_xlfn.CONCAT("THEME14=",$C83),SCENARIOS!$A$2,SCENARIOS!$B$2,D$1)</f>
        <v>0</v>
      </c>
      <c r="E83" cm="1">
        <f t="array" ref="E83">_xll.VALEUROUTPUT($A$923,_xlfn.CONCAT("THEME14=",$C83),SCENARIOS!$A$2,SCENARIOS!$B$2,E$1)</f>
        <v>0</v>
      </c>
      <c r="F83" cm="1">
        <f t="array" ref="F83">_xll.VALEUROUTPUT($A$923,_xlfn.CONCAT("THEME14=",$C83),SCENARIOS!$A$2,SCENARIOS!$B$2,F$1)</f>
        <v>0</v>
      </c>
      <c r="G83" cm="1">
        <f t="array" ref="G83">_xll.VALEUROUTPUT($A$923,_xlfn.CONCAT("THEME14=",$C83),SCENARIOS!$A$2,SCENARIOS!$B$2,G$1)</f>
        <v>0</v>
      </c>
      <c r="H83" cm="1">
        <f t="array" ref="H83">_xll.VALEUROUTPUT($A$923,_xlfn.CONCAT("THEME14=",$C83),SCENARIOS!$A$2,SCENARIOS!$B$2,H$1)</f>
        <v>0</v>
      </c>
      <c r="I83" cm="1">
        <f t="array" ref="I83">_xll.VALEUROUTPUT($A$923,_xlfn.CONCAT("THEME14=",$C83),SCENARIOS!$A$2,SCENARIOS!$B$2,I$1)</f>
        <v>0</v>
      </c>
      <c r="J83" cm="1">
        <f t="array" ref="J83">_xll.VALEUROUTPUT($A$923,_xlfn.CONCAT("THEME14=",$C83),SCENARIOS!$A$2,SCENARIOS!$B$2,J$1)</f>
        <v>0</v>
      </c>
      <c r="K83" cm="1">
        <f t="array" ref="K83">_xll.VALEUROUTPUT($A$923,_xlfn.CONCAT("THEME14=",$C83),SCENARIOS!$A$2,SCENARIOS!$B$2,K$1)</f>
        <v>0</v>
      </c>
      <c r="L83" cm="1">
        <f t="array" ref="L83">_xll.VALEUROUTPUT($A$923,_xlfn.CONCAT("THEME14=",$C83),SCENARIOS!$A$2,SCENARIOS!$B$2,L$1)</f>
        <v>0</v>
      </c>
      <c r="M83" cm="1">
        <f t="array" ref="M83">_xll.VALEUROUTPUT($A$923,_xlfn.CONCAT("THEME14=",$C83),SCENARIOS!$A$2,SCENARIOS!$B$2,M$1)</f>
        <v>0</v>
      </c>
      <c r="N83" cm="1">
        <f t="array" ref="N83">_xll.VALEUROUTPUT($A$923,_xlfn.CONCAT("THEME14=",$C83),SCENARIOS!$A$2,SCENARIOS!$B$2,N$1)</f>
        <v>0</v>
      </c>
      <c r="O83" cm="1">
        <f t="array" ref="O83">_xll.VALEUROUTPUT($A$923,_xlfn.CONCAT("THEME14=",$C83),SCENARIOS!$A$2,SCENARIOS!$B$2,O$1)</f>
        <v>0</v>
      </c>
      <c r="P83" cm="1">
        <f t="array" ref="P83">_xll.VALEUROUTPUT($A$923,_xlfn.CONCAT("THEME14=",$C83),SCENARIOS!$A$2,SCENARIOS!$B$2,P$1)</f>
        <v>0</v>
      </c>
      <c r="Q83" cm="1">
        <f t="array" ref="Q83">_xll.VALEUROUTPUT($A$923,_xlfn.CONCAT("THEME14=",$C83),SCENARIOS!$A$2,SCENARIOS!$B$2,Q$1)</f>
        <v>0</v>
      </c>
      <c r="R83" cm="1">
        <f t="array" ref="R83">_xll.VALEUROUTPUT($A$923,_xlfn.CONCAT("THEME14=",$C83),SCENARIOS!$A$2,SCENARIOS!$B$2,R$1)</f>
        <v>0</v>
      </c>
      <c r="S83" cm="1">
        <f t="array" ref="S83">_xll.VALEUROUTPUT($A$923,_xlfn.CONCAT("THEME14=",$C83),SCENARIOS!$A$2,SCENARIOS!$B$2,S$1)</f>
        <v>0</v>
      </c>
      <c r="T83" cm="1">
        <f t="array" ref="T83">_xll.VALEUROUTPUT($A$923,_xlfn.CONCAT("THEME14=",$C83),SCENARIOS!$A$2,SCENARIOS!$B$2,T$1)</f>
        <v>0</v>
      </c>
      <c r="U83" cm="1">
        <f t="array" ref="U83">_xll.VALEUROUTPUT($A$923,_xlfn.CONCAT("THEME14=",$C83),SCENARIOS!$A$2,SCENARIOS!$B$2,U$1)</f>
        <v>0</v>
      </c>
      <c r="V83" cm="1">
        <f t="array" ref="V83">_xll.VALEUROUTPUT($A$923,_xlfn.CONCAT("THEME14=",$C83),SCENARIOS!$A$2,SCENARIOS!$B$2,V$1)</f>
        <v>0</v>
      </c>
      <c r="W83" cm="1">
        <f t="array" ref="W83">_xll.VALEUROUTPUT($A$923,_xlfn.CONCAT("THEME14=",$C83),SCENARIOS!$A$2,SCENARIOS!$B$2,W$1)</f>
        <v>0</v>
      </c>
      <c r="X83" cm="1">
        <f t="array" ref="X83">_xll.VALEUROUTPUT($A$923,_xlfn.CONCAT("THEME14=",$C83),SCENARIOS!$A$2,SCENARIOS!$B$2,X$1)</f>
        <v>0</v>
      </c>
      <c r="Y83" cm="1">
        <f t="array" ref="Y83">_xll.VALEUROUTPUT($A$923,_xlfn.CONCAT("THEME14=",$C83),SCENARIOS!$A$2,SCENARIOS!$B$2,Y$1)</f>
        <v>0</v>
      </c>
      <c r="Z83" cm="1">
        <f t="array" ref="Z83">_xll.VALEUROUTPUT($A$923,_xlfn.CONCAT("THEME14=",$C83),SCENARIOS!$A$2,SCENARIOS!$B$2,Z$1)</f>
        <v>0</v>
      </c>
      <c r="AA83" cm="1">
        <f t="array" ref="AA83">_xll.VALEUROUTPUT($A$923,_xlfn.CONCAT("THEME14=",$C83),SCENARIOS!$A$2,SCENARIOS!$B$2,AA$1)</f>
        <v>0</v>
      </c>
      <c r="AB83" cm="1">
        <f t="array" ref="AB83">_xll.VALEUROUTPUT($A$923,_xlfn.CONCAT("THEME14=",$C83),SCENARIOS!$A$2,SCENARIOS!$B$2,AB$1)</f>
        <v>0</v>
      </c>
      <c r="AC83" cm="1">
        <f t="array" ref="AC83">_xll.VALEUROUTPUT($A$923,_xlfn.CONCAT("THEME14=",$C83),SCENARIOS!$A$2,SCENARIOS!$B$2,AC$1)</f>
        <v>0</v>
      </c>
      <c r="AD83" cm="1">
        <f t="array" ref="AD83">_xll.VALEUROUTPUT($A$923,_xlfn.CONCAT("THEME14=",$C83),SCENARIOS!$A$2,SCENARIOS!$B$2,AD$1)</f>
        <v>0</v>
      </c>
      <c r="AE83" cm="1">
        <f t="array" ref="AE83">_xll.VALEUROUTPUT($A$923,_xlfn.CONCAT("THEME14=",$C83),SCENARIOS!$A$2,SCENARIOS!$B$2,AE$1)</f>
        <v>0</v>
      </c>
      <c r="AF83" cm="1">
        <f t="array" ref="AF83">_xll.VALEUROUTPUT($A$923,_xlfn.CONCAT("THEME14=",$C83),SCENARIOS!$A$2,SCENARIOS!$B$2,AF$1)</f>
        <v>0</v>
      </c>
    </row>
    <row r="84" spans="1:32" x14ac:dyDescent="0.25">
      <c r="A84" t="str">
        <v>OTAUXAUTRES</v>
      </c>
      <c r="D84" cm="1">
        <f t="array" ref="D84">_xll.VALEUROUTPUT($A$923,_xlfn.CONCAT("THEME14=",$C84),SCENARIOS!$A$2,SCENARIOS!$B$2,D$1)</f>
        <v>0</v>
      </c>
      <c r="E84" cm="1">
        <f t="array" ref="E84">_xll.VALEUROUTPUT($A$923,_xlfn.CONCAT("THEME14=",$C84),SCENARIOS!$A$2,SCENARIOS!$B$2,E$1)</f>
        <v>0</v>
      </c>
      <c r="F84" cm="1">
        <f t="array" ref="F84">_xll.VALEUROUTPUT($A$923,_xlfn.CONCAT("THEME14=",$C84),SCENARIOS!$A$2,SCENARIOS!$B$2,F$1)</f>
        <v>0</v>
      </c>
      <c r="G84" cm="1">
        <f t="array" ref="G84">_xll.VALEUROUTPUT($A$923,_xlfn.CONCAT("THEME14=",$C84),SCENARIOS!$A$2,SCENARIOS!$B$2,G$1)</f>
        <v>0</v>
      </c>
      <c r="H84" cm="1">
        <f t="array" ref="H84">_xll.VALEUROUTPUT($A$923,_xlfn.CONCAT("THEME14=",$C84),SCENARIOS!$A$2,SCENARIOS!$B$2,H$1)</f>
        <v>0</v>
      </c>
      <c r="I84" cm="1">
        <f t="array" ref="I84">_xll.VALEUROUTPUT($A$923,_xlfn.CONCAT("THEME14=",$C84),SCENARIOS!$A$2,SCENARIOS!$B$2,I$1)</f>
        <v>0</v>
      </c>
      <c r="J84" cm="1">
        <f t="array" ref="J84">_xll.VALEUROUTPUT($A$923,_xlfn.CONCAT("THEME14=",$C84),SCENARIOS!$A$2,SCENARIOS!$B$2,J$1)</f>
        <v>0</v>
      </c>
      <c r="K84" cm="1">
        <f t="array" ref="K84">_xll.VALEUROUTPUT($A$923,_xlfn.CONCAT("THEME14=",$C84),SCENARIOS!$A$2,SCENARIOS!$B$2,K$1)</f>
        <v>0</v>
      </c>
      <c r="L84" cm="1">
        <f t="array" ref="L84">_xll.VALEUROUTPUT($A$923,_xlfn.CONCAT("THEME14=",$C84),SCENARIOS!$A$2,SCENARIOS!$B$2,L$1)</f>
        <v>0</v>
      </c>
      <c r="M84" cm="1">
        <f t="array" ref="M84">_xll.VALEUROUTPUT($A$923,_xlfn.CONCAT("THEME14=",$C84),SCENARIOS!$A$2,SCENARIOS!$B$2,M$1)</f>
        <v>0</v>
      </c>
      <c r="N84" cm="1">
        <f t="array" ref="N84">_xll.VALEUROUTPUT($A$923,_xlfn.CONCAT("THEME14=",$C84),SCENARIOS!$A$2,SCENARIOS!$B$2,N$1)</f>
        <v>0</v>
      </c>
      <c r="O84" cm="1">
        <f t="array" ref="O84">_xll.VALEUROUTPUT($A$923,_xlfn.CONCAT("THEME14=",$C84),SCENARIOS!$A$2,SCENARIOS!$B$2,O$1)</f>
        <v>0</v>
      </c>
      <c r="P84" cm="1">
        <f t="array" ref="P84">_xll.VALEUROUTPUT($A$923,_xlfn.CONCAT("THEME14=",$C84),SCENARIOS!$A$2,SCENARIOS!$B$2,P$1)</f>
        <v>0</v>
      </c>
      <c r="Q84" cm="1">
        <f t="array" ref="Q84">_xll.VALEUROUTPUT($A$923,_xlfn.CONCAT("THEME14=",$C84),SCENARIOS!$A$2,SCENARIOS!$B$2,Q$1)</f>
        <v>0</v>
      </c>
      <c r="R84" cm="1">
        <f t="array" ref="R84">_xll.VALEUROUTPUT($A$923,_xlfn.CONCAT("THEME14=",$C84),SCENARIOS!$A$2,SCENARIOS!$B$2,R$1)</f>
        <v>0</v>
      </c>
      <c r="S84" cm="1">
        <f t="array" ref="S84">_xll.VALEUROUTPUT($A$923,_xlfn.CONCAT("THEME14=",$C84),SCENARIOS!$A$2,SCENARIOS!$B$2,S$1)</f>
        <v>0</v>
      </c>
      <c r="T84" cm="1">
        <f t="array" ref="T84">_xll.VALEUROUTPUT($A$923,_xlfn.CONCAT("THEME14=",$C84),SCENARIOS!$A$2,SCENARIOS!$B$2,T$1)</f>
        <v>0</v>
      </c>
      <c r="U84" cm="1">
        <f t="array" ref="U84">_xll.VALEUROUTPUT($A$923,_xlfn.CONCAT("THEME14=",$C84),SCENARIOS!$A$2,SCENARIOS!$B$2,U$1)</f>
        <v>0</v>
      </c>
      <c r="V84" cm="1">
        <f t="array" ref="V84">_xll.VALEUROUTPUT($A$923,_xlfn.CONCAT("THEME14=",$C84),SCENARIOS!$A$2,SCENARIOS!$B$2,V$1)</f>
        <v>0</v>
      </c>
      <c r="W84" cm="1">
        <f t="array" ref="W84">_xll.VALEUROUTPUT($A$923,_xlfn.CONCAT("THEME14=",$C84),SCENARIOS!$A$2,SCENARIOS!$B$2,W$1)</f>
        <v>0</v>
      </c>
      <c r="X84" cm="1">
        <f t="array" ref="X84">_xll.VALEUROUTPUT($A$923,_xlfn.CONCAT("THEME14=",$C84),SCENARIOS!$A$2,SCENARIOS!$B$2,X$1)</f>
        <v>0</v>
      </c>
      <c r="Y84" cm="1">
        <f t="array" ref="Y84">_xll.VALEUROUTPUT($A$923,_xlfn.CONCAT("THEME14=",$C84),SCENARIOS!$A$2,SCENARIOS!$B$2,Y$1)</f>
        <v>0</v>
      </c>
      <c r="Z84" cm="1">
        <f t="array" ref="Z84">_xll.VALEUROUTPUT($A$923,_xlfn.CONCAT("THEME14=",$C84),SCENARIOS!$A$2,SCENARIOS!$B$2,Z$1)</f>
        <v>0</v>
      </c>
      <c r="AA84" cm="1">
        <f t="array" ref="AA84">_xll.VALEUROUTPUT($A$923,_xlfn.CONCAT("THEME14=",$C84),SCENARIOS!$A$2,SCENARIOS!$B$2,AA$1)</f>
        <v>0</v>
      </c>
      <c r="AB84" cm="1">
        <f t="array" ref="AB84">_xll.VALEUROUTPUT($A$923,_xlfn.CONCAT("THEME14=",$C84),SCENARIOS!$A$2,SCENARIOS!$B$2,AB$1)</f>
        <v>0</v>
      </c>
      <c r="AC84" cm="1">
        <f t="array" ref="AC84">_xll.VALEUROUTPUT($A$923,_xlfn.CONCAT("THEME14=",$C84),SCENARIOS!$A$2,SCENARIOS!$B$2,AC$1)</f>
        <v>0</v>
      </c>
      <c r="AD84" cm="1">
        <f t="array" ref="AD84">_xll.VALEUROUTPUT($A$923,_xlfn.CONCAT("THEME14=",$C84),SCENARIOS!$A$2,SCENARIOS!$B$2,AD$1)</f>
        <v>0</v>
      </c>
      <c r="AE84" cm="1">
        <f t="array" ref="AE84">_xll.VALEUROUTPUT($A$923,_xlfn.CONCAT("THEME14=",$C84),SCENARIOS!$A$2,SCENARIOS!$B$2,AE$1)</f>
        <v>0</v>
      </c>
      <c r="AF84" cm="1">
        <f t="array" ref="AF84">_xll.VALEUROUTPUT($A$923,_xlfn.CONCAT("THEME14=",$C84),SCENARIOS!$A$2,SCENARIOS!$B$2,AF$1)</f>
        <v>0</v>
      </c>
    </row>
    <row r="85" spans="1:32" x14ac:dyDescent="0.25">
      <c r="A85" t="str">
        <v>OSUPREALREGAPAR</v>
      </c>
      <c r="D85" cm="1">
        <f t="array" ref="D85">_xll.VALEUROUTPUT($A$923,_xlfn.CONCAT("THEME14=",$C85),SCENARIOS!$A$2,SCENARIOS!$B$2,D$1)</f>
        <v>0</v>
      </c>
      <c r="E85" cm="1">
        <f t="array" ref="E85">_xll.VALEUROUTPUT($A$923,_xlfn.CONCAT("THEME14=",$C85),SCENARIOS!$A$2,SCENARIOS!$B$2,E$1)</f>
        <v>0</v>
      </c>
      <c r="F85" cm="1">
        <f t="array" ref="F85">_xll.VALEUROUTPUT($A$923,_xlfn.CONCAT("THEME14=",$C85),SCENARIOS!$A$2,SCENARIOS!$B$2,F$1)</f>
        <v>0</v>
      </c>
      <c r="G85" cm="1">
        <f t="array" ref="G85">_xll.VALEUROUTPUT($A$923,_xlfn.CONCAT("THEME14=",$C85),SCENARIOS!$A$2,SCENARIOS!$B$2,G$1)</f>
        <v>0</v>
      </c>
      <c r="H85" cm="1">
        <f t="array" ref="H85">_xll.VALEUROUTPUT($A$923,_xlfn.CONCAT("THEME14=",$C85),SCENARIOS!$A$2,SCENARIOS!$B$2,H$1)</f>
        <v>0</v>
      </c>
      <c r="I85" cm="1">
        <f t="array" ref="I85">_xll.VALEUROUTPUT($A$923,_xlfn.CONCAT("THEME14=",$C85),SCENARIOS!$A$2,SCENARIOS!$B$2,I$1)</f>
        <v>0</v>
      </c>
      <c r="J85" cm="1">
        <f t="array" ref="J85">_xll.VALEUROUTPUT($A$923,_xlfn.CONCAT("THEME14=",$C85),SCENARIOS!$A$2,SCENARIOS!$B$2,J$1)</f>
        <v>0</v>
      </c>
      <c r="K85" cm="1">
        <f t="array" ref="K85">_xll.VALEUROUTPUT($A$923,_xlfn.CONCAT("THEME14=",$C85),SCENARIOS!$A$2,SCENARIOS!$B$2,K$1)</f>
        <v>0</v>
      </c>
      <c r="L85" cm="1">
        <f t="array" ref="L85">_xll.VALEUROUTPUT($A$923,_xlfn.CONCAT("THEME14=",$C85),SCENARIOS!$A$2,SCENARIOS!$B$2,L$1)</f>
        <v>0</v>
      </c>
      <c r="M85" cm="1">
        <f t="array" ref="M85">_xll.VALEUROUTPUT($A$923,_xlfn.CONCAT("THEME14=",$C85),SCENARIOS!$A$2,SCENARIOS!$B$2,M$1)</f>
        <v>0</v>
      </c>
      <c r="N85" cm="1">
        <f t="array" ref="N85">_xll.VALEUROUTPUT($A$923,_xlfn.CONCAT("THEME14=",$C85),SCENARIOS!$A$2,SCENARIOS!$B$2,N$1)</f>
        <v>0</v>
      </c>
      <c r="O85" cm="1">
        <f t="array" ref="O85">_xll.VALEUROUTPUT($A$923,_xlfn.CONCAT("THEME14=",$C85),SCENARIOS!$A$2,SCENARIOS!$B$2,O$1)</f>
        <v>0</v>
      </c>
      <c r="P85" cm="1">
        <f t="array" ref="P85">_xll.VALEUROUTPUT($A$923,_xlfn.CONCAT("THEME14=",$C85),SCENARIOS!$A$2,SCENARIOS!$B$2,P$1)</f>
        <v>0</v>
      </c>
      <c r="Q85" cm="1">
        <f t="array" ref="Q85">_xll.VALEUROUTPUT($A$923,_xlfn.CONCAT("THEME14=",$C85),SCENARIOS!$A$2,SCENARIOS!$B$2,Q$1)</f>
        <v>0</v>
      </c>
      <c r="R85" cm="1">
        <f t="array" ref="R85">_xll.VALEUROUTPUT($A$923,_xlfn.CONCAT("THEME14=",$C85),SCENARIOS!$A$2,SCENARIOS!$B$2,R$1)</f>
        <v>0</v>
      </c>
      <c r="S85" cm="1">
        <f t="array" ref="S85">_xll.VALEUROUTPUT($A$923,_xlfn.CONCAT("THEME14=",$C85),SCENARIOS!$A$2,SCENARIOS!$B$2,S$1)</f>
        <v>0</v>
      </c>
      <c r="T85" cm="1">
        <f t="array" ref="T85">_xll.VALEUROUTPUT($A$923,_xlfn.CONCAT("THEME14=",$C85),SCENARIOS!$A$2,SCENARIOS!$B$2,T$1)</f>
        <v>0</v>
      </c>
      <c r="U85" cm="1">
        <f t="array" ref="U85">_xll.VALEUROUTPUT($A$923,_xlfn.CONCAT("THEME14=",$C85),SCENARIOS!$A$2,SCENARIOS!$B$2,U$1)</f>
        <v>0</v>
      </c>
      <c r="V85" cm="1">
        <f t="array" ref="V85">_xll.VALEUROUTPUT($A$923,_xlfn.CONCAT("THEME14=",$C85),SCENARIOS!$A$2,SCENARIOS!$B$2,V$1)</f>
        <v>0</v>
      </c>
      <c r="W85" cm="1">
        <f t="array" ref="W85">_xll.VALEUROUTPUT($A$923,_xlfn.CONCAT("THEME14=",$C85),SCENARIOS!$A$2,SCENARIOS!$B$2,W$1)</f>
        <v>0</v>
      </c>
      <c r="X85" cm="1">
        <f t="array" ref="X85">_xll.VALEUROUTPUT($A$923,_xlfn.CONCAT("THEME14=",$C85),SCENARIOS!$A$2,SCENARIOS!$B$2,X$1)</f>
        <v>0</v>
      </c>
      <c r="Y85" cm="1">
        <f t="array" ref="Y85">_xll.VALEUROUTPUT($A$923,_xlfn.CONCAT("THEME14=",$C85),SCENARIOS!$A$2,SCENARIOS!$B$2,Y$1)</f>
        <v>0</v>
      </c>
      <c r="Z85" cm="1">
        <f t="array" ref="Z85">_xll.VALEUROUTPUT($A$923,_xlfn.CONCAT("THEME14=",$C85),SCENARIOS!$A$2,SCENARIOS!$B$2,Z$1)</f>
        <v>0</v>
      </c>
      <c r="AA85" cm="1">
        <f t="array" ref="AA85">_xll.VALEUROUTPUT($A$923,_xlfn.CONCAT("THEME14=",$C85),SCENARIOS!$A$2,SCENARIOS!$B$2,AA$1)</f>
        <v>0</v>
      </c>
      <c r="AB85" cm="1">
        <f t="array" ref="AB85">_xll.VALEUROUTPUT($A$923,_xlfn.CONCAT("THEME14=",$C85),SCENARIOS!$A$2,SCENARIOS!$B$2,AB$1)</f>
        <v>0</v>
      </c>
      <c r="AC85" cm="1">
        <f t="array" ref="AC85">_xll.VALEUROUTPUT($A$923,_xlfn.CONCAT("THEME14=",$C85),SCENARIOS!$A$2,SCENARIOS!$B$2,AC$1)</f>
        <v>0</v>
      </c>
      <c r="AD85" cm="1">
        <f t="array" ref="AD85">_xll.VALEUROUTPUT($A$923,_xlfn.CONCAT("THEME14=",$C85),SCENARIOS!$A$2,SCENARIOS!$B$2,AD$1)</f>
        <v>0</v>
      </c>
      <c r="AE85" cm="1">
        <f t="array" ref="AE85">_xll.VALEUROUTPUT($A$923,_xlfn.CONCAT("THEME14=",$C85),SCENARIOS!$A$2,SCENARIOS!$B$2,AE$1)</f>
        <v>0</v>
      </c>
      <c r="AF85" cm="1">
        <f t="array" ref="AF85">_xll.VALEUROUTPUT($A$923,_xlfn.CONCAT("THEME14=",$C85),SCENARIOS!$A$2,SCENARIOS!$B$2,AF$1)</f>
        <v>0</v>
      </c>
    </row>
    <row r="86" spans="1:32" x14ac:dyDescent="0.25">
      <c r="A86" t="str">
        <v>OSUPREALREGAEDU</v>
      </c>
      <c r="D86" cm="1">
        <f t="array" ref="D86">_xll.VALEUROUTPUT($A$923,_xlfn.CONCAT("THEME14=",$C86),SCENARIOS!$A$2,SCENARIOS!$B$2,D$1)</f>
        <v>0</v>
      </c>
      <c r="E86" cm="1">
        <f t="array" ref="E86">_xll.VALEUROUTPUT($A$923,_xlfn.CONCAT("THEME14=",$C86),SCENARIOS!$A$2,SCENARIOS!$B$2,E$1)</f>
        <v>0</v>
      </c>
      <c r="F86" cm="1">
        <f t="array" ref="F86">_xll.VALEUROUTPUT($A$923,_xlfn.CONCAT("THEME14=",$C86),SCENARIOS!$A$2,SCENARIOS!$B$2,F$1)</f>
        <v>0</v>
      </c>
      <c r="G86" cm="1">
        <f t="array" ref="G86">_xll.VALEUROUTPUT($A$923,_xlfn.CONCAT("THEME14=",$C86),SCENARIOS!$A$2,SCENARIOS!$B$2,G$1)</f>
        <v>0</v>
      </c>
      <c r="H86" cm="1">
        <f t="array" ref="H86">_xll.VALEUROUTPUT($A$923,_xlfn.CONCAT("THEME14=",$C86),SCENARIOS!$A$2,SCENARIOS!$B$2,H$1)</f>
        <v>0</v>
      </c>
      <c r="I86" cm="1">
        <f t="array" ref="I86">_xll.VALEUROUTPUT($A$923,_xlfn.CONCAT("THEME14=",$C86),SCENARIOS!$A$2,SCENARIOS!$B$2,I$1)</f>
        <v>0</v>
      </c>
      <c r="J86" cm="1">
        <f t="array" ref="J86">_xll.VALEUROUTPUT($A$923,_xlfn.CONCAT("THEME14=",$C86),SCENARIOS!$A$2,SCENARIOS!$B$2,J$1)</f>
        <v>0</v>
      </c>
      <c r="K86" cm="1">
        <f t="array" ref="K86">_xll.VALEUROUTPUT($A$923,_xlfn.CONCAT("THEME14=",$C86),SCENARIOS!$A$2,SCENARIOS!$B$2,K$1)</f>
        <v>0</v>
      </c>
      <c r="L86" cm="1">
        <f t="array" ref="L86">_xll.VALEUROUTPUT($A$923,_xlfn.CONCAT("THEME14=",$C86),SCENARIOS!$A$2,SCENARIOS!$B$2,L$1)</f>
        <v>0</v>
      </c>
      <c r="M86" cm="1">
        <f t="array" ref="M86">_xll.VALEUROUTPUT($A$923,_xlfn.CONCAT("THEME14=",$C86),SCENARIOS!$A$2,SCENARIOS!$B$2,M$1)</f>
        <v>0</v>
      </c>
      <c r="N86" cm="1">
        <f t="array" ref="N86">_xll.VALEUROUTPUT($A$923,_xlfn.CONCAT("THEME14=",$C86),SCENARIOS!$A$2,SCENARIOS!$B$2,N$1)</f>
        <v>0</v>
      </c>
      <c r="O86" cm="1">
        <f t="array" ref="O86">_xll.VALEUROUTPUT($A$923,_xlfn.CONCAT("THEME14=",$C86),SCENARIOS!$A$2,SCENARIOS!$B$2,O$1)</f>
        <v>0</v>
      </c>
      <c r="P86" cm="1">
        <f t="array" ref="P86">_xll.VALEUROUTPUT($A$923,_xlfn.CONCAT("THEME14=",$C86),SCENARIOS!$A$2,SCENARIOS!$B$2,P$1)</f>
        <v>0</v>
      </c>
      <c r="Q86" cm="1">
        <f t="array" ref="Q86">_xll.VALEUROUTPUT($A$923,_xlfn.CONCAT("THEME14=",$C86),SCENARIOS!$A$2,SCENARIOS!$B$2,Q$1)</f>
        <v>0</v>
      </c>
      <c r="R86" cm="1">
        <f t="array" ref="R86">_xll.VALEUROUTPUT($A$923,_xlfn.CONCAT("THEME14=",$C86),SCENARIOS!$A$2,SCENARIOS!$B$2,R$1)</f>
        <v>0</v>
      </c>
      <c r="S86" cm="1">
        <f t="array" ref="S86">_xll.VALEUROUTPUT($A$923,_xlfn.CONCAT("THEME14=",$C86),SCENARIOS!$A$2,SCENARIOS!$B$2,S$1)</f>
        <v>0</v>
      </c>
      <c r="T86" cm="1">
        <f t="array" ref="T86">_xll.VALEUROUTPUT($A$923,_xlfn.CONCAT("THEME14=",$C86),SCENARIOS!$A$2,SCENARIOS!$B$2,T$1)</f>
        <v>0</v>
      </c>
      <c r="U86" cm="1">
        <f t="array" ref="U86">_xll.VALEUROUTPUT($A$923,_xlfn.CONCAT("THEME14=",$C86),SCENARIOS!$A$2,SCENARIOS!$B$2,U$1)</f>
        <v>0</v>
      </c>
      <c r="V86" cm="1">
        <f t="array" ref="V86">_xll.VALEUROUTPUT($A$923,_xlfn.CONCAT("THEME14=",$C86),SCENARIOS!$A$2,SCENARIOS!$B$2,V$1)</f>
        <v>0</v>
      </c>
      <c r="W86" cm="1">
        <f t="array" ref="W86">_xll.VALEUROUTPUT($A$923,_xlfn.CONCAT("THEME14=",$C86),SCENARIOS!$A$2,SCENARIOS!$B$2,W$1)</f>
        <v>0</v>
      </c>
      <c r="X86" cm="1">
        <f t="array" ref="X86">_xll.VALEUROUTPUT($A$923,_xlfn.CONCAT("THEME14=",$C86),SCENARIOS!$A$2,SCENARIOS!$B$2,X$1)</f>
        <v>0</v>
      </c>
      <c r="Y86" cm="1">
        <f t="array" ref="Y86">_xll.VALEUROUTPUT($A$923,_xlfn.CONCAT("THEME14=",$C86),SCENARIOS!$A$2,SCENARIOS!$B$2,Y$1)</f>
        <v>0</v>
      </c>
      <c r="Z86" cm="1">
        <f t="array" ref="Z86">_xll.VALEUROUTPUT($A$923,_xlfn.CONCAT("THEME14=",$C86),SCENARIOS!$A$2,SCENARIOS!$B$2,Z$1)</f>
        <v>0</v>
      </c>
      <c r="AA86" cm="1">
        <f t="array" ref="AA86">_xll.VALEUROUTPUT($A$923,_xlfn.CONCAT("THEME14=",$C86),SCENARIOS!$A$2,SCENARIOS!$B$2,AA$1)</f>
        <v>0</v>
      </c>
      <c r="AB86" cm="1">
        <f t="array" ref="AB86">_xll.VALEUROUTPUT($A$923,_xlfn.CONCAT("THEME14=",$C86),SCENARIOS!$A$2,SCENARIOS!$B$2,AB$1)</f>
        <v>0</v>
      </c>
      <c r="AC86" cm="1">
        <f t="array" ref="AC86">_xll.VALEUROUTPUT($A$923,_xlfn.CONCAT("THEME14=",$C86),SCENARIOS!$A$2,SCENARIOS!$B$2,AC$1)</f>
        <v>0</v>
      </c>
      <c r="AD86" cm="1">
        <f t="array" ref="AD86">_xll.VALEUROUTPUT($A$923,_xlfn.CONCAT("THEME14=",$C86),SCENARIOS!$A$2,SCENARIOS!$B$2,AD$1)</f>
        <v>0</v>
      </c>
      <c r="AE86" cm="1">
        <f t="array" ref="AE86">_xll.VALEUROUTPUT($A$923,_xlfn.CONCAT("THEME14=",$C86),SCENARIOS!$A$2,SCENARIOS!$B$2,AE$1)</f>
        <v>0</v>
      </c>
      <c r="AF86" cm="1">
        <f t="array" ref="AF86">_xll.VALEUROUTPUT($A$923,_xlfn.CONCAT("THEME14=",$C86),SCENARIOS!$A$2,SCENARIOS!$B$2,AF$1)</f>
        <v>0</v>
      </c>
    </row>
    <row r="87" spans="1:32" x14ac:dyDescent="0.25">
      <c r="A87" t="str">
        <v>OSUPREALREGAFIN</v>
      </c>
      <c r="D87" cm="1">
        <f t="array" ref="D87">_xll.VALEUROUTPUT($A$923,_xlfn.CONCAT("THEME14=",$C87),SCENARIOS!$A$2,SCENARIOS!$B$2,D$1)</f>
        <v>0</v>
      </c>
      <c r="E87" cm="1">
        <f t="array" ref="E87">_xll.VALEUROUTPUT($A$923,_xlfn.CONCAT("THEME14=",$C87),SCENARIOS!$A$2,SCENARIOS!$B$2,E$1)</f>
        <v>0</v>
      </c>
      <c r="F87" cm="1">
        <f t="array" ref="F87">_xll.VALEUROUTPUT($A$923,_xlfn.CONCAT("THEME14=",$C87),SCENARIOS!$A$2,SCENARIOS!$B$2,F$1)</f>
        <v>0</v>
      </c>
      <c r="G87" cm="1">
        <f t="array" ref="G87">_xll.VALEUROUTPUT($A$923,_xlfn.CONCAT("THEME14=",$C87),SCENARIOS!$A$2,SCENARIOS!$B$2,G$1)</f>
        <v>0</v>
      </c>
      <c r="H87" cm="1">
        <f t="array" ref="H87">_xll.VALEUROUTPUT($A$923,_xlfn.CONCAT("THEME14=",$C87),SCENARIOS!$A$2,SCENARIOS!$B$2,H$1)</f>
        <v>0</v>
      </c>
      <c r="I87" cm="1">
        <f t="array" ref="I87">_xll.VALEUROUTPUT($A$923,_xlfn.CONCAT("THEME14=",$C87),SCENARIOS!$A$2,SCENARIOS!$B$2,I$1)</f>
        <v>0</v>
      </c>
      <c r="J87" cm="1">
        <f t="array" ref="J87">_xll.VALEUROUTPUT($A$923,_xlfn.CONCAT("THEME14=",$C87),SCENARIOS!$A$2,SCENARIOS!$B$2,J$1)</f>
        <v>0</v>
      </c>
      <c r="K87" cm="1">
        <f t="array" ref="K87">_xll.VALEUROUTPUT($A$923,_xlfn.CONCAT("THEME14=",$C87),SCENARIOS!$A$2,SCENARIOS!$B$2,K$1)</f>
        <v>0</v>
      </c>
      <c r="L87" cm="1">
        <f t="array" ref="L87">_xll.VALEUROUTPUT($A$923,_xlfn.CONCAT("THEME14=",$C87),SCENARIOS!$A$2,SCENARIOS!$B$2,L$1)</f>
        <v>0</v>
      </c>
      <c r="M87" cm="1">
        <f t="array" ref="M87">_xll.VALEUROUTPUT($A$923,_xlfn.CONCAT("THEME14=",$C87),SCENARIOS!$A$2,SCENARIOS!$B$2,M$1)</f>
        <v>0</v>
      </c>
      <c r="N87" cm="1">
        <f t="array" ref="N87">_xll.VALEUROUTPUT($A$923,_xlfn.CONCAT("THEME14=",$C87),SCENARIOS!$A$2,SCENARIOS!$B$2,N$1)</f>
        <v>0</v>
      </c>
      <c r="O87" cm="1">
        <f t="array" ref="O87">_xll.VALEUROUTPUT($A$923,_xlfn.CONCAT("THEME14=",$C87),SCENARIOS!$A$2,SCENARIOS!$B$2,O$1)</f>
        <v>0</v>
      </c>
      <c r="P87" cm="1">
        <f t="array" ref="P87">_xll.VALEUROUTPUT($A$923,_xlfn.CONCAT("THEME14=",$C87),SCENARIOS!$A$2,SCENARIOS!$B$2,P$1)</f>
        <v>0</v>
      </c>
      <c r="Q87" cm="1">
        <f t="array" ref="Q87">_xll.VALEUROUTPUT($A$923,_xlfn.CONCAT("THEME14=",$C87),SCENARIOS!$A$2,SCENARIOS!$B$2,Q$1)</f>
        <v>0</v>
      </c>
      <c r="R87" cm="1">
        <f t="array" ref="R87">_xll.VALEUROUTPUT($A$923,_xlfn.CONCAT("THEME14=",$C87),SCENARIOS!$A$2,SCENARIOS!$B$2,R$1)</f>
        <v>0</v>
      </c>
      <c r="S87" cm="1">
        <f t="array" ref="S87">_xll.VALEUROUTPUT($A$923,_xlfn.CONCAT("THEME14=",$C87),SCENARIOS!$A$2,SCENARIOS!$B$2,S$1)</f>
        <v>0</v>
      </c>
      <c r="T87" cm="1">
        <f t="array" ref="T87">_xll.VALEUROUTPUT($A$923,_xlfn.CONCAT("THEME14=",$C87),SCENARIOS!$A$2,SCENARIOS!$B$2,T$1)</f>
        <v>0</v>
      </c>
      <c r="U87" cm="1">
        <f t="array" ref="U87">_xll.VALEUROUTPUT($A$923,_xlfn.CONCAT("THEME14=",$C87),SCENARIOS!$A$2,SCENARIOS!$B$2,U$1)</f>
        <v>0</v>
      </c>
      <c r="V87" cm="1">
        <f t="array" ref="V87">_xll.VALEUROUTPUT($A$923,_xlfn.CONCAT("THEME14=",$C87),SCENARIOS!$A$2,SCENARIOS!$B$2,V$1)</f>
        <v>0</v>
      </c>
      <c r="W87" cm="1">
        <f t="array" ref="W87">_xll.VALEUROUTPUT($A$923,_xlfn.CONCAT("THEME14=",$C87),SCENARIOS!$A$2,SCENARIOS!$B$2,W$1)</f>
        <v>0</v>
      </c>
      <c r="X87" cm="1">
        <f t="array" ref="X87">_xll.VALEUROUTPUT($A$923,_xlfn.CONCAT("THEME14=",$C87),SCENARIOS!$A$2,SCENARIOS!$B$2,X$1)</f>
        <v>0</v>
      </c>
      <c r="Y87" cm="1">
        <f t="array" ref="Y87">_xll.VALEUROUTPUT($A$923,_xlfn.CONCAT("THEME14=",$C87),SCENARIOS!$A$2,SCENARIOS!$B$2,Y$1)</f>
        <v>0</v>
      </c>
      <c r="Z87" cm="1">
        <f t="array" ref="Z87">_xll.VALEUROUTPUT($A$923,_xlfn.CONCAT("THEME14=",$C87),SCENARIOS!$A$2,SCENARIOS!$B$2,Z$1)</f>
        <v>0</v>
      </c>
      <c r="AA87" cm="1">
        <f t="array" ref="AA87">_xll.VALEUROUTPUT($A$923,_xlfn.CONCAT("THEME14=",$C87),SCENARIOS!$A$2,SCENARIOS!$B$2,AA$1)</f>
        <v>0</v>
      </c>
      <c r="AB87" cm="1">
        <f t="array" ref="AB87">_xll.VALEUROUTPUT($A$923,_xlfn.CONCAT("THEME14=",$C87),SCENARIOS!$A$2,SCENARIOS!$B$2,AB$1)</f>
        <v>0</v>
      </c>
      <c r="AC87" cm="1">
        <f t="array" ref="AC87">_xll.VALEUROUTPUT($A$923,_xlfn.CONCAT("THEME14=",$C87),SCENARIOS!$A$2,SCENARIOS!$B$2,AC$1)</f>
        <v>0</v>
      </c>
      <c r="AD87" cm="1">
        <f t="array" ref="AD87">_xll.VALEUROUTPUT($A$923,_xlfn.CONCAT("THEME14=",$C87),SCENARIOS!$A$2,SCENARIOS!$B$2,AD$1)</f>
        <v>0</v>
      </c>
      <c r="AE87" cm="1">
        <f t="array" ref="AE87">_xll.VALEUROUTPUT($A$923,_xlfn.CONCAT("THEME14=",$C87),SCENARIOS!$A$2,SCENARIOS!$B$2,AE$1)</f>
        <v>0</v>
      </c>
      <c r="AF87" cm="1">
        <f t="array" ref="AF87">_xll.VALEUROUTPUT($A$923,_xlfn.CONCAT("THEME14=",$C87),SCENARIOS!$A$2,SCENARIOS!$B$2,AF$1)</f>
        <v>0</v>
      </c>
    </row>
    <row r="88" spans="1:32" x14ac:dyDescent="0.25">
      <c r="A88" t="str">
        <v>OSUPREALREGAREG</v>
      </c>
      <c r="D88" cm="1">
        <f t="array" ref="D88">_xll.VALEUROUTPUT($A$923,_xlfn.CONCAT("THEME14=",$C88),SCENARIOS!$A$2,SCENARIOS!$B$2,D$1)</f>
        <v>0</v>
      </c>
      <c r="E88" cm="1">
        <f t="array" ref="E88">_xll.VALEUROUTPUT($A$923,_xlfn.CONCAT("THEME14=",$C88),SCENARIOS!$A$2,SCENARIOS!$B$2,E$1)</f>
        <v>0</v>
      </c>
      <c r="F88" cm="1">
        <f t="array" ref="F88">_xll.VALEUROUTPUT($A$923,_xlfn.CONCAT("THEME14=",$C88),SCENARIOS!$A$2,SCENARIOS!$B$2,F$1)</f>
        <v>0</v>
      </c>
      <c r="G88" cm="1">
        <f t="array" ref="G88">_xll.VALEUROUTPUT($A$923,_xlfn.CONCAT("THEME14=",$C88),SCENARIOS!$A$2,SCENARIOS!$B$2,G$1)</f>
        <v>0</v>
      </c>
      <c r="H88" cm="1">
        <f t="array" ref="H88">_xll.VALEUROUTPUT($A$923,_xlfn.CONCAT("THEME14=",$C88),SCENARIOS!$A$2,SCENARIOS!$B$2,H$1)</f>
        <v>0</v>
      </c>
      <c r="I88" cm="1">
        <f t="array" ref="I88">_xll.VALEUROUTPUT($A$923,_xlfn.CONCAT("THEME14=",$C88),SCENARIOS!$A$2,SCENARIOS!$B$2,I$1)</f>
        <v>0</v>
      </c>
      <c r="J88" cm="1">
        <f t="array" ref="J88">_xll.VALEUROUTPUT($A$923,_xlfn.CONCAT("THEME14=",$C88),SCENARIOS!$A$2,SCENARIOS!$B$2,J$1)</f>
        <v>0</v>
      </c>
      <c r="K88" cm="1">
        <f t="array" ref="K88">_xll.VALEUROUTPUT($A$923,_xlfn.CONCAT("THEME14=",$C88),SCENARIOS!$A$2,SCENARIOS!$B$2,K$1)</f>
        <v>0</v>
      </c>
      <c r="L88" cm="1">
        <f t="array" ref="L88">_xll.VALEUROUTPUT($A$923,_xlfn.CONCAT("THEME14=",$C88),SCENARIOS!$A$2,SCENARIOS!$B$2,L$1)</f>
        <v>0</v>
      </c>
      <c r="M88" cm="1">
        <f t="array" ref="M88">_xll.VALEUROUTPUT($A$923,_xlfn.CONCAT("THEME14=",$C88),SCENARIOS!$A$2,SCENARIOS!$B$2,M$1)</f>
        <v>0</v>
      </c>
      <c r="N88" cm="1">
        <f t="array" ref="N88">_xll.VALEUROUTPUT($A$923,_xlfn.CONCAT("THEME14=",$C88),SCENARIOS!$A$2,SCENARIOS!$B$2,N$1)</f>
        <v>0</v>
      </c>
      <c r="O88" cm="1">
        <f t="array" ref="O88">_xll.VALEUROUTPUT($A$923,_xlfn.CONCAT("THEME14=",$C88),SCENARIOS!$A$2,SCENARIOS!$B$2,O$1)</f>
        <v>0</v>
      </c>
      <c r="P88" cm="1">
        <f t="array" ref="P88">_xll.VALEUROUTPUT($A$923,_xlfn.CONCAT("THEME14=",$C88),SCENARIOS!$A$2,SCENARIOS!$B$2,P$1)</f>
        <v>0</v>
      </c>
      <c r="Q88" cm="1">
        <f t="array" ref="Q88">_xll.VALEUROUTPUT($A$923,_xlfn.CONCAT("THEME14=",$C88),SCENARIOS!$A$2,SCENARIOS!$B$2,Q$1)</f>
        <v>0</v>
      </c>
      <c r="R88" cm="1">
        <f t="array" ref="R88">_xll.VALEUROUTPUT($A$923,_xlfn.CONCAT("THEME14=",$C88),SCENARIOS!$A$2,SCENARIOS!$B$2,R$1)</f>
        <v>0</v>
      </c>
      <c r="S88" cm="1">
        <f t="array" ref="S88">_xll.VALEUROUTPUT($A$923,_xlfn.CONCAT("THEME14=",$C88),SCENARIOS!$A$2,SCENARIOS!$B$2,S$1)</f>
        <v>0</v>
      </c>
      <c r="T88" cm="1">
        <f t="array" ref="T88">_xll.VALEUROUTPUT($A$923,_xlfn.CONCAT("THEME14=",$C88),SCENARIOS!$A$2,SCENARIOS!$B$2,T$1)</f>
        <v>0</v>
      </c>
      <c r="U88" cm="1">
        <f t="array" ref="U88">_xll.VALEUROUTPUT($A$923,_xlfn.CONCAT("THEME14=",$C88),SCENARIOS!$A$2,SCENARIOS!$B$2,U$1)</f>
        <v>0</v>
      </c>
      <c r="V88" cm="1">
        <f t="array" ref="V88">_xll.VALEUROUTPUT($A$923,_xlfn.CONCAT("THEME14=",$C88),SCENARIOS!$A$2,SCENARIOS!$B$2,V$1)</f>
        <v>0</v>
      </c>
      <c r="W88" cm="1">
        <f t="array" ref="W88">_xll.VALEUROUTPUT($A$923,_xlfn.CONCAT("THEME14=",$C88),SCENARIOS!$A$2,SCENARIOS!$B$2,W$1)</f>
        <v>0</v>
      </c>
      <c r="X88" cm="1">
        <f t="array" ref="X88">_xll.VALEUROUTPUT($A$923,_xlfn.CONCAT("THEME14=",$C88),SCENARIOS!$A$2,SCENARIOS!$B$2,X$1)</f>
        <v>0</v>
      </c>
      <c r="Y88" cm="1">
        <f t="array" ref="Y88">_xll.VALEUROUTPUT($A$923,_xlfn.CONCAT("THEME14=",$C88),SCENARIOS!$A$2,SCENARIOS!$B$2,Y$1)</f>
        <v>0</v>
      </c>
      <c r="Z88" cm="1">
        <f t="array" ref="Z88">_xll.VALEUROUTPUT($A$923,_xlfn.CONCAT("THEME14=",$C88),SCENARIOS!$A$2,SCENARIOS!$B$2,Z$1)</f>
        <v>0</v>
      </c>
      <c r="AA88" cm="1">
        <f t="array" ref="AA88">_xll.VALEUROUTPUT($A$923,_xlfn.CONCAT("THEME14=",$C88),SCENARIOS!$A$2,SCENARIOS!$B$2,AA$1)</f>
        <v>0</v>
      </c>
      <c r="AB88" cm="1">
        <f t="array" ref="AB88">_xll.VALEUROUTPUT($A$923,_xlfn.CONCAT("THEME14=",$C88),SCENARIOS!$A$2,SCENARIOS!$B$2,AB$1)</f>
        <v>0</v>
      </c>
      <c r="AC88" cm="1">
        <f t="array" ref="AC88">_xll.VALEUROUTPUT($A$923,_xlfn.CONCAT("THEME14=",$C88),SCENARIOS!$A$2,SCENARIOS!$B$2,AC$1)</f>
        <v>0</v>
      </c>
      <c r="AD88" cm="1">
        <f t="array" ref="AD88">_xll.VALEUROUTPUT($A$923,_xlfn.CONCAT("THEME14=",$C88),SCENARIOS!$A$2,SCENARIOS!$B$2,AD$1)</f>
        <v>0</v>
      </c>
      <c r="AE88" cm="1">
        <f t="array" ref="AE88">_xll.VALEUROUTPUT($A$923,_xlfn.CONCAT("THEME14=",$C88),SCENARIOS!$A$2,SCENARIOS!$B$2,AE$1)</f>
        <v>0</v>
      </c>
      <c r="AF88" cm="1">
        <f t="array" ref="AF88">_xll.VALEUROUTPUT($A$923,_xlfn.CONCAT("THEME14=",$C88),SCENARIOS!$A$2,SCENARIOS!$B$2,AF$1)</f>
        <v>0</v>
      </c>
    </row>
    <row r="89" spans="1:32" x14ac:dyDescent="0.25">
      <c r="A89" t="str">
        <v>OSUPREALAUTRES</v>
      </c>
      <c r="D89" cm="1">
        <f t="array" ref="D89">_xll.VALEUROUTPUT($A$923,_xlfn.CONCAT("THEME14=",$C89),SCENARIOS!$A$2,SCENARIOS!$B$2,D$1)</f>
        <v>0</v>
      </c>
      <c r="E89" cm="1">
        <f t="array" ref="E89">_xll.VALEUROUTPUT($A$923,_xlfn.CONCAT("THEME14=",$C89),SCENARIOS!$A$2,SCENARIOS!$B$2,E$1)</f>
        <v>0</v>
      </c>
      <c r="F89" cm="1">
        <f t="array" ref="F89">_xll.VALEUROUTPUT($A$923,_xlfn.CONCAT("THEME14=",$C89),SCENARIOS!$A$2,SCENARIOS!$B$2,F$1)</f>
        <v>0</v>
      </c>
      <c r="G89" cm="1">
        <f t="array" ref="G89">_xll.VALEUROUTPUT($A$923,_xlfn.CONCAT("THEME14=",$C89),SCENARIOS!$A$2,SCENARIOS!$B$2,G$1)</f>
        <v>0</v>
      </c>
      <c r="H89" cm="1">
        <f t="array" ref="H89">_xll.VALEUROUTPUT($A$923,_xlfn.CONCAT("THEME14=",$C89),SCENARIOS!$A$2,SCENARIOS!$B$2,H$1)</f>
        <v>0</v>
      </c>
      <c r="I89" cm="1">
        <f t="array" ref="I89">_xll.VALEUROUTPUT($A$923,_xlfn.CONCAT("THEME14=",$C89),SCENARIOS!$A$2,SCENARIOS!$B$2,I$1)</f>
        <v>0</v>
      </c>
      <c r="J89" cm="1">
        <f t="array" ref="J89">_xll.VALEUROUTPUT($A$923,_xlfn.CONCAT("THEME14=",$C89),SCENARIOS!$A$2,SCENARIOS!$B$2,J$1)</f>
        <v>0</v>
      </c>
      <c r="K89" cm="1">
        <f t="array" ref="K89">_xll.VALEUROUTPUT($A$923,_xlfn.CONCAT("THEME14=",$C89),SCENARIOS!$A$2,SCENARIOS!$B$2,K$1)</f>
        <v>0</v>
      </c>
      <c r="L89" cm="1">
        <f t="array" ref="L89">_xll.VALEUROUTPUT($A$923,_xlfn.CONCAT("THEME14=",$C89),SCENARIOS!$A$2,SCENARIOS!$B$2,L$1)</f>
        <v>0</v>
      </c>
      <c r="M89" cm="1">
        <f t="array" ref="M89">_xll.VALEUROUTPUT($A$923,_xlfn.CONCAT("THEME14=",$C89),SCENARIOS!$A$2,SCENARIOS!$B$2,M$1)</f>
        <v>0</v>
      </c>
      <c r="N89" cm="1">
        <f t="array" ref="N89">_xll.VALEUROUTPUT($A$923,_xlfn.CONCAT("THEME14=",$C89),SCENARIOS!$A$2,SCENARIOS!$B$2,N$1)</f>
        <v>0</v>
      </c>
      <c r="O89" cm="1">
        <f t="array" ref="O89">_xll.VALEUROUTPUT($A$923,_xlfn.CONCAT("THEME14=",$C89),SCENARIOS!$A$2,SCENARIOS!$B$2,O$1)</f>
        <v>0</v>
      </c>
      <c r="P89" cm="1">
        <f t="array" ref="P89">_xll.VALEUROUTPUT($A$923,_xlfn.CONCAT("THEME14=",$C89),SCENARIOS!$A$2,SCENARIOS!$B$2,P$1)</f>
        <v>0</v>
      </c>
      <c r="Q89" cm="1">
        <f t="array" ref="Q89">_xll.VALEUROUTPUT($A$923,_xlfn.CONCAT("THEME14=",$C89),SCENARIOS!$A$2,SCENARIOS!$B$2,Q$1)</f>
        <v>0</v>
      </c>
      <c r="R89" cm="1">
        <f t="array" ref="R89">_xll.VALEUROUTPUT($A$923,_xlfn.CONCAT("THEME14=",$C89),SCENARIOS!$A$2,SCENARIOS!$B$2,R$1)</f>
        <v>0</v>
      </c>
      <c r="S89" cm="1">
        <f t="array" ref="S89">_xll.VALEUROUTPUT($A$923,_xlfn.CONCAT("THEME14=",$C89),SCENARIOS!$A$2,SCENARIOS!$B$2,S$1)</f>
        <v>0</v>
      </c>
      <c r="T89" cm="1">
        <f t="array" ref="T89">_xll.VALEUROUTPUT($A$923,_xlfn.CONCAT("THEME14=",$C89),SCENARIOS!$A$2,SCENARIOS!$B$2,T$1)</f>
        <v>0</v>
      </c>
      <c r="U89" cm="1">
        <f t="array" ref="U89">_xll.VALEUROUTPUT($A$923,_xlfn.CONCAT("THEME14=",$C89),SCENARIOS!$A$2,SCENARIOS!$B$2,U$1)</f>
        <v>0</v>
      </c>
      <c r="V89" cm="1">
        <f t="array" ref="V89">_xll.VALEUROUTPUT($A$923,_xlfn.CONCAT("THEME14=",$C89),SCENARIOS!$A$2,SCENARIOS!$B$2,V$1)</f>
        <v>0</v>
      </c>
      <c r="W89" cm="1">
        <f t="array" ref="W89">_xll.VALEUROUTPUT($A$923,_xlfn.CONCAT("THEME14=",$C89),SCENARIOS!$A$2,SCENARIOS!$B$2,W$1)</f>
        <v>0</v>
      </c>
      <c r="X89" cm="1">
        <f t="array" ref="X89">_xll.VALEUROUTPUT($A$923,_xlfn.CONCAT("THEME14=",$C89),SCENARIOS!$A$2,SCENARIOS!$B$2,X$1)</f>
        <v>0</v>
      </c>
      <c r="Y89" cm="1">
        <f t="array" ref="Y89">_xll.VALEUROUTPUT($A$923,_xlfn.CONCAT("THEME14=",$C89),SCENARIOS!$A$2,SCENARIOS!$B$2,Y$1)</f>
        <v>0</v>
      </c>
      <c r="Z89" cm="1">
        <f t="array" ref="Z89">_xll.VALEUROUTPUT($A$923,_xlfn.CONCAT("THEME14=",$C89),SCENARIOS!$A$2,SCENARIOS!$B$2,Z$1)</f>
        <v>0</v>
      </c>
      <c r="AA89" cm="1">
        <f t="array" ref="AA89">_xll.VALEUROUTPUT($A$923,_xlfn.CONCAT("THEME14=",$C89),SCENARIOS!$A$2,SCENARIOS!$B$2,AA$1)</f>
        <v>0</v>
      </c>
      <c r="AB89" cm="1">
        <f t="array" ref="AB89">_xll.VALEUROUTPUT($A$923,_xlfn.CONCAT("THEME14=",$C89),SCENARIOS!$A$2,SCENARIOS!$B$2,AB$1)</f>
        <v>0</v>
      </c>
      <c r="AC89" cm="1">
        <f t="array" ref="AC89">_xll.VALEUROUTPUT($A$923,_xlfn.CONCAT("THEME14=",$C89),SCENARIOS!$A$2,SCENARIOS!$B$2,AC$1)</f>
        <v>0</v>
      </c>
      <c r="AD89" cm="1">
        <f t="array" ref="AD89">_xll.VALEUROUTPUT($A$923,_xlfn.CONCAT("THEME14=",$C89),SCENARIOS!$A$2,SCENARIOS!$B$2,AD$1)</f>
        <v>0</v>
      </c>
      <c r="AE89" cm="1">
        <f t="array" ref="AE89">_xll.VALEUROUTPUT($A$923,_xlfn.CONCAT("THEME14=",$C89),SCENARIOS!$A$2,SCENARIOS!$B$2,AE$1)</f>
        <v>0</v>
      </c>
      <c r="AF89" cm="1">
        <f t="array" ref="AF89">_xll.VALEUROUTPUT($A$923,_xlfn.CONCAT("THEME14=",$C89),SCENARIOS!$A$2,SCENARIOS!$B$2,AF$1)</f>
        <v>0</v>
      </c>
    </row>
    <row r="90" spans="1:32" x14ac:dyDescent="0.25">
      <c r="A90" t="str">
        <v>OVOLBOJADMAEC</v>
      </c>
      <c r="D90" cm="1">
        <f t="array" ref="D90">_xll.VALEUROUTPUT($A$923,_xlfn.CONCAT("THEME14=",$C90),SCENARIOS!$A$2,SCENARIOS!$B$2,D$1)</f>
        <v>0</v>
      </c>
      <c r="E90" cm="1">
        <f t="array" ref="E90">_xll.VALEUROUTPUT($A$923,_xlfn.CONCAT("THEME14=",$C90),SCENARIOS!$A$2,SCENARIOS!$B$2,E$1)</f>
        <v>0</v>
      </c>
      <c r="F90" cm="1">
        <f t="array" ref="F90">_xll.VALEUROUTPUT($A$923,_xlfn.CONCAT("THEME14=",$C90),SCENARIOS!$A$2,SCENARIOS!$B$2,F$1)</f>
        <v>0</v>
      </c>
      <c r="G90" cm="1">
        <f t="array" ref="G90">_xll.VALEUROUTPUT($A$923,_xlfn.CONCAT("THEME14=",$C90),SCENARIOS!$A$2,SCENARIOS!$B$2,G$1)</f>
        <v>0</v>
      </c>
      <c r="H90" cm="1">
        <f t="array" ref="H90">_xll.VALEUROUTPUT($A$923,_xlfn.CONCAT("THEME14=",$C90),SCENARIOS!$A$2,SCENARIOS!$B$2,H$1)</f>
        <v>0</v>
      </c>
      <c r="I90" cm="1">
        <f t="array" ref="I90">_xll.VALEUROUTPUT($A$923,_xlfn.CONCAT("THEME14=",$C90),SCENARIOS!$A$2,SCENARIOS!$B$2,I$1)</f>
        <v>0</v>
      </c>
      <c r="J90" cm="1">
        <f t="array" ref="J90">_xll.VALEUROUTPUT($A$923,_xlfn.CONCAT("THEME14=",$C90),SCENARIOS!$A$2,SCENARIOS!$B$2,J$1)</f>
        <v>0</v>
      </c>
      <c r="K90" cm="1">
        <f t="array" ref="K90">_xll.VALEUROUTPUT($A$923,_xlfn.CONCAT("THEME14=",$C90),SCENARIOS!$A$2,SCENARIOS!$B$2,K$1)</f>
        <v>0</v>
      </c>
      <c r="L90" cm="1">
        <f t="array" ref="L90">_xll.VALEUROUTPUT($A$923,_xlfn.CONCAT("THEME14=",$C90),SCENARIOS!$A$2,SCENARIOS!$B$2,L$1)</f>
        <v>0</v>
      </c>
      <c r="M90" cm="1">
        <f t="array" ref="M90">_xll.VALEUROUTPUT($A$923,_xlfn.CONCAT("THEME14=",$C90),SCENARIOS!$A$2,SCENARIOS!$B$2,M$1)</f>
        <v>0</v>
      </c>
      <c r="N90" cm="1">
        <f t="array" ref="N90">_xll.VALEUROUTPUT($A$923,_xlfn.CONCAT("THEME14=",$C90),SCENARIOS!$A$2,SCENARIOS!$B$2,N$1)</f>
        <v>0</v>
      </c>
      <c r="O90" cm="1">
        <f t="array" ref="O90">_xll.VALEUROUTPUT($A$923,_xlfn.CONCAT("THEME14=",$C90),SCENARIOS!$A$2,SCENARIOS!$B$2,O$1)</f>
        <v>0</v>
      </c>
      <c r="P90" cm="1">
        <f t="array" ref="P90">_xll.VALEUROUTPUT($A$923,_xlfn.CONCAT("THEME14=",$C90),SCENARIOS!$A$2,SCENARIOS!$B$2,P$1)</f>
        <v>0</v>
      </c>
      <c r="Q90" cm="1">
        <f t="array" ref="Q90">_xll.VALEUROUTPUT($A$923,_xlfn.CONCAT("THEME14=",$C90),SCENARIOS!$A$2,SCENARIOS!$B$2,Q$1)</f>
        <v>0</v>
      </c>
      <c r="R90" cm="1">
        <f t="array" ref="R90">_xll.VALEUROUTPUT($A$923,_xlfn.CONCAT("THEME14=",$C90),SCENARIOS!$A$2,SCENARIOS!$B$2,R$1)</f>
        <v>0</v>
      </c>
      <c r="S90" cm="1">
        <f t="array" ref="S90">_xll.VALEUROUTPUT($A$923,_xlfn.CONCAT("THEME14=",$C90),SCENARIOS!$A$2,SCENARIOS!$B$2,S$1)</f>
        <v>0</v>
      </c>
      <c r="T90" cm="1">
        <f t="array" ref="T90">_xll.VALEUROUTPUT($A$923,_xlfn.CONCAT("THEME14=",$C90),SCENARIOS!$A$2,SCENARIOS!$B$2,T$1)</f>
        <v>0</v>
      </c>
      <c r="U90" cm="1">
        <f t="array" ref="U90">_xll.VALEUROUTPUT($A$923,_xlfn.CONCAT("THEME14=",$C90),SCENARIOS!$A$2,SCENARIOS!$B$2,U$1)</f>
        <v>0</v>
      </c>
      <c r="V90" cm="1">
        <f t="array" ref="V90">_xll.VALEUROUTPUT($A$923,_xlfn.CONCAT("THEME14=",$C90),SCENARIOS!$A$2,SCENARIOS!$B$2,V$1)</f>
        <v>0</v>
      </c>
      <c r="W90" cm="1">
        <f t="array" ref="W90">_xll.VALEUROUTPUT($A$923,_xlfn.CONCAT("THEME14=",$C90),SCENARIOS!$A$2,SCENARIOS!$B$2,W$1)</f>
        <v>0</v>
      </c>
      <c r="X90" cm="1">
        <f t="array" ref="X90">_xll.VALEUROUTPUT($A$923,_xlfn.CONCAT("THEME14=",$C90),SCENARIOS!$A$2,SCENARIOS!$B$2,X$1)</f>
        <v>0</v>
      </c>
      <c r="Y90" cm="1">
        <f t="array" ref="Y90">_xll.VALEUROUTPUT($A$923,_xlfn.CONCAT("THEME14=",$C90),SCENARIOS!$A$2,SCENARIOS!$B$2,Y$1)</f>
        <v>0</v>
      </c>
      <c r="Z90" cm="1">
        <f t="array" ref="Z90">_xll.VALEUROUTPUT($A$923,_xlfn.CONCAT("THEME14=",$C90),SCENARIOS!$A$2,SCENARIOS!$B$2,Z$1)</f>
        <v>0</v>
      </c>
      <c r="AA90" cm="1">
        <f t="array" ref="AA90">_xll.VALEUROUTPUT($A$923,_xlfn.CONCAT("THEME14=",$C90),SCENARIOS!$A$2,SCENARIOS!$B$2,AA$1)</f>
        <v>0</v>
      </c>
      <c r="AB90" cm="1">
        <f t="array" ref="AB90">_xll.VALEUROUTPUT($A$923,_xlfn.CONCAT("THEME14=",$C90),SCENARIOS!$A$2,SCENARIOS!$B$2,AB$1)</f>
        <v>0</v>
      </c>
      <c r="AC90" cm="1">
        <f t="array" ref="AC90">_xll.VALEUROUTPUT($A$923,_xlfn.CONCAT("THEME14=",$C90),SCENARIOS!$A$2,SCENARIOS!$B$2,AC$1)</f>
        <v>0</v>
      </c>
      <c r="AD90" cm="1">
        <f t="array" ref="AD90">_xll.VALEUROUTPUT($A$923,_xlfn.CONCAT("THEME14=",$C90),SCENARIOS!$A$2,SCENARIOS!$B$2,AD$1)</f>
        <v>0</v>
      </c>
      <c r="AE90" cm="1">
        <f t="array" ref="AE90">_xll.VALEUROUTPUT($A$923,_xlfn.CONCAT("THEME14=",$C90),SCENARIOS!$A$2,SCENARIOS!$B$2,AE$1)</f>
        <v>0</v>
      </c>
      <c r="AF90" cm="1">
        <f t="array" ref="AF90">_xll.VALEUROUTPUT($A$923,_xlfn.CONCAT("THEME14=",$C90),SCENARIOS!$A$2,SCENARIOS!$B$2,AF$1)</f>
        <v>0</v>
      </c>
    </row>
    <row r="91" spans="1:32" x14ac:dyDescent="0.25">
      <c r="A91" t="str">
        <v>OVOLBOJADMAEC2</v>
      </c>
      <c r="D91" cm="1">
        <f t="array" ref="D91">_xll.VALEUROUTPUT($A$923,_xlfn.CONCAT("THEME14=",$C91),SCENARIOS!$A$2,SCENARIOS!$B$2,D$1)</f>
        <v>0</v>
      </c>
      <c r="E91" cm="1">
        <f t="array" ref="E91">_xll.VALEUROUTPUT($A$923,_xlfn.CONCAT("THEME14=",$C91),SCENARIOS!$A$2,SCENARIOS!$B$2,E$1)</f>
        <v>0</v>
      </c>
      <c r="F91" cm="1">
        <f t="array" ref="F91">_xll.VALEUROUTPUT($A$923,_xlfn.CONCAT("THEME14=",$C91),SCENARIOS!$A$2,SCENARIOS!$B$2,F$1)</f>
        <v>0</v>
      </c>
      <c r="G91" cm="1">
        <f t="array" ref="G91">_xll.VALEUROUTPUT($A$923,_xlfn.CONCAT("THEME14=",$C91),SCENARIOS!$A$2,SCENARIOS!$B$2,G$1)</f>
        <v>0</v>
      </c>
      <c r="H91" cm="1">
        <f t="array" ref="H91">_xll.VALEUROUTPUT($A$923,_xlfn.CONCAT("THEME14=",$C91),SCENARIOS!$A$2,SCENARIOS!$B$2,H$1)</f>
        <v>0</v>
      </c>
      <c r="I91" cm="1">
        <f t="array" ref="I91">_xll.VALEUROUTPUT($A$923,_xlfn.CONCAT("THEME14=",$C91),SCENARIOS!$A$2,SCENARIOS!$B$2,I$1)</f>
        <v>0</v>
      </c>
      <c r="J91" cm="1">
        <f t="array" ref="J91">_xll.VALEUROUTPUT($A$923,_xlfn.CONCAT("THEME14=",$C91),SCENARIOS!$A$2,SCENARIOS!$B$2,J$1)</f>
        <v>0</v>
      </c>
      <c r="K91" cm="1">
        <f t="array" ref="K91">_xll.VALEUROUTPUT($A$923,_xlfn.CONCAT("THEME14=",$C91),SCENARIOS!$A$2,SCENARIOS!$B$2,K$1)</f>
        <v>0</v>
      </c>
      <c r="L91" cm="1">
        <f t="array" ref="L91">_xll.VALEUROUTPUT($A$923,_xlfn.CONCAT("THEME14=",$C91),SCENARIOS!$A$2,SCENARIOS!$B$2,L$1)</f>
        <v>0</v>
      </c>
      <c r="M91" cm="1">
        <f t="array" ref="M91">_xll.VALEUROUTPUT($A$923,_xlfn.CONCAT("THEME14=",$C91),SCENARIOS!$A$2,SCENARIOS!$B$2,M$1)</f>
        <v>0</v>
      </c>
      <c r="N91" cm="1">
        <f t="array" ref="N91">_xll.VALEUROUTPUT($A$923,_xlfn.CONCAT("THEME14=",$C91),SCENARIOS!$A$2,SCENARIOS!$B$2,N$1)</f>
        <v>0</v>
      </c>
      <c r="O91" cm="1">
        <f t="array" ref="O91">_xll.VALEUROUTPUT($A$923,_xlfn.CONCAT("THEME14=",$C91),SCENARIOS!$A$2,SCENARIOS!$B$2,O$1)</f>
        <v>0</v>
      </c>
      <c r="P91" cm="1">
        <f t="array" ref="P91">_xll.VALEUROUTPUT($A$923,_xlfn.CONCAT("THEME14=",$C91),SCENARIOS!$A$2,SCENARIOS!$B$2,P$1)</f>
        <v>0</v>
      </c>
      <c r="Q91" cm="1">
        <f t="array" ref="Q91">_xll.VALEUROUTPUT($A$923,_xlfn.CONCAT("THEME14=",$C91),SCENARIOS!$A$2,SCENARIOS!$B$2,Q$1)</f>
        <v>0</v>
      </c>
      <c r="R91" cm="1">
        <f t="array" ref="R91">_xll.VALEUROUTPUT($A$923,_xlfn.CONCAT("THEME14=",$C91),SCENARIOS!$A$2,SCENARIOS!$B$2,R$1)</f>
        <v>0</v>
      </c>
      <c r="S91" cm="1">
        <f t="array" ref="S91">_xll.VALEUROUTPUT($A$923,_xlfn.CONCAT("THEME14=",$C91),SCENARIOS!$A$2,SCENARIOS!$B$2,S$1)</f>
        <v>0</v>
      </c>
      <c r="T91" cm="1">
        <f t="array" ref="T91">_xll.VALEUROUTPUT($A$923,_xlfn.CONCAT("THEME14=",$C91),SCENARIOS!$A$2,SCENARIOS!$B$2,T$1)</f>
        <v>0</v>
      </c>
      <c r="U91" cm="1">
        <f t="array" ref="U91">_xll.VALEUROUTPUT($A$923,_xlfn.CONCAT("THEME14=",$C91),SCENARIOS!$A$2,SCENARIOS!$B$2,U$1)</f>
        <v>0</v>
      </c>
      <c r="V91" cm="1">
        <f t="array" ref="V91">_xll.VALEUROUTPUT($A$923,_xlfn.CONCAT("THEME14=",$C91),SCENARIOS!$A$2,SCENARIOS!$B$2,V$1)</f>
        <v>0</v>
      </c>
      <c r="W91" cm="1">
        <f t="array" ref="W91">_xll.VALEUROUTPUT($A$923,_xlfn.CONCAT("THEME14=",$C91),SCENARIOS!$A$2,SCENARIOS!$B$2,W$1)</f>
        <v>0</v>
      </c>
      <c r="X91" cm="1">
        <f t="array" ref="X91">_xll.VALEUROUTPUT($A$923,_xlfn.CONCAT("THEME14=",$C91),SCENARIOS!$A$2,SCENARIOS!$B$2,X$1)</f>
        <v>0</v>
      </c>
      <c r="Y91" cm="1">
        <f t="array" ref="Y91">_xll.VALEUROUTPUT($A$923,_xlfn.CONCAT("THEME14=",$C91),SCENARIOS!$A$2,SCENARIOS!$B$2,Y$1)</f>
        <v>0</v>
      </c>
      <c r="Z91" cm="1">
        <f t="array" ref="Z91">_xll.VALEUROUTPUT($A$923,_xlfn.CONCAT("THEME14=",$C91),SCENARIOS!$A$2,SCENARIOS!$B$2,Z$1)</f>
        <v>0</v>
      </c>
      <c r="AA91" cm="1">
        <f t="array" ref="AA91">_xll.VALEUROUTPUT($A$923,_xlfn.CONCAT("THEME14=",$C91),SCENARIOS!$A$2,SCENARIOS!$B$2,AA$1)</f>
        <v>0</v>
      </c>
      <c r="AB91" cm="1">
        <f t="array" ref="AB91">_xll.VALEUROUTPUT($A$923,_xlfn.CONCAT("THEME14=",$C91),SCENARIOS!$A$2,SCENARIOS!$B$2,AB$1)</f>
        <v>0</v>
      </c>
      <c r="AC91" cm="1">
        <f t="array" ref="AC91">_xll.VALEUROUTPUT($A$923,_xlfn.CONCAT("THEME14=",$C91),SCENARIOS!$A$2,SCENARIOS!$B$2,AC$1)</f>
        <v>0</v>
      </c>
      <c r="AD91" cm="1">
        <f t="array" ref="AD91">_xll.VALEUROUTPUT($A$923,_xlfn.CONCAT("THEME14=",$C91),SCENARIOS!$A$2,SCENARIOS!$B$2,AD$1)</f>
        <v>0</v>
      </c>
      <c r="AE91" cm="1">
        <f t="array" ref="AE91">_xll.VALEUROUTPUT($A$923,_xlfn.CONCAT("THEME14=",$C91),SCENARIOS!$A$2,SCENARIOS!$B$2,AE$1)</f>
        <v>0</v>
      </c>
      <c r="AF91" cm="1">
        <f t="array" ref="AF91">_xll.VALEUROUTPUT($A$923,_xlfn.CONCAT("THEME14=",$C91),SCENARIOS!$A$2,SCENARIOS!$B$2,AF$1)</f>
        <v>0</v>
      </c>
    </row>
    <row r="92" spans="1:32" x14ac:dyDescent="0.25">
      <c r="A92" t="str">
        <v>OVOLBOJADMAEC3</v>
      </c>
      <c r="D92" cm="1">
        <f t="array" ref="D92">_xll.VALEUROUTPUT($A$923,_xlfn.CONCAT("THEME14=",$C92),SCENARIOS!$A$2,SCENARIOS!$B$2,D$1)</f>
        <v>0</v>
      </c>
      <c r="E92" cm="1">
        <f t="array" ref="E92">_xll.VALEUROUTPUT($A$923,_xlfn.CONCAT("THEME14=",$C92),SCENARIOS!$A$2,SCENARIOS!$B$2,E$1)</f>
        <v>0</v>
      </c>
      <c r="F92" cm="1">
        <f t="array" ref="F92">_xll.VALEUROUTPUT($A$923,_xlfn.CONCAT("THEME14=",$C92),SCENARIOS!$A$2,SCENARIOS!$B$2,F$1)</f>
        <v>0</v>
      </c>
      <c r="G92" cm="1">
        <f t="array" ref="G92">_xll.VALEUROUTPUT($A$923,_xlfn.CONCAT("THEME14=",$C92),SCENARIOS!$A$2,SCENARIOS!$B$2,G$1)</f>
        <v>0</v>
      </c>
      <c r="H92" cm="1">
        <f t="array" ref="H92">_xll.VALEUROUTPUT($A$923,_xlfn.CONCAT("THEME14=",$C92),SCENARIOS!$A$2,SCENARIOS!$B$2,H$1)</f>
        <v>0</v>
      </c>
      <c r="I92" cm="1">
        <f t="array" ref="I92">_xll.VALEUROUTPUT($A$923,_xlfn.CONCAT("THEME14=",$C92),SCENARIOS!$A$2,SCENARIOS!$B$2,I$1)</f>
        <v>0</v>
      </c>
      <c r="J92" cm="1">
        <f t="array" ref="J92">_xll.VALEUROUTPUT($A$923,_xlfn.CONCAT("THEME14=",$C92),SCENARIOS!$A$2,SCENARIOS!$B$2,J$1)</f>
        <v>0</v>
      </c>
      <c r="K92" cm="1">
        <f t="array" ref="K92">_xll.VALEUROUTPUT($A$923,_xlfn.CONCAT("THEME14=",$C92),SCENARIOS!$A$2,SCENARIOS!$B$2,K$1)</f>
        <v>0</v>
      </c>
      <c r="L92" cm="1">
        <f t="array" ref="L92">_xll.VALEUROUTPUT($A$923,_xlfn.CONCAT("THEME14=",$C92),SCENARIOS!$A$2,SCENARIOS!$B$2,L$1)</f>
        <v>0</v>
      </c>
      <c r="M92" cm="1">
        <f t="array" ref="M92">_xll.VALEUROUTPUT($A$923,_xlfn.CONCAT("THEME14=",$C92),SCENARIOS!$A$2,SCENARIOS!$B$2,M$1)</f>
        <v>0</v>
      </c>
      <c r="N92" cm="1">
        <f t="array" ref="N92">_xll.VALEUROUTPUT($A$923,_xlfn.CONCAT("THEME14=",$C92),SCENARIOS!$A$2,SCENARIOS!$B$2,N$1)</f>
        <v>0</v>
      </c>
      <c r="O92" cm="1">
        <f t="array" ref="O92">_xll.VALEUROUTPUT($A$923,_xlfn.CONCAT("THEME14=",$C92),SCENARIOS!$A$2,SCENARIOS!$B$2,O$1)</f>
        <v>0</v>
      </c>
      <c r="P92" cm="1">
        <f t="array" ref="P92">_xll.VALEUROUTPUT($A$923,_xlfn.CONCAT("THEME14=",$C92),SCENARIOS!$A$2,SCENARIOS!$B$2,P$1)</f>
        <v>0</v>
      </c>
      <c r="Q92" cm="1">
        <f t="array" ref="Q92">_xll.VALEUROUTPUT($A$923,_xlfn.CONCAT("THEME14=",$C92),SCENARIOS!$A$2,SCENARIOS!$B$2,Q$1)</f>
        <v>0</v>
      </c>
      <c r="R92" cm="1">
        <f t="array" ref="R92">_xll.VALEUROUTPUT($A$923,_xlfn.CONCAT("THEME14=",$C92),SCENARIOS!$A$2,SCENARIOS!$B$2,R$1)</f>
        <v>0</v>
      </c>
      <c r="S92" cm="1">
        <f t="array" ref="S92">_xll.VALEUROUTPUT($A$923,_xlfn.CONCAT("THEME14=",$C92),SCENARIOS!$A$2,SCENARIOS!$B$2,S$1)</f>
        <v>0</v>
      </c>
      <c r="T92" cm="1">
        <f t="array" ref="T92">_xll.VALEUROUTPUT($A$923,_xlfn.CONCAT("THEME14=",$C92),SCENARIOS!$A$2,SCENARIOS!$B$2,T$1)</f>
        <v>0</v>
      </c>
      <c r="U92" cm="1">
        <f t="array" ref="U92">_xll.VALEUROUTPUT($A$923,_xlfn.CONCAT("THEME14=",$C92),SCENARIOS!$A$2,SCENARIOS!$B$2,U$1)</f>
        <v>0</v>
      </c>
      <c r="V92" cm="1">
        <f t="array" ref="V92">_xll.VALEUROUTPUT($A$923,_xlfn.CONCAT("THEME14=",$C92),SCENARIOS!$A$2,SCENARIOS!$B$2,V$1)</f>
        <v>0</v>
      </c>
      <c r="W92" cm="1">
        <f t="array" ref="W92">_xll.VALEUROUTPUT($A$923,_xlfn.CONCAT("THEME14=",$C92),SCENARIOS!$A$2,SCENARIOS!$B$2,W$1)</f>
        <v>0</v>
      </c>
      <c r="X92" cm="1">
        <f t="array" ref="X92">_xll.VALEUROUTPUT($A$923,_xlfn.CONCAT("THEME14=",$C92),SCENARIOS!$A$2,SCENARIOS!$B$2,X$1)</f>
        <v>0</v>
      </c>
      <c r="Y92" cm="1">
        <f t="array" ref="Y92">_xll.VALEUROUTPUT($A$923,_xlfn.CONCAT("THEME14=",$C92),SCENARIOS!$A$2,SCENARIOS!$B$2,Y$1)</f>
        <v>0</v>
      </c>
      <c r="Z92" cm="1">
        <f t="array" ref="Z92">_xll.VALEUROUTPUT($A$923,_xlfn.CONCAT("THEME14=",$C92),SCENARIOS!$A$2,SCENARIOS!$B$2,Z$1)</f>
        <v>0</v>
      </c>
      <c r="AA92" cm="1">
        <f t="array" ref="AA92">_xll.VALEUROUTPUT($A$923,_xlfn.CONCAT("THEME14=",$C92),SCENARIOS!$A$2,SCENARIOS!$B$2,AA$1)</f>
        <v>0</v>
      </c>
      <c r="AB92" cm="1">
        <f t="array" ref="AB92">_xll.VALEUROUTPUT($A$923,_xlfn.CONCAT("THEME14=",$C92),SCENARIOS!$A$2,SCENARIOS!$B$2,AB$1)</f>
        <v>0</v>
      </c>
      <c r="AC92" cm="1">
        <f t="array" ref="AC92">_xll.VALEUROUTPUT($A$923,_xlfn.CONCAT("THEME14=",$C92),SCENARIOS!$A$2,SCENARIOS!$B$2,AC$1)</f>
        <v>0</v>
      </c>
      <c r="AD92" cm="1">
        <f t="array" ref="AD92">_xll.VALEUROUTPUT($A$923,_xlfn.CONCAT("THEME14=",$C92),SCENARIOS!$A$2,SCENARIOS!$B$2,AD$1)</f>
        <v>0</v>
      </c>
      <c r="AE92" cm="1">
        <f t="array" ref="AE92">_xll.VALEUROUTPUT($A$923,_xlfn.CONCAT("THEME14=",$C92),SCENARIOS!$A$2,SCENARIOS!$B$2,AE$1)</f>
        <v>0</v>
      </c>
      <c r="AF92" cm="1">
        <f t="array" ref="AF92">_xll.VALEUROUTPUT($A$923,_xlfn.CONCAT("THEME14=",$C92),SCENARIOS!$A$2,SCENARIOS!$B$2,AF$1)</f>
        <v>0</v>
      </c>
    </row>
    <row r="93" spans="1:32" x14ac:dyDescent="0.25">
      <c r="A93" t="str">
        <v>OVOLBOJADMACA</v>
      </c>
      <c r="D93" cm="1">
        <f t="array" ref="D93">_xll.VALEUROUTPUT($A$923,_xlfn.CONCAT("THEME14=",$C93),SCENARIOS!$A$2,SCENARIOS!$B$2,D$1)</f>
        <v>0</v>
      </c>
      <c r="E93" cm="1">
        <f t="array" ref="E93">_xll.VALEUROUTPUT($A$923,_xlfn.CONCAT("THEME14=",$C93),SCENARIOS!$A$2,SCENARIOS!$B$2,E$1)</f>
        <v>0</v>
      </c>
      <c r="F93" cm="1">
        <f t="array" ref="F93">_xll.VALEUROUTPUT($A$923,_xlfn.CONCAT("THEME14=",$C93),SCENARIOS!$A$2,SCENARIOS!$B$2,F$1)</f>
        <v>0</v>
      </c>
      <c r="G93" cm="1">
        <f t="array" ref="G93">_xll.VALEUROUTPUT($A$923,_xlfn.CONCAT("THEME14=",$C93),SCENARIOS!$A$2,SCENARIOS!$B$2,G$1)</f>
        <v>0</v>
      </c>
      <c r="H93" cm="1">
        <f t="array" ref="H93">_xll.VALEUROUTPUT($A$923,_xlfn.CONCAT("THEME14=",$C93),SCENARIOS!$A$2,SCENARIOS!$B$2,H$1)</f>
        <v>0</v>
      </c>
      <c r="I93" cm="1">
        <f t="array" ref="I93">_xll.VALEUROUTPUT($A$923,_xlfn.CONCAT("THEME14=",$C93),SCENARIOS!$A$2,SCENARIOS!$B$2,I$1)</f>
        <v>0</v>
      </c>
      <c r="J93" cm="1">
        <f t="array" ref="J93">_xll.VALEUROUTPUT($A$923,_xlfn.CONCAT("THEME14=",$C93),SCENARIOS!$A$2,SCENARIOS!$B$2,J$1)</f>
        <v>0</v>
      </c>
      <c r="K93" cm="1">
        <f t="array" ref="K93">_xll.VALEUROUTPUT($A$923,_xlfn.CONCAT("THEME14=",$C93),SCENARIOS!$A$2,SCENARIOS!$B$2,K$1)</f>
        <v>0</v>
      </c>
      <c r="L93" cm="1">
        <f t="array" ref="L93">_xll.VALEUROUTPUT($A$923,_xlfn.CONCAT("THEME14=",$C93),SCENARIOS!$A$2,SCENARIOS!$B$2,L$1)</f>
        <v>0</v>
      </c>
      <c r="M93" cm="1">
        <f t="array" ref="M93">_xll.VALEUROUTPUT($A$923,_xlfn.CONCAT("THEME14=",$C93),SCENARIOS!$A$2,SCENARIOS!$B$2,M$1)</f>
        <v>0</v>
      </c>
      <c r="N93" cm="1">
        <f t="array" ref="N93">_xll.VALEUROUTPUT($A$923,_xlfn.CONCAT("THEME14=",$C93),SCENARIOS!$A$2,SCENARIOS!$B$2,N$1)</f>
        <v>0</v>
      </c>
      <c r="O93" cm="1">
        <f t="array" ref="O93">_xll.VALEUROUTPUT($A$923,_xlfn.CONCAT("THEME14=",$C93),SCENARIOS!$A$2,SCENARIOS!$B$2,O$1)</f>
        <v>0</v>
      </c>
      <c r="P93" cm="1">
        <f t="array" ref="P93">_xll.VALEUROUTPUT($A$923,_xlfn.CONCAT("THEME14=",$C93),SCENARIOS!$A$2,SCENARIOS!$B$2,P$1)</f>
        <v>0</v>
      </c>
      <c r="Q93" cm="1">
        <f t="array" ref="Q93">_xll.VALEUROUTPUT($A$923,_xlfn.CONCAT("THEME14=",$C93),SCENARIOS!$A$2,SCENARIOS!$B$2,Q$1)</f>
        <v>0</v>
      </c>
      <c r="R93" cm="1">
        <f t="array" ref="R93">_xll.VALEUROUTPUT($A$923,_xlfn.CONCAT("THEME14=",$C93),SCENARIOS!$A$2,SCENARIOS!$B$2,R$1)</f>
        <v>0</v>
      </c>
      <c r="S93" cm="1">
        <f t="array" ref="S93">_xll.VALEUROUTPUT($A$923,_xlfn.CONCAT("THEME14=",$C93),SCENARIOS!$A$2,SCENARIOS!$B$2,S$1)</f>
        <v>0</v>
      </c>
      <c r="T93" cm="1">
        <f t="array" ref="T93">_xll.VALEUROUTPUT($A$923,_xlfn.CONCAT("THEME14=",$C93),SCENARIOS!$A$2,SCENARIOS!$B$2,T$1)</f>
        <v>0</v>
      </c>
      <c r="U93" cm="1">
        <f t="array" ref="U93">_xll.VALEUROUTPUT($A$923,_xlfn.CONCAT("THEME14=",$C93),SCENARIOS!$A$2,SCENARIOS!$B$2,U$1)</f>
        <v>0</v>
      </c>
      <c r="V93" cm="1">
        <f t="array" ref="V93">_xll.VALEUROUTPUT($A$923,_xlfn.CONCAT("THEME14=",$C93),SCENARIOS!$A$2,SCENARIOS!$B$2,V$1)</f>
        <v>0</v>
      </c>
      <c r="W93" cm="1">
        <f t="array" ref="W93">_xll.VALEUROUTPUT($A$923,_xlfn.CONCAT("THEME14=",$C93),SCENARIOS!$A$2,SCENARIOS!$B$2,W$1)</f>
        <v>0</v>
      </c>
      <c r="X93" cm="1">
        <f t="array" ref="X93">_xll.VALEUROUTPUT($A$923,_xlfn.CONCAT("THEME14=",$C93),SCENARIOS!$A$2,SCENARIOS!$B$2,X$1)</f>
        <v>0</v>
      </c>
      <c r="Y93" cm="1">
        <f t="array" ref="Y93">_xll.VALEUROUTPUT($A$923,_xlfn.CONCAT("THEME14=",$C93),SCENARIOS!$A$2,SCENARIOS!$B$2,Y$1)</f>
        <v>0</v>
      </c>
      <c r="Z93" cm="1">
        <f t="array" ref="Z93">_xll.VALEUROUTPUT($A$923,_xlfn.CONCAT("THEME14=",$C93),SCENARIOS!$A$2,SCENARIOS!$B$2,Z$1)</f>
        <v>0</v>
      </c>
      <c r="AA93" cm="1">
        <f t="array" ref="AA93">_xll.VALEUROUTPUT($A$923,_xlfn.CONCAT("THEME14=",$C93),SCENARIOS!$A$2,SCENARIOS!$B$2,AA$1)</f>
        <v>0</v>
      </c>
      <c r="AB93" cm="1">
        <f t="array" ref="AB93">_xll.VALEUROUTPUT($A$923,_xlfn.CONCAT("THEME14=",$C93),SCENARIOS!$A$2,SCENARIOS!$B$2,AB$1)</f>
        <v>0</v>
      </c>
      <c r="AC93" cm="1">
        <f t="array" ref="AC93">_xll.VALEUROUTPUT($A$923,_xlfn.CONCAT("THEME14=",$C93),SCENARIOS!$A$2,SCENARIOS!$B$2,AC$1)</f>
        <v>0</v>
      </c>
      <c r="AD93" cm="1">
        <f t="array" ref="AD93">_xll.VALEUROUTPUT($A$923,_xlfn.CONCAT("THEME14=",$C93),SCENARIOS!$A$2,SCENARIOS!$B$2,AD$1)</f>
        <v>0</v>
      </c>
      <c r="AE93" cm="1">
        <f t="array" ref="AE93">_xll.VALEUROUTPUT($A$923,_xlfn.CONCAT("THEME14=",$C93),SCENARIOS!$A$2,SCENARIOS!$B$2,AE$1)</f>
        <v>0</v>
      </c>
      <c r="AF93" cm="1">
        <f t="array" ref="AF93">_xll.VALEUROUTPUT($A$923,_xlfn.CONCAT("THEME14=",$C93),SCENARIOS!$A$2,SCENARIOS!$B$2,AF$1)</f>
        <v>0</v>
      </c>
    </row>
    <row r="94" spans="1:32" x14ac:dyDescent="0.25">
      <c r="A94" t="str">
        <v>OVOLBOJADMACA2</v>
      </c>
      <c r="D94" cm="1">
        <f t="array" ref="D94">_xll.VALEUROUTPUT($A$923,_xlfn.CONCAT("THEME14=",$C94),SCENARIOS!$A$2,SCENARIOS!$B$2,D$1)</f>
        <v>0</v>
      </c>
      <c r="E94" cm="1">
        <f t="array" ref="E94">_xll.VALEUROUTPUT($A$923,_xlfn.CONCAT("THEME14=",$C94),SCENARIOS!$A$2,SCENARIOS!$B$2,E$1)</f>
        <v>0</v>
      </c>
      <c r="F94" cm="1">
        <f t="array" ref="F94">_xll.VALEUROUTPUT($A$923,_xlfn.CONCAT("THEME14=",$C94),SCENARIOS!$A$2,SCENARIOS!$B$2,F$1)</f>
        <v>0</v>
      </c>
      <c r="G94" cm="1">
        <f t="array" ref="G94">_xll.VALEUROUTPUT($A$923,_xlfn.CONCAT("THEME14=",$C94),SCENARIOS!$A$2,SCENARIOS!$B$2,G$1)</f>
        <v>0</v>
      </c>
      <c r="H94" cm="1">
        <f t="array" ref="H94">_xll.VALEUROUTPUT($A$923,_xlfn.CONCAT("THEME14=",$C94),SCENARIOS!$A$2,SCENARIOS!$B$2,H$1)</f>
        <v>0</v>
      </c>
      <c r="I94" cm="1">
        <f t="array" ref="I94">_xll.VALEUROUTPUT($A$923,_xlfn.CONCAT("THEME14=",$C94),SCENARIOS!$A$2,SCENARIOS!$B$2,I$1)</f>
        <v>0</v>
      </c>
      <c r="J94" cm="1">
        <f t="array" ref="J94">_xll.VALEUROUTPUT($A$923,_xlfn.CONCAT("THEME14=",$C94),SCENARIOS!$A$2,SCENARIOS!$B$2,J$1)</f>
        <v>0</v>
      </c>
      <c r="K94" cm="1">
        <f t="array" ref="K94">_xll.VALEUROUTPUT($A$923,_xlfn.CONCAT("THEME14=",$C94),SCENARIOS!$A$2,SCENARIOS!$B$2,K$1)</f>
        <v>0</v>
      </c>
      <c r="L94" cm="1">
        <f t="array" ref="L94">_xll.VALEUROUTPUT($A$923,_xlfn.CONCAT("THEME14=",$C94),SCENARIOS!$A$2,SCENARIOS!$B$2,L$1)</f>
        <v>0</v>
      </c>
      <c r="M94" cm="1">
        <f t="array" ref="M94">_xll.VALEUROUTPUT($A$923,_xlfn.CONCAT("THEME14=",$C94),SCENARIOS!$A$2,SCENARIOS!$B$2,M$1)</f>
        <v>0</v>
      </c>
      <c r="N94" cm="1">
        <f t="array" ref="N94">_xll.VALEUROUTPUT($A$923,_xlfn.CONCAT("THEME14=",$C94),SCENARIOS!$A$2,SCENARIOS!$B$2,N$1)</f>
        <v>0</v>
      </c>
      <c r="O94" cm="1">
        <f t="array" ref="O94">_xll.VALEUROUTPUT($A$923,_xlfn.CONCAT("THEME14=",$C94),SCENARIOS!$A$2,SCENARIOS!$B$2,O$1)</f>
        <v>0</v>
      </c>
      <c r="P94" cm="1">
        <f t="array" ref="P94">_xll.VALEUROUTPUT($A$923,_xlfn.CONCAT("THEME14=",$C94),SCENARIOS!$A$2,SCENARIOS!$B$2,P$1)</f>
        <v>0</v>
      </c>
      <c r="Q94" cm="1">
        <f t="array" ref="Q94">_xll.VALEUROUTPUT($A$923,_xlfn.CONCAT("THEME14=",$C94),SCENARIOS!$A$2,SCENARIOS!$B$2,Q$1)</f>
        <v>0</v>
      </c>
      <c r="R94" cm="1">
        <f t="array" ref="R94">_xll.VALEUROUTPUT($A$923,_xlfn.CONCAT("THEME14=",$C94),SCENARIOS!$A$2,SCENARIOS!$B$2,R$1)</f>
        <v>0</v>
      </c>
      <c r="S94" cm="1">
        <f t="array" ref="S94">_xll.VALEUROUTPUT($A$923,_xlfn.CONCAT("THEME14=",$C94),SCENARIOS!$A$2,SCENARIOS!$B$2,S$1)</f>
        <v>0</v>
      </c>
      <c r="T94" cm="1">
        <f t="array" ref="T94">_xll.VALEUROUTPUT($A$923,_xlfn.CONCAT("THEME14=",$C94),SCENARIOS!$A$2,SCENARIOS!$B$2,T$1)</f>
        <v>0</v>
      </c>
      <c r="U94" cm="1">
        <f t="array" ref="U94">_xll.VALEUROUTPUT($A$923,_xlfn.CONCAT("THEME14=",$C94),SCENARIOS!$A$2,SCENARIOS!$B$2,U$1)</f>
        <v>0</v>
      </c>
      <c r="V94" cm="1">
        <f t="array" ref="V94">_xll.VALEUROUTPUT($A$923,_xlfn.CONCAT("THEME14=",$C94),SCENARIOS!$A$2,SCENARIOS!$B$2,V$1)</f>
        <v>0</v>
      </c>
      <c r="W94" cm="1">
        <f t="array" ref="W94">_xll.VALEUROUTPUT($A$923,_xlfn.CONCAT("THEME14=",$C94),SCENARIOS!$A$2,SCENARIOS!$B$2,W$1)</f>
        <v>0</v>
      </c>
      <c r="X94" cm="1">
        <f t="array" ref="X94">_xll.VALEUROUTPUT($A$923,_xlfn.CONCAT("THEME14=",$C94),SCENARIOS!$A$2,SCENARIOS!$B$2,X$1)</f>
        <v>0</v>
      </c>
      <c r="Y94" cm="1">
        <f t="array" ref="Y94">_xll.VALEUROUTPUT($A$923,_xlfn.CONCAT("THEME14=",$C94),SCENARIOS!$A$2,SCENARIOS!$B$2,Y$1)</f>
        <v>0</v>
      </c>
      <c r="Z94" cm="1">
        <f t="array" ref="Z94">_xll.VALEUROUTPUT($A$923,_xlfn.CONCAT("THEME14=",$C94),SCENARIOS!$A$2,SCENARIOS!$B$2,Z$1)</f>
        <v>0</v>
      </c>
      <c r="AA94" cm="1">
        <f t="array" ref="AA94">_xll.VALEUROUTPUT($A$923,_xlfn.CONCAT("THEME14=",$C94),SCENARIOS!$A$2,SCENARIOS!$B$2,AA$1)</f>
        <v>0</v>
      </c>
      <c r="AB94" cm="1">
        <f t="array" ref="AB94">_xll.VALEUROUTPUT($A$923,_xlfn.CONCAT("THEME14=",$C94),SCENARIOS!$A$2,SCENARIOS!$B$2,AB$1)</f>
        <v>0</v>
      </c>
      <c r="AC94" cm="1">
        <f t="array" ref="AC94">_xll.VALEUROUTPUT($A$923,_xlfn.CONCAT("THEME14=",$C94),SCENARIOS!$A$2,SCENARIOS!$B$2,AC$1)</f>
        <v>0</v>
      </c>
      <c r="AD94" cm="1">
        <f t="array" ref="AD94">_xll.VALEUROUTPUT($A$923,_xlfn.CONCAT("THEME14=",$C94),SCENARIOS!$A$2,SCENARIOS!$B$2,AD$1)</f>
        <v>0</v>
      </c>
      <c r="AE94" cm="1">
        <f t="array" ref="AE94">_xll.VALEUROUTPUT($A$923,_xlfn.CONCAT("THEME14=",$C94),SCENARIOS!$A$2,SCENARIOS!$B$2,AE$1)</f>
        <v>0</v>
      </c>
      <c r="AF94" cm="1">
        <f t="array" ref="AF94">_xll.VALEUROUTPUT($A$923,_xlfn.CONCAT("THEME14=",$C94),SCENARIOS!$A$2,SCENARIOS!$B$2,AF$1)</f>
        <v>0</v>
      </c>
    </row>
    <row r="95" spans="1:32" x14ac:dyDescent="0.25">
      <c r="A95" t="str">
        <v>OVOLBOJADMACPROG</v>
      </c>
      <c r="D95" cm="1">
        <f t="array" ref="D95">_xll.VALEUROUTPUT($A$923,_xlfn.CONCAT("THEME14=",$C95),SCENARIOS!$A$2,SCENARIOS!$B$2,D$1)</f>
        <v>0</v>
      </c>
      <c r="E95" cm="1">
        <f t="array" ref="E95">_xll.VALEUROUTPUT($A$923,_xlfn.CONCAT("THEME14=",$C95),SCENARIOS!$A$2,SCENARIOS!$B$2,E$1)</f>
        <v>0</v>
      </c>
      <c r="F95" cm="1">
        <f t="array" ref="F95">_xll.VALEUROUTPUT($A$923,_xlfn.CONCAT("THEME14=",$C95),SCENARIOS!$A$2,SCENARIOS!$B$2,F$1)</f>
        <v>0</v>
      </c>
      <c r="G95" cm="1">
        <f t="array" ref="G95">_xll.VALEUROUTPUT($A$923,_xlfn.CONCAT("THEME14=",$C95),SCENARIOS!$A$2,SCENARIOS!$B$2,G$1)</f>
        <v>0</v>
      </c>
      <c r="H95" cm="1">
        <f t="array" ref="H95">_xll.VALEUROUTPUT($A$923,_xlfn.CONCAT("THEME14=",$C95),SCENARIOS!$A$2,SCENARIOS!$B$2,H$1)</f>
        <v>0</v>
      </c>
      <c r="I95" cm="1">
        <f t="array" ref="I95">_xll.VALEUROUTPUT($A$923,_xlfn.CONCAT("THEME14=",$C95),SCENARIOS!$A$2,SCENARIOS!$B$2,I$1)</f>
        <v>0</v>
      </c>
      <c r="J95" cm="1">
        <f t="array" ref="J95">_xll.VALEUROUTPUT($A$923,_xlfn.CONCAT("THEME14=",$C95),SCENARIOS!$A$2,SCENARIOS!$B$2,J$1)</f>
        <v>0</v>
      </c>
      <c r="K95" cm="1">
        <f t="array" ref="K95">_xll.VALEUROUTPUT($A$923,_xlfn.CONCAT("THEME14=",$C95),SCENARIOS!$A$2,SCENARIOS!$B$2,K$1)</f>
        <v>0</v>
      </c>
      <c r="L95" cm="1">
        <f t="array" ref="L95">_xll.VALEUROUTPUT($A$923,_xlfn.CONCAT("THEME14=",$C95),SCENARIOS!$A$2,SCENARIOS!$B$2,L$1)</f>
        <v>0</v>
      </c>
      <c r="M95" cm="1">
        <f t="array" ref="M95">_xll.VALEUROUTPUT($A$923,_xlfn.CONCAT("THEME14=",$C95),SCENARIOS!$A$2,SCENARIOS!$B$2,M$1)</f>
        <v>0</v>
      </c>
      <c r="N95" cm="1">
        <f t="array" ref="N95">_xll.VALEUROUTPUT($A$923,_xlfn.CONCAT("THEME14=",$C95),SCENARIOS!$A$2,SCENARIOS!$B$2,N$1)</f>
        <v>0</v>
      </c>
      <c r="O95" cm="1">
        <f t="array" ref="O95">_xll.VALEUROUTPUT($A$923,_xlfn.CONCAT("THEME14=",$C95),SCENARIOS!$A$2,SCENARIOS!$B$2,O$1)</f>
        <v>0</v>
      </c>
      <c r="P95" cm="1">
        <f t="array" ref="P95">_xll.VALEUROUTPUT($A$923,_xlfn.CONCAT("THEME14=",$C95),SCENARIOS!$A$2,SCENARIOS!$B$2,P$1)</f>
        <v>0</v>
      </c>
      <c r="Q95" cm="1">
        <f t="array" ref="Q95">_xll.VALEUROUTPUT($A$923,_xlfn.CONCAT("THEME14=",$C95),SCENARIOS!$A$2,SCENARIOS!$B$2,Q$1)</f>
        <v>0</v>
      </c>
      <c r="R95" cm="1">
        <f t="array" ref="R95">_xll.VALEUROUTPUT($A$923,_xlfn.CONCAT("THEME14=",$C95),SCENARIOS!$A$2,SCENARIOS!$B$2,R$1)</f>
        <v>0</v>
      </c>
      <c r="S95" cm="1">
        <f t="array" ref="S95">_xll.VALEUROUTPUT($A$923,_xlfn.CONCAT("THEME14=",$C95),SCENARIOS!$A$2,SCENARIOS!$B$2,S$1)</f>
        <v>0</v>
      </c>
      <c r="T95" cm="1">
        <f t="array" ref="T95">_xll.VALEUROUTPUT($A$923,_xlfn.CONCAT("THEME14=",$C95),SCENARIOS!$A$2,SCENARIOS!$B$2,T$1)</f>
        <v>0</v>
      </c>
      <c r="U95" cm="1">
        <f t="array" ref="U95">_xll.VALEUROUTPUT($A$923,_xlfn.CONCAT("THEME14=",$C95),SCENARIOS!$A$2,SCENARIOS!$B$2,U$1)</f>
        <v>0</v>
      </c>
      <c r="V95" cm="1">
        <f t="array" ref="V95">_xll.VALEUROUTPUT($A$923,_xlfn.CONCAT("THEME14=",$C95),SCENARIOS!$A$2,SCENARIOS!$B$2,V$1)</f>
        <v>0</v>
      </c>
      <c r="W95" cm="1">
        <f t="array" ref="W95">_xll.VALEUROUTPUT($A$923,_xlfn.CONCAT("THEME14=",$C95),SCENARIOS!$A$2,SCENARIOS!$B$2,W$1)</f>
        <v>0</v>
      </c>
      <c r="X95" cm="1">
        <f t="array" ref="X95">_xll.VALEUROUTPUT($A$923,_xlfn.CONCAT("THEME14=",$C95),SCENARIOS!$A$2,SCENARIOS!$B$2,X$1)</f>
        <v>0</v>
      </c>
      <c r="Y95" cm="1">
        <f t="array" ref="Y95">_xll.VALEUROUTPUT($A$923,_xlfn.CONCAT("THEME14=",$C95),SCENARIOS!$A$2,SCENARIOS!$B$2,Y$1)</f>
        <v>0</v>
      </c>
      <c r="Z95" cm="1">
        <f t="array" ref="Z95">_xll.VALEUROUTPUT($A$923,_xlfn.CONCAT("THEME14=",$C95),SCENARIOS!$A$2,SCENARIOS!$B$2,Z$1)</f>
        <v>0</v>
      </c>
      <c r="AA95" cm="1">
        <f t="array" ref="AA95">_xll.VALEUROUTPUT($A$923,_xlfn.CONCAT("THEME14=",$C95),SCENARIOS!$A$2,SCENARIOS!$B$2,AA$1)</f>
        <v>0</v>
      </c>
      <c r="AB95" cm="1">
        <f t="array" ref="AB95">_xll.VALEUROUTPUT($A$923,_xlfn.CONCAT("THEME14=",$C95),SCENARIOS!$A$2,SCENARIOS!$B$2,AB$1)</f>
        <v>0</v>
      </c>
      <c r="AC95" cm="1">
        <f t="array" ref="AC95">_xll.VALEUROUTPUT($A$923,_xlfn.CONCAT("THEME14=",$C95),SCENARIOS!$A$2,SCENARIOS!$B$2,AC$1)</f>
        <v>0</v>
      </c>
      <c r="AD95" cm="1">
        <f t="array" ref="AD95">_xll.VALEUROUTPUT($A$923,_xlfn.CONCAT("THEME14=",$C95),SCENARIOS!$A$2,SCENARIOS!$B$2,AD$1)</f>
        <v>0</v>
      </c>
      <c r="AE95" cm="1">
        <f t="array" ref="AE95">_xll.VALEUROUTPUT($A$923,_xlfn.CONCAT("THEME14=",$C95),SCENARIOS!$A$2,SCENARIOS!$B$2,AE$1)</f>
        <v>0</v>
      </c>
      <c r="AF95" cm="1">
        <f t="array" ref="AF95">_xll.VALEUROUTPUT($A$923,_xlfn.CONCAT("THEME14=",$C95),SCENARIOS!$A$2,SCENARIOS!$B$2,AF$1)</f>
        <v>0</v>
      </c>
    </row>
    <row r="96" spans="1:32" x14ac:dyDescent="0.25">
      <c r="A96" t="str">
        <v>OVOLBOJADMACPIL</v>
      </c>
      <c r="D96" cm="1">
        <f t="array" ref="D96">_xll.VALEUROUTPUT($A$923,_xlfn.CONCAT("THEME14=",$C96),SCENARIOS!$A$2,SCENARIOS!$B$2,D$1)</f>
        <v>0</v>
      </c>
      <c r="E96" cm="1">
        <f t="array" ref="E96">_xll.VALEUROUTPUT($A$923,_xlfn.CONCAT("THEME14=",$C96),SCENARIOS!$A$2,SCENARIOS!$B$2,E$1)</f>
        <v>0</v>
      </c>
      <c r="F96" cm="1">
        <f t="array" ref="F96">_xll.VALEUROUTPUT($A$923,_xlfn.CONCAT("THEME14=",$C96),SCENARIOS!$A$2,SCENARIOS!$B$2,F$1)</f>
        <v>0</v>
      </c>
      <c r="G96" cm="1">
        <f t="array" ref="G96">_xll.VALEUROUTPUT($A$923,_xlfn.CONCAT("THEME14=",$C96),SCENARIOS!$A$2,SCENARIOS!$B$2,G$1)</f>
        <v>0</v>
      </c>
      <c r="H96" cm="1">
        <f t="array" ref="H96">_xll.VALEUROUTPUT($A$923,_xlfn.CONCAT("THEME14=",$C96),SCENARIOS!$A$2,SCENARIOS!$B$2,H$1)</f>
        <v>0</v>
      </c>
      <c r="I96" cm="1">
        <f t="array" ref="I96">_xll.VALEUROUTPUT($A$923,_xlfn.CONCAT("THEME14=",$C96),SCENARIOS!$A$2,SCENARIOS!$B$2,I$1)</f>
        <v>0</v>
      </c>
      <c r="J96" cm="1">
        <f t="array" ref="J96">_xll.VALEUROUTPUT($A$923,_xlfn.CONCAT("THEME14=",$C96),SCENARIOS!$A$2,SCENARIOS!$B$2,J$1)</f>
        <v>0</v>
      </c>
      <c r="K96" cm="1">
        <f t="array" ref="K96">_xll.VALEUROUTPUT($A$923,_xlfn.CONCAT("THEME14=",$C96),SCENARIOS!$A$2,SCENARIOS!$B$2,K$1)</f>
        <v>0</v>
      </c>
      <c r="L96" cm="1">
        <f t="array" ref="L96">_xll.VALEUROUTPUT($A$923,_xlfn.CONCAT("THEME14=",$C96),SCENARIOS!$A$2,SCENARIOS!$B$2,L$1)</f>
        <v>0</v>
      </c>
      <c r="M96" cm="1">
        <f t="array" ref="M96">_xll.VALEUROUTPUT($A$923,_xlfn.CONCAT("THEME14=",$C96),SCENARIOS!$A$2,SCENARIOS!$B$2,M$1)</f>
        <v>0</v>
      </c>
      <c r="N96" cm="1">
        <f t="array" ref="N96">_xll.VALEUROUTPUT($A$923,_xlfn.CONCAT("THEME14=",$C96),SCENARIOS!$A$2,SCENARIOS!$B$2,N$1)</f>
        <v>0</v>
      </c>
      <c r="O96" cm="1">
        <f t="array" ref="O96">_xll.VALEUROUTPUT($A$923,_xlfn.CONCAT("THEME14=",$C96),SCENARIOS!$A$2,SCENARIOS!$B$2,O$1)</f>
        <v>0</v>
      </c>
      <c r="P96" cm="1">
        <f t="array" ref="P96">_xll.VALEUROUTPUT($A$923,_xlfn.CONCAT("THEME14=",$C96),SCENARIOS!$A$2,SCENARIOS!$B$2,P$1)</f>
        <v>0</v>
      </c>
      <c r="Q96" cm="1">
        <f t="array" ref="Q96">_xll.VALEUROUTPUT($A$923,_xlfn.CONCAT("THEME14=",$C96),SCENARIOS!$A$2,SCENARIOS!$B$2,Q$1)</f>
        <v>0</v>
      </c>
      <c r="R96" cm="1">
        <f t="array" ref="R96">_xll.VALEUROUTPUT($A$923,_xlfn.CONCAT("THEME14=",$C96),SCENARIOS!$A$2,SCENARIOS!$B$2,R$1)</f>
        <v>0</v>
      </c>
      <c r="S96" cm="1">
        <f t="array" ref="S96">_xll.VALEUROUTPUT($A$923,_xlfn.CONCAT("THEME14=",$C96),SCENARIOS!$A$2,SCENARIOS!$B$2,S$1)</f>
        <v>0</v>
      </c>
      <c r="T96" cm="1">
        <f t="array" ref="T96">_xll.VALEUROUTPUT($A$923,_xlfn.CONCAT("THEME14=",$C96),SCENARIOS!$A$2,SCENARIOS!$B$2,T$1)</f>
        <v>0</v>
      </c>
      <c r="U96" cm="1">
        <f t="array" ref="U96">_xll.VALEUROUTPUT($A$923,_xlfn.CONCAT("THEME14=",$C96),SCENARIOS!$A$2,SCENARIOS!$B$2,U$1)</f>
        <v>0</v>
      </c>
      <c r="V96" cm="1">
        <f t="array" ref="V96">_xll.VALEUROUTPUT($A$923,_xlfn.CONCAT("THEME14=",$C96),SCENARIOS!$A$2,SCENARIOS!$B$2,V$1)</f>
        <v>0</v>
      </c>
      <c r="W96" cm="1">
        <f t="array" ref="W96">_xll.VALEUROUTPUT($A$923,_xlfn.CONCAT("THEME14=",$C96),SCENARIOS!$A$2,SCENARIOS!$B$2,W$1)</f>
        <v>0</v>
      </c>
      <c r="X96" cm="1">
        <f t="array" ref="X96">_xll.VALEUROUTPUT($A$923,_xlfn.CONCAT("THEME14=",$C96),SCENARIOS!$A$2,SCENARIOS!$B$2,X$1)</f>
        <v>0</v>
      </c>
      <c r="Y96" cm="1">
        <f t="array" ref="Y96">_xll.VALEUROUTPUT($A$923,_xlfn.CONCAT("THEME14=",$C96),SCENARIOS!$A$2,SCENARIOS!$B$2,Y$1)</f>
        <v>0</v>
      </c>
      <c r="Z96" cm="1">
        <f t="array" ref="Z96">_xll.VALEUROUTPUT($A$923,_xlfn.CONCAT("THEME14=",$C96),SCENARIOS!$A$2,SCENARIOS!$B$2,Z$1)</f>
        <v>0</v>
      </c>
      <c r="AA96" cm="1">
        <f t="array" ref="AA96">_xll.VALEUROUTPUT($A$923,_xlfn.CONCAT("THEME14=",$C96),SCENARIOS!$A$2,SCENARIOS!$B$2,AA$1)</f>
        <v>0</v>
      </c>
      <c r="AB96" cm="1">
        <f t="array" ref="AB96">_xll.VALEUROUTPUT($A$923,_xlfn.CONCAT("THEME14=",$C96),SCENARIOS!$A$2,SCENARIOS!$B$2,AB$1)</f>
        <v>0</v>
      </c>
      <c r="AC96" cm="1">
        <f t="array" ref="AC96">_xll.VALEUROUTPUT($A$923,_xlfn.CONCAT("THEME14=",$C96),SCENARIOS!$A$2,SCENARIOS!$B$2,AC$1)</f>
        <v>0</v>
      </c>
      <c r="AD96" cm="1">
        <f t="array" ref="AD96">_xll.VALEUROUTPUT($A$923,_xlfn.CONCAT("THEME14=",$C96),SCENARIOS!$A$2,SCENARIOS!$B$2,AD$1)</f>
        <v>0</v>
      </c>
      <c r="AE96" cm="1">
        <f t="array" ref="AE96">_xll.VALEUROUTPUT($A$923,_xlfn.CONCAT("THEME14=",$C96),SCENARIOS!$A$2,SCENARIOS!$B$2,AE$1)</f>
        <v>0</v>
      </c>
      <c r="AF96" cm="1">
        <f t="array" ref="AF96">_xll.VALEUROUTPUT($A$923,_xlfn.CONCAT("THEME14=",$C96),SCENARIOS!$A$2,SCENARIOS!$B$2,AF$1)</f>
        <v>0</v>
      </c>
    </row>
    <row r="97" spans="1:32" x14ac:dyDescent="0.25">
      <c r="A97" t="str">
        <v>OVOLBOJADMACPIP</v>
      </c>
      <c r="D97" cm="1">
        <f t="array" ref="D97">_xll.VALEUROUTPUT($A$923,_xlfn.CONCAT("THEME14=",$C97),SCENARIOS!$A$2,SCENARIOS!$B$2,D$1)</f>
        <v>0</v>
      </c>
      <c r="E97" cm="1">
        <f t="array" ref="E97">_xll.VALEUROUTPUT($A$923,_xlfn.CONCAT("THEME14=",$C97),SCENARIOS!$A$2,SCENARIOS!$B$2,E$1)</f>
        <v>0</v>
      </c>
      <c r="F97" cm="1">
        <f t="array" ref="F97">_xll.VALEUROUTPUT($A$923,_xlfn.CONCAT("THEME14=",$C97),SCENARIOS!$A$2,SCENARIOS!$B$2,F$1)</f>
        <v>0</v>
      </c>
      <c r="G97" cm="1">
        <f t="array" ref="G97">_xll.VALEUROUTPUT($A$923,_xlfn.CONCAT("THEME14=",$C97),SCENARIOS!$A$2,SCENARIOS!$B$2,G$1)</f>
        <v>0</v>
      </c>
      <c r="H97" cm="1">
        <f t="array" ref="H97">_xll.VALEUROUTPUT($A$923,_xlfn.CONCAT("THEME14=",$C97),SCENARIOS!$A$2,SCENARIOS!$B$2,H$1)</f>
        <v>0</v>
      </c>
      <c r="I97" cm="1">
        <f t="array" ref="I97">_xll.VALEUROUTPUT($A$923,_xlfn.CONCAT("THEME14=",$C97),SCENARIOS!$A$2,SCENARIOS!$B$2,I$1)</f>
        <v>0</v>
      </c>
      <c r="J97" cm="1">
        <f t="array" ref="J97">_xll.VALEUROUTPUT($A$923,_xlfn.CONCAT("THEME14=",$C97),SCENARIOS!$A$2,SCENARIOS!$B$2,J$1)</f>
        <v>0</v>
      </c>
      <c r="K97" cm="1">
        <f t="array" ref="K97">_xll.VALEUROUTPUT($A$923,_xlfn.CONCAT("THEME14=",$C97),SCENARIOS!$A$2,SCENARIOS!$B$2,K$1)</f>
        <v>0</v>
      </c>
      <c r="L97" cm="1">
        <f t="array" ref="L97">_xll.VALEUROUTPUT($A$923,_xlfn.CONCAT("THEME14=",$C97),SCENARIOS!$A$2,SCENARIOS!$B$2,L$1)</f>
        <v>0</v>
      </c>
      <c r="M97" cm="1">
        <f t="array" ref="M97">_xll.VALEUROUTPUT($A$923,_xlfn.CONCAT("THEME14=",$C97),SCENARIOS!$A$2,SCENARIOS!$B$2,M$1)</f>
        <v>0</v>
      </c>
      <c r="N97" cm="1">
        <f t="array" ref="N97">_xll.VALEUROUTPUT($A$923,_xlfn.CONCAT("THEME14=",$C97),SCENARIOS!$A$2,SCENARIOS!$B$2,N$1)</f>
        <v>0</v>
      </c>
      <c r="O97" cm="1">
        <f t="array" ref="O97">_xll.VALEUROUTPUT($A$923,_xlfn.CONCAT("THEME14=",$C97),SCENARIOS!$A$2,SCENARIOS!$B$2,O$1)</f>
        <v>0</v>
      </c>
      <c r="P97" cm="1">
        <f t="array" ref="P97">_xll.VALEUROUTPUT($A$923,_xlfn.CONCAT("THEME14=",$C97),SCENARIOS!$A$2,SCENARIOS!$B$2,P$1)</f>
        <v>0</v>
      </c>
      <c r="Q97" cm="1">
        <f t="array" ref="Q97">_xll.VALEUROUTPUT($A$923,_xlfn.CONCAT("THEME14=",$C97),SCENARIOS!$A$2,SCENARIOS!$B$2,Q$1)</f>
        <v>0</v>
      </c>
      <c r="R97" cm="1">
        <f t="array" ref="R97">_xll.VALEUROUTPUT($A$923,_xlfn.CONCAT("THEME14=",$C97),SCENARIOS!$A$2,SCENARIOS!$B$2,R$1)</f>
        <v>0</v>
      </c>
      <c r="S97" cm="1">
        <f t="array" ref="S97">_xll.VALEUROUTPUT($A$923,_xlfn.CONCAT("THEME14=",$C97),SCENARIOS!$A$2,SCENARIOS!$B$2,S$1)</f>
        <v>0</v>
      </c>
      <c r="T97" cm="1">
        <f t="array" ref="T97">_xll.VALEUROUTPUT($A$923,_xlfn.CONCAT("THEME14=",$C97),SCENARIOS!$A$2,SCENARIOS!$B$2,T$1)</f>
        <v>0</v>
      </c>
      <c r="U97" cm="1">
        <f t="array" ref="U97">_xll.VALEUROUTPUT($A$923,_xlfn.CONCAT("THEME14=",$C97),SCENARIOS!$A$2,SCENARIOS!$B$2,U$1)</f>
        <v>0</v>
      </c>
      <c r="V97" cm="1">
        <f t="array" ref="V97">_xll.VALEUROUTPUT($A$923,_xlfn.CONCAT("THEME14=",$C97),SCENARIOS!$A$2,SCENARIOS!$B$2,V$1)</f>
        <v>0</v>
      </c>
      <c r="W97" cm="1">
        <f t="array" ref="W97">_xll.VALEUROUTPUT($A$923,_xlfn.CONCAT("THEME14=",$C97),SCENARIOS!$A$2,SCENARIOS!$B$2,W$1)</f>
        <v>0</v>
      </c>
      <c r="X97" cm="1">
        <f t="array" ref="X97">_xll.VALEUROUTPUT($A$923,_xlfn.CONCAT("THEME14=",$C97),SCENARIOS!$A$2,SCENARIOS!$B$2,X$1)</f>
        <v>0</v>
      </c>
      <c r="Y97" cm="1">
        <f t="array" ref="Y97">_xll.VALEUROUTPUT($A$923,_xlfn.CONCAT("THEME14=",$C97),SCENARIOS!$A$2,SCENARIOS!$B$2,Y$1)</f>
        <v>0</v>
      </c>
      <c r="Z97" cm="1">
        <f t="array" ref="Z97">_xll.VALEUROUTPUT($A$923,_xlfn.CONCAT("THEME14=",$C97),SCENARIOS!$A$2,SCENARIOS!$B$2,Z$1)</f>
        <v>0</v>
      </c>
      <c r="AA97" cm="1">
        <f t="array" ref="AA97">_xll.VALEUROUTPUT($A$923,_xlfn.CONCAT("THEME14=",$C97),SCENARIOS!$A$2,SCENARIOS!$B$2,AA$1)</f>
        <v>0</v>
      </c>
      <c r="AB97" cm="1">
        <f t="array" ref="AB97">_xll.VALEUROUTPUT($A$923,_xlfn.CONCAT("THEME14=",$C97),SCENARIOS!$A$2,SCENARIOS!$B$2,AB$1)</f>
        <v>0</v>
      </c>
      <c r="AC97" cm="1">
        <f t="array" ref="AC97">_xll.VALEUROUTPUT($A$923,_xlfn.CONCAT("THEME14=",$C97),SCENARIOS!$A$2,SCENARIOS!$B$2,AC$1)</f>
        <v>0</v>
      </c>
      <c r="AD97" cm="1">
        <f t="array" ref="AD97">_xll.VALEUROUTPUT($A$923,_xlfn.CONCAT("THEME14=",$C97),SCENARIOS!$A$2,SCENARIOS!$B$2,AD$1)</f>
        <v>0</v>
      </c>
      <c r="AE97" cm="1">
        <f t="array" ref="AE97">_xll.VALEUROUTPUT($A$923,_xlfn.CONCAT("THEME14=",$C97),SCENARIOS!$A$2,SCENARIOS!$B$2,AE$1)</f>
        <v>0</v>
      </c>
      <c r="AF97" cm="1">
        <f t="array" ref="AF97">_xll.VALEUROUTPUT($A$923,_xlfn.CONCAT("THEME14=",$C97),SCENARIOS!$A$2,SCENARIOS!$B$2,AF$1)</f>
        <v>0</v>
      </c>
    </row>
    <row r="98" spans="1:32" x14ac:dyDescent="0.25">
      <c r="A98" t="str">
        <v>OVOLBOJADMACPFORT</v>
      </c>
      <c r="D98" cm="1">
        <f t="array" ref="D98">_xll.VALEUROUTPUT($A$923,_xlfn.CONCAT("THEME14=",$C98),SCENARIOS!$A$2,SCENARIOS!$B$2,D$1)</f>
        <v>0</v>
      </c>
      <c r="E98" cm="1">
        <f t="array" ref="E98">_xll.VALEUROUTPUT($A$923,_xlfn.CONCAT("THEME14=",$C98),SCENARIOS!$A$2,SCENARIOS!$B$2,E$1)</f>
        <v>0</v>
      </c>
      <c r="F98" cm="1">
        <f t="array" ref="F98">_xll.VALEUROUTPUT($A$923,_xlfn.CONCAT("THEME14=",$C98),SCENARIOS!$A$2,SCENARIOS!$B$2,F$1)</f>
        <v>0</v>
      </c>
      <c r="G98" cm="1">
        <f t="array" ref="G98">_xll.VALEUROUTPUT($A$923,_xlfn.CONCAT("THEME14=",$C98),SCENARIOS!$A$2,SCENARIOS!$B$2,G$1)</f>
        <v>0</v>
      </c>
      <c r="H98" cm="1">
        <f t="array" ref="H98">_xll.VALEUROUTPUT($A$923,_xlfn.CONCAT("THEME14=",$C98),SCENARIOS!$A$2,SCENARIOS!$B$2,H$1)</f>
        <v>0</v>
      </c>
      <c r="I98" cm="1">
        <f t="array" ref="I98">_xll.VALEUROUTPUT($A$923,_xlfn.CONCAT("THEME14=",$C98),SCENARIOS!$A$2,SCENARIOS!$B$2,I$1)</f>
        <v>0</v>
      </c>
      <c r="J98" cm="1">
        <f t="array" ref="J98">_xll.VALEUROUTPUT($A$923,_xlfn.CONCAT("THEME14=",$C98),SCENARIOS!$A$2,SCENARIOS!$B$2,J$1)</f>
        <v>0</v>
      </c>
      <c r="K98" cm="1">
        <f t="array" ref="K98">_xll.VALEUROUTPUT($A$923,_xlfn.CONCAT("THEME14=",$C98),SCENARIOS!$A$2,SCENARIOS!$B$2,K$1)</f>
        <v>0</v>
      </c>
      <c r="L98" cm="1">
        <f t="array" ref="L98">_xll.VALEUROUTPUT($A$923,_xlfn.CONCAT("THEME14=",$C98),SCENARIOS!$A$2,SCENARIOS!$B$2,L$1)</f>
        <v>0</v>
      </c>
      <c r="M98" cm="1">
        <f t="array" ref="M98">_xll.VALEUROUTPUT($A$923,_xlfn.CONCAT("THEME14=",$C98),SCENARIOS!$A$2,SCENARIOS!$B$2,M$1)</f>
        <v>0</v>
      </c>
      <c r="N98" cm="1">
        <f t="array" ref="N98">_xll.VALEUROUTPUT($A$923,_xlfn.CONCAT("THEME14=",$C98),SCENARIOS!$A$2,SCENARIOS!$B$2,N$1)</f>
        <v>0</v>
      </c>
      <c r="O98" cm="1">
        <f t="array" ref="O98">_xll.VALEUROUTPUT($A$923,_xlfn.CONCAT("THEME14=",$C98),SCENARIOS!$A$2,SCENARIOS!$B$2,O$1)</f>
        <v>0</v>
      </c>
      <c r="P98" cm="1">
        <f t="array" ref="P98">_xll.VALEUROUTPUT($A$923,_xlfn.CONCAT("THEME14=",$C98),SCENARIOS!$A$2,SCENARIOS!$B$2,P$1)</f>
        <v>0</v>
      </c>
      <c r="Q98" cm="1">
        <f t="array" ref="Q98">_xll.VALEUROUTPUT($A$923,_xlfn.CONCAT("THEME14=",$C98),SCENARIOS!$A$2,SCENARIOS!$B$2,Q$1)</f>
        <v>0</v>
      </c>
      <c r="R98" cm="1">
        <f t="array" ref="R98">_xll.VALEUROUTPUT($A$923,_xlfn.CONCAT("THEME14=",$C98),SCENARIOS!$A$2,SCENARIOS!$B$2,R$1)</f>
        <v>0</v>
      </c>
      <c r="S98" cm="1">
        <f t="array" ref="S98">_xll.VALEUROUTPUT($A$923,_xlfn.CONCAT("THEME14=",$C98),SCENARIOS!$A$2,SCENARIOS!$B$2,S$1)</f>
        <v>0</v>
      </c>
      <c r="T98" cm="1">
        <f t="array" ref="T98">_xll.VALEUROUTPUT($A$923,_xlfn.CONCAT("THEME14=",$C98),SCENARIOS!$A$2,SCENARIOS!$B$2,T$1)</f>
        <v>0</v>
      </c>
      <c r="U98" cm="1">
        <f t="array" ref="U98">_xll.VALEUROUTPUT($A$923,_xlfn.CONCAT("THEME14=",$C98),SCENARIOS!$A$2,SCENARIOS!$B$2,U$1)</f>
        <v>0</v>
      </c>
      <c r="V98" cm="1">
        <f t="array" ref="V98">_xll.VALEUROUTPUT($A$923,_xlfn.CONCAT("THEME14=",$C98),SCENARIOS!$A$2,SCENARIOS!$B$2,V$1)</f>
        <v>0</v>
      </c>
      <c r="W98" cm="1">
        <f t="array" ref="W98">_xll.VALEUROUTPUT($A$923,_xlfn.CONCAT("THEME14=",$C98),SCENARIOS!$A$2,SCENARIOS!$B$2,W$1)</f>
        <v>0</v>
      </c>
      <c r="X98" cm="1">
        <f t="array" ref="X98">_xll.VALEUROUTPUT($A$923,_xlfn.CONCAT("THEME14=",$C98),SCENARIOS!$A$2,SCENARIOS!$B$2,X$1)</f>
        <v>0</v>
      </c>
      <c r="Y98" cm="1">
        <f t="array" ref="Y98">_xll.VALEUROUTPUT($A$923,_xlfn.CONCAT("THEME14=",$C98),SCENARIOS!$A$2,SCENARIOS!$B$2,Y$1)</f>
        <v>0</v>
      </c>
      <c r="Z98" cm="1">
        <f t="array" ref="Z98">_xll.VALEUROUTPUT($A$923,_xlfn.CONCAT("THEME14=",$C98),SCENARIOS!$A$2,SCENARIOS!$B$2,Z$1)</f>
        <v>0</v>
      </c>
      <c r="AA98" cm="1">
        <f t="array" ref="AA98">_xll.VALEUROUTPUT($A$923,_xlfn.CONCAT("THEME14=",$C98),SCENARIOS!$A$2,SCENARIOS!$B$2,AA$1)</f>
        <v>0</v>
      </c>
      <c r="AB98" cm="1">
        <f t="array" ref="AB98">_xll.VALEUROUTPUT($A$923,_xlfn.CONCAT("THEME14=",$C98),SCENARIOS!$A$2,SCENARIOS!$B$2,AB$1)</f>
        <v>0</v>
      </c>
      <c r="AC98" cm="1">
        <f t="array" ref="AC98">_xll.VALEUROUTPUT($A$923,_xlfn.CONCAT("THEME14=",$C98),SCENARIOS!$A$2,SCENARIOS!$B$2,AC$1)</f>
        <v>0</v>
      </c>
      <c r="AD98" cm="1">
        <f t="array" ref="AD98">_xll.VALEUROUTPUT($A$923,_xlfn.CONCAT("THEME14=",$C98),SCENARIOS!$A$2,SCENARIOS!$B$2,AD$1)</f>
        <v>0</v>
      </c>
      <c r="AE98" cm="1">
        <f t="array" ref="AE98">_xll.VALEUROUTPUT($A$923,_xlfn.CONCAT("THEME14=",$C98),SCENARIOS!$A$2,SCENARIOS!$B$2,AE$1)</f>
        <v>0</v>
      </c>
      <c r="AF98" cm="1">
        <f t="array" ref="AF98">_xll.VALEUROUTPUT($A$923,_xlfn.CONCAT("THEME14=",$C98),SCENARIOS!$A$2,SCENARIOS!$B$2,AF$1)</f>
        <v>0</v>
      </c>
    </row>
    <row r="99" spans="1:32" x14ac:dyDescent="0.25">
      <c r="A99" t="str">
        <v>OVOLBOJADMACPFAIBL</v>
      </c>
      <c r="D99" cm="1">
        <f t="array" ref="D99">_xll.VALEUROUTPUT($A$923,_xlfn.CONCAT("THEME14=",$C99),SCENARIOS!$A$2,SCENARIOS!$B$2,D$1)</f>
        <v>0</v>
      </c>
      <c r="E99" cm="1">
        <f t="array" ref="E99">_xll.VALEUROUTPUT($A$923,_xlfn.CONCAT("THEME14=",$C99),SCENARIOS!$A$2,SCENARIOS!$B$2,E$1)</f>
        <v>0</v>
      </c>
      <c r="F99" cm="1">
        <f t="array" ref="F99">_xll.VALEUROUTPUT($A$923,_xlfn.CONCAT("THEME14=",$C99),SCENARIOS!$A$2,SCENARIOS!$B$2,F$1)</f>
        <v>0</v>
      </c>
      <c r="G99" cm="1">
        <f t="array" ref="G99">_xll.VALEUROUTPUT($A$923,_xlfn.CONCAT("THEME14=",$C99),SCENARIOS!$A$2,SCENARIOS!$B$2,G$1)</f>
        <v>0</v>
      </c>
      <c r="H99" cm="1">
        <f t="array" ref="H99">_xll.VALEUROUTPUT($A$923,_xlfn.CONCAT("THEME14=",$C99),SCENARIOS!$A$2,SCENARIOS!$B$2,H$1)</f>
        <v>0</v>
      </c>
      <c r="I99" cm="1">
        <f t="array" ref="I99">_xll.VALEUROUTPUT($A$923,_xlfn.CONCAT("THEME14=",$C99),SCENARIOS!$A$2,SCENARIOS!$B$2,I$1)</f>
        <v>0</v>
      </c>
      <c r="J99" cm="1">
        <f t="array" ref="J99">_xll.VALEUROUTPUT($A$923,_xlfn.CONCAT("THEME14=",$C99),SCENARIOS!$A$2,SCENARIOS!$B$2,J$1)</f>
        <v>0</v>
      </c>
      <c r="K99" cm="1">
        <f t="array" ref="K99">_xll.VALEUROUTPUT($A$923,_xlfn.CONCAT("THEME14=",$C99),SCENARIOS!$A$2,SCENARIOS!$B$2,K$1)</f>
        <v>0</v>
      </c>
      <c r="L99" cm="1">
        <f t="array" ref="L99">_xll.VALEUROUTPUT($A$923,_xlfn.CONCAT("THEME14=",$C99),SCENARIOS!$A$2,SCENARIOS!$B$2,L$1)</f>
        <v>0</v>
      </c>
      <c r="M99" cm="1">
        <f t="array" ref="M99">_xll.VALEUROUTPUT($A$923,_xlfn.CONCAT("THEME14=",$C99),SCENARIOS!$A$2,SCENARIOS!$B$2,M$1)</f>
        <v>0</v>
      </c>
      <c r="N99" cm="1">
        <f t="array" ref="N99">_xll.VALEUROUTPUT($A$923,_xlfn.CONCAT("THEME14=",$C99),SCENARIOS!$A$2,SCENARIOS!$B$2,N$1)</f>
        <v>0</v>
      </c>
      <c r="O99" cm="1">
        <f t="array" ref="O99">_xll.VALEUROUTPUT($A$923,_xlfn.CONCAT("THEME14=",$C99),SCENARIOS!$A$2,SCENARIOS!$B$2,O$1)</f>
        <v>0</v>
      </c>
      <c r="P99" cm="1">
        <f t="array" ref="P99">_xll.VALEUROUTPUT($A$923,_xlfn.CONCAT("THEME14=",$C99),SCENARIOS!$A$2,SCENARIOS!$B$2,P$1)</f>
        <v>0</v>
      </c>
      <c r="Q99" cm="1">
        <f t="array" ref="Q99">_xll.VALEUROUTPUT($A$923,_xlfn.CONCAT("THEME14=",$C99),SCENARIOS!$A$2,SCENARIOS!$B$2,Q$1)</f>
        <v>0</v>
      </c>
      <c r="R99" cm="1">
        <f t="array" ref="R99">_xll.VALEUROUTPUT($A$923,_xlfn.CONCAT("THEME14=",$C99),SCENARIOS!$A$2,SCENARIOS!$B$2,R$1)</f>
        <v>0</v>
      </c>
      <c r="S99" cm="1">
        <f t="array" ref="S99">_xll.VALEUROUTPUT($A$923,_xlfn.CONCAT("THEME14=",$C99),SCENARIOS!$A$2,SCENARIOS!$B$2,S$1)</f>
        <v>0</v>
      </c>
      <c r="T99" cm="1">
        <f t="array" ref="T99">_xll.VALEUROUTPUT($A$923,_xlfn.CONCAT("THEME14=",$C99),SCENARIOS!$A$2,SCENARIOS!$B$2,T$1)</f>
        <v>0</v>
      </c>
      <c r="U99" cm="1">
        <f t="array" ref="U99">_xll.VALEUROUTPUT($A$923,_xlfn.CONCAT("THEME14=",$C99),SCENARIOS!$A$2,SCENARIOS!$B$2,U$1)</f>
        <v>0</v>
      </c>
      <c r="V99" cm="1">
        <f t="array" ref="V99">_xll.VALEUROUTPUT($A$923,_xlfn.CONCAT("THEME14=",$C99),SCENARIOS!$A$2,SCENARIOS!$B$2,V$1)</f>
        <v>0</v>
      </c>
      <c r="W99" cm="1">
        <f t="array" ref="W99">_xll.VALEUROUTPUT($A$923,_xlfn.CONCAT("THEME14=",$C99),SCENARIOS!$A$2,SCENARIOS!$B$2,W$1)</f>
        <v>0</v>
      </c>
      <c r="X99" cm="1">
        <f t="array" ref="X99">_xll.VALEUROUTPUT($A$923,_xlfn.CONCAT("THEME14=",$C99),SCENARIOS!$A$2,SCENARIOS!$B$2,X$1)</f>
        <v>0</v>
      </c>
      <c r="Y99" cm="1">
        <f t="array" ref="Y99">_xll.VALEUROUTPUT($A$923,_xlfn.CONCAT("THEME14=",$C99),SCENARIOS!$A$2,SCENARIOS!$B$2,Y$1)</f>
        <v>0</v>
      </c>
      <c r="Z99" cm="1">
        <f t="array" ref="Z99">_xll.VALEUROUTPUT($A$923,_xlfn.CONCAT("THEME14=",$C99),SCENARIOS!$A$2,SCENARIOS!$B$2,Z$1)</f>
        <v>0</v>
      </c>
      <c r="AA99" cm="1">
        <f t="array" ref="AA99">_xll.VALEUROUTPUT($A$923,_xlfn.CONCAT("THEME14=",$C99),SCENARIOS!$A$2,SCENARIOS!$B$2,AA$1)</f>
        <v>0</v>
      </c>
      <c r="AB99" cm="1">
        <f t="array" ref="AB99">_xll.VALEUROUTPUT($A$923,_xlfn.CONCAT("THEME14=",$C99),SCENARIOS!$A$2,SCENARIOS!$B$2,AB$1)</f>
        <v>0</v>
      </c>
      <c r="AC99" cm="1">
        <f t="array" ref="AC99">_xll.VALEUROUTPUT($A$923,_xlfn.CONCAT("THEME14=",$C99),SCENARIOS!$A$2,SCENARIOS!$B$2,AC$1)</f>
        <v>0</v>
      </c>
      <c r="AD99" cm="1">
        <f t="array" ref="AD99">_xll.VALEUROUTPUT($A$923,_xlfn.CONCAT("THEME14=",$C99),SCENARIOS!$A$2,SCENARIOS!$B$2,AD$1)</f>
        <v>0</v>
      </c>
      <c r="AE99" cm="1">
        <f t="array" ref="AE99">_xll.VALEUROUTPUT($A$923,_xlfn.CONCAT("THEME14=",$C99),SCENARIOS!$A$2,SCENARIOS!$B$2,AE$1)</f>
        <v>0</v>
      </c>
      <c r="AF99" cm="1">
        <f t="array" ref="AF99">_xll.VALEUROUTPUT($A$923,_xlfn.CONCAT("THEME14=",$C99),SCENARIOS!$A$2,SCENARIOS!$B$2,AF$1)</f>
        <v>0</v>
      </c>
    </row>
    <row r="100" spans="1:32" x14ac:dyDescent="0.25">
      <c r="A100" t="str">
        <v>OVOLBOJADMACP</v>
      </c>
      <c r="D100" cm="1">
        <f t="array" ref="D100">_xll.VALEUROUTPUT($A$923,_xlfn.CONCAT("THEME14=",$C100),SCENARIOS!$A$2,SCENARIOS!$B$2,D$1)</f>
        <v>0</v>
      </c>
      <c r="E100" cm="1">
        <f t="array" ref="E100">_xll.VALEUROUTPUT($A$923,_xlfn.CONCAT("THEME14=",$C100),SCENARIOS!$A$2,SCENARIOS!$B$2,E$1)</f>
        <v>0</v>
      </c>
      <c r="F100" cm="1">
        <f t="array" ref="F100">_xll.VALEUROUTPUT($A$923,_xlfn.CONCAT("THEME14=",$C100),SCENARIOS!$A$2,SCENARIOS!$B$2,F$1)</f>
        <v>0</v>
      </c>
      <c r="G100" cm="1">
        <f t="array" ref="G100">_xll.VALEUROUTPUT($A$923,_xlfn.CONCAT("THEME14=",$C100),SCENARIOS!$A$2,SCENARIOS!$B$2,G$1)</f>
        <v>0</v>
      </c>
      <c r="H100" cm="1">
        <f t="array" ref="H100">_xll.VALEUROUTPUT($A$923,_xlfn.CONCAT("THEME14=",$C100),SCENARIOS!$A$2,SCENARIOS!$B$2,H$1)</f>
        <v>0</v>
      </c>
      <c r="I100" cm="1">
        <f t="array" ref="I100">_xll.VALEUROUTPUT($A$923,_xlfn.CONCAT("THEME14=",$C100),SCENARIOS!$A$2,SCENARIOS!$B$2,I$1)</f>
        <v>0</v>
      </c>
      <c r="J100" cm="1">
        <f t="array" ref="J100">_xll.VALEUROUTPUT($A$923,_xlfn.CONCAT("THEME14=",$C100),SCENARIOS!$A$2,SCENARIOS!$B$2,J$1)</f>
        <v>0</v>
      </c>
      <c r="K100" cm="1">
        <f t="array" ref="K100">_xll.VALEUROUTPUT($A$923,_xlfn.CONCAT("THEME14=",$C100),SCENARIOS!$A$2,SCENARIOS!$B$2,K$1)</f>
        <v>0</v>
      </c>
      <c r="L100" cm="1">
        <f t="array" ref="L100">_xll.VALEUROUTPUT($A$923,_xlfn.CONCAT("THEME14=",$C100),SCENARIOS!$A$2,SCENARIOS!$B$2,L$1)</f>
        <v>0</v>
      </c>
      <c r="M100" cm="1">
        <f t="array" ref="M100">_xll.VALEUROUTPUT($A$923,_xlfn.CONCAT("THEME14=",$C100),SCENARIOS!$A$2,SCENARIOS!$B$2,M$1)</f>
        <v>0</v>
      </c>
      <c r="N100" cm="1">
        <f t="array" ref="N100">_xll.VALEUROUTPUT($A$923,_xlfn.CONCAT("THEME14=",$C100),SCENARIOS!$A$2,SCENARIOS!$B$2,N$1)</f>
        <v>0</v>
      </c>
      <c r="O100" cm="1">
        <f t="array" ref="O100">_xll.VALEUROUTPUT($A$923,_xlfn.CONCAT("THEME14=",$C100),SCENARIOS!$A$2,SCENARIOS!$B$2,O$1)</f>
        <v>0</v>
      </c>
      <c r="P100" cm="1">
        <f t="array" ref="P100">_xll.VALEUROUTPUT($A$923,_xlfn.CONCAT("THEME14=",$C100),SCENARIOS!$A$2,SCENARIOS!$B$2,P$1)</f>
        <v>0</v>
      </c>
      <c r="Q100" cm="1">
        <f t="array" ref="Q100">_xll.VALEUROUTPUT($A$923,_xlfn.CONCAT("THEME14=",$C100),SCENARIOS!$A$2,SCENARIOS!$B$2,Q$1)</f>
        <v>0</v>
      </c>
      <c r="R100" cm="1">
        <f t="array" ref="R100">_xll.VALEUROUTPUT($A$923,_xlfn.CONCAT("THEME14=",$C100),SCENARIOS!$A$2,SCENARIOS!$B$2,R$1)</f>
        <v>0</v>
      </c>
      <c r="S100" cm="1">
        <f t="array" ref="S100">_xll.VALEUROUTPUT($A$923,_xlfn.CONCAT("THEME14=",$C100),SCENARIOS!$A$2,SCENARIOS!$B$2,S$1)</f>
        <v>0</v>
      </c>
      <c r="T100" cm="1">
        <f t="array" ref="T100">_xll.VALEUROUTPUT($A$923,_xlfn.CONCAT("THEME14=",$C100),SCENARIOS!$A$2,SCENARIOS!$B$2,T$1)</f>
        <v>0</v>
      </c>
      <c r="U100" cm="1">
        <f t="array" ref="U100">_xll.VALEUROUTPUT($A$923,_xlfn.CONCAT("THEME14=",$C100),SCENARIOS!$A$2,SCENARIOS!$B$2,U$1)</f>
        <v>0</v>
      </c>
      <c r="V100" cm="1">
        <f t="array" ref="V100">_xll.VALEUROUTPUT($A$923,_xlfn.CONCAT("THEME14=",$C100),SCENARIOS!$A$2,SCENARIOS!$B$2,V$1)</f>
        <v>0</v>
      </c>
      <c r="W100" cm="1">
        <f t="array" ref="W100">_xll.VALEUROUTPUT($A$923,_xlfn.CONCAT("THEME14=",$C100),SCENARIOS!$A$2,SCENARIOS!$B$2,W$1)</f>
        <v>0</v>
      </c>
      <c r="X100" cm="1">
        <f t="array" ref="X100">_xll.VALEUROUTPUT($A$923,_xlfn.CONCAT("THEME14=",$C100),SCENARIOS!$A$2,SCENARIOS!$B$2,X$1)</f>
        <v>0</v>
      </c>
      <c r="Y100" cm="1">
        <f t="array" ref="Y100">_xll.VALEUROUTPUT($A$923,_xlfn.CONCAT("THEME14=",$C100),SCENARIOS!$A$2,SCENARIOS!$B$2,Y$1)</f>
        <v>0</v>
      </c>
      <c r="Z100" cm="1">
        <f t="array" ref="Z100">_xll.VALEUROUTPUT($A$923,_xlfn.CONCAT("THEME14=",$C100),SCENARIOS!$A$2,SCENARIOS!$B$2,Z$1)</f>
        <v>0</v>
      </c>
      <c r="AA100" cm="1">
        <f t="array" ref="AA100">_xll.VALEUROUTPUT($A$923,_xlfn.CONCAT("THEME14=",$C100),SCENARIOS!$A$2,SCENARIOS!$B$2,AA$1)</f>
        <v>0</v>
      </c>
      <c r="AB100" cm="1">
        <f t="array" ref="AB100">_xll.VALEUROUTPUT($A$923,_xlfn.CONCAT("THEME14=",$C100),SCENARIOS!$A$2,SCENARIOS!$B$2,AB$1)</f>
        <v>0</v>
      </c>
      <c r="AC100" cm="1">
        <f t="array" ref="AC100">_xll.VALEUROUTPUT($A$923,_xlfn.CONCAT("THEME14=",$C100),SCENARIOS!$A$2,SCENARIOS!$B$2,AC$1)</f>
        <v>0</v>
      </c>
      <c r="AD100" cm="1">
        <f t="array" ref="AD100">_xll.VALEUROUTPUT($A$923,_xlfn.CONCAT("THEME14=",$C100),SCENARIOS!$A$2,SCENARIOS!$B$2,AD$1)</f>
        <v>0</v>
      </c>
      <c r="AE100" cm="1">
        <f t="array" ref="AE100">_xll.VALEUROUTPUT($A$923,_xlfn.CONCAT("THEME14=",$C100),SCENARIOS!$A$2,SCENARIOS!$B$2,AE$1)</f>
        <v>0</v>
      </c>
      <c r="AF100" cm="1">
        <f t="array" ref="AF100">_xll.VALEUROUTPUT($A$923,_xlfn.CONCAT("THEME14=",$C100),SCENARIOS!$A$2,SCENARIOS!$B$2,AF$1)</f>
        <v>0</v>
      </c>
    </row>
    <row r="101" spans="1:32" x14ac:dyDescent="0.25">
      <c r="A101" t="str">
        <v>OVOLBOJADMACPJ</v>
      </c>
      <c r="D101" cm="1">
        <f t="array" ref="D101">_xll.VALEUROUTPUT($A$923,_xlfn.CONCAT("THEME14=",$C101),SCENARIOS!$A$2,SCENARIOS!$B$2,D$1)</f>
        <v>0</v>
      </c>
      <c r="E101" cm="1">
        <f t="array" ref="E101">_xll.VALEUROUTPUT($A$923,_xlfn.CONCAT("THEME14=",$C101),SCENARIOS!$A$2,SCENARIOS!$B$2,E$1)</f>
        <v>0</v>
      </c>
      <c r="F101" cm="1">
        <f t="array" ref="F101">_xll.VALEUROUTPUT($A$923,_xlfn.CONCAT("THEME14=",$C101),SCENARIOS!$A$2,SCENARIOS!$B$2,F$1)</f>
        <v>0</v>
      </c>
      <c r="G101" cm="1">
        <f t="array" ref="G101">_xll.VALEUROUTPUT($A$923,_xlfn.CONCAT("THEME14=",$C101),SCENARIOS!$A$2,SCENARIOS!$B$2,G$1)</f>
        <v>0</v>
      </c>
      <c r="H101" cm="1">
        <f t="array" ref="H101">_xll.VALEUROUTPUT($A$923,_xlfn.CONCAT("THEME14=",$C101),SCENARIOS!$A$2,SCENARIOS!$B$2,H$1)</f>
        <v>0</v>
      </c>
      <c r="I101" cm="1">
        <f t="array" ref="I101">_xll.VALEUROUTPUT($A$923,_xlfn.CONCAT("THEME14=",$C101),SCENARIOS!$A$2,SCENARIOS!$B$2,I$1)</f>
        <v>0</v>
      </c>
      <c r="J101" cm="1">
        <f t="array" ref="J101">_xll.VALEUROUTPUT($A$923,_xlfn.CONCAT("THEME14=",$C101),SCENARIOS!$A$2,SCENARIOS!$B$2,J$1)</f>
        <v>0</v>
      </c>
      <c r="K101" cm="1">
        <f t="array" ref="K101">_xll.VALEUROUTPUT($A$923,_xlfn.CONCAT("THEME14=",$C101),SCENARIOS!$A$2,SCENARIOS!$B$2,K$1)</f>
        <v>0</v>
      </c>
      <c r="L101" cm="1">
        <f t="array" ref="L101">_xll.VALEUROUTPUT($A$923,_xlfn.CONCAT("THEME14=",$C101),SCENARIOS!$A$2,SCENARIOS!$B$2,L$1)</f>
        <v>0</v>
      </c>
      <c r="M101" cm="1">
        <f t="array" ref="M101">_xll.VALEUROUTPUT($A$923,_xlfn.CONCAT("THEME14=",$C101),SCENARIOS!$A$2,SCENARIOS!$B$2,M$1)</f>
        <v>0</v>
      </c>
      <c r="N101" cm="1">
        <f t="array" ref="N101">_xll.VALEUROUTPUT($A$923,_xlfn.CONCAT("THEME14=",$C101),SCENARIOS!$A$2,SCENARIOS!$B$2,N$1)</f>
        <v>0</v>
      </c>
      <c r="O101" cm="1">
        <f t="array" ref="O101">_xll.VALEUROUTPUT($A$923,_xlfn.CONCAT("THEME14=",$C101),SCENARIOS!$A$2,SCENARIOS!$B$2,O$1)</f>
        <v>0</v>
      </c>
      <c r="P101" cm="1">
        <f t="array" ref="P101">_xll.VALEUROUTPUT($A$923,_xlfn.CONCAT("THEME14=",$C101),SCENARIOS!$A$2,SCENARIOS!$B$2,P$1)</f>
        <v>0</v>
      </c>
      <c r="Q101" cm="1">
        <f t="array" ref="Q101">_xll.VALEUROUTPUT($A$923,_xlfn.CONCAT("THEME14=",$C101),SCENARIOS!$A$2,SCENARIOS!$B$2,Q$1)</f>
        <v>0</v>
      </c>
      <c r="R101" cm="1">
        <f t="array" ref="R101">_xll.VALEUROUTPUT($A$923,_xlfn.CONCAT("THEME14=",$C101),SCENARIOS!$A$2,SCENARIOS!$B$2,R$1)</f>
        <v>0</v>
      </c>
      <c r="S101" cm="1">
        <f t="array" ref="S101">_xll.VALEUROUTPUT($A$923,_xlfn.CONCAT("THEME14=",$C101),SCENARIOS!$A$2,SCENARIOS!$B$2,S$1)</f>
        <v>0</v>
      </c>
      <c r="T101" cm="1">
        <f t="array" ref="T101">_xll.VALEUROUTPUT($A$923,_xlfn.CONCAT("THEME14=",$C101),SCENARIOS!$A$2,SCENARIOS!$B$2,T$1)</f>
        <v>0</v>
      </c>
      <c r="U101" cm="1">
        <f t="array" ref="U101">_xll.VALEUROUTPUT($A$923,_xlfn.CONCAT("THEME14=",$C101),SCENARIOS!$A$2,SCENARIOS!$B$2,U$1)</f>
        <v>0</v>
      </c>
      <c r="V101" cm="1">
        <f t="array" ref="V101">_xll.VALEUROUTPUT($A$923,_xlfn.CONCAT("THEME14=",$C101),SCENARIOS!$A$2,SCENARIOS!$B$2,V$1)</f>
        <v>0</v>
      </c>
      <c r="W101" cm="1">
        <f t="array" ref="W101">_xll.VALEUROUTPUT($A$923,_xlfn.CONCAT("THEME14=",$C101),SCENARIOS!$A$2,SCENARIOS!$B$2,W$1)</f>
        <v>0</v>
      </c>
      <c r="X101" cm="1">
        <f t="array" ref="X101">_xll.VALEUROUTPUT($A$923,_xlfn.CONCAT("THEME14=",$C101),SCENARIOS!$A$2,SCENARIOS!$B$2,X$1)</f>
        <v>0</v>
      </c>
      <c r="Y101" cm="1">
        <f t="array" ref="Y101">_xll.VALEUROUTPUT($A$923,_xlfn.CONCAT("THEME14=",$C101),SCENARIOS!$A$2,SCENARIOS!$B$2,Y$1)</f>
        <v>0</v>
      </c>
      <c r="Z101" cm="1">
        <f t="array" ref="Z101">_xll.VALEUROUTPUT($A$923,_xlfn.CONCAT("THEME14=",$C101),SCENARIOS!$A$2,SCENARIOS!$B$2,Z$1)</f>
        <v>0</v>
      </c>
      <c r="AA101" cm="1">
        <f t="array" ref="AA101">_xll.VALEUROUTPUT($A$923,_xlfn.CONCAT("THEME14=",$C101),SCENARIOS!$A$2,SCENARIOS!$B$2,AA$1)</f>
        <v>0</v>
      </c>
      <c r="AB101" cm="1">
        <f t="array" ref="AB101">_xll.VALEUROUTPUT($A$923,_xlfn.CONCAT("THEME14=",$C101),SCENARIOS!$A$2,SCENARIOS!$B$2,AB$1)</f>
        <v>0</v>
      </c>
      <c r="AC101" cm="1">
        <f t="array" ref="AC101">_xll.VALEUROUTPUT($A$923,_xlfn.CONCAT("THEME14=",$C101),SCENARIOS!$A$2,SCENARIOS!$B$2,AC$1)</f>
        <v>0</v>
      </c>
      <c r="AD101" cm="1">
        <f t="array" ref="AD101">_xll.VALEUROUTPUT($A$923,_xlfn.CONCAT("THEME14=",$C101),SCENARIOS!$A$2,SCENARIOS!$B$2,AD$1)</f>
        <v>0</v>
      </c>
      <c r="AE101" cm="1">
        <f t="array" ref="AE101">_xll.VALEUROUTPUT($A$923,_xlfn.CONCAT("THEME14=",$C101),SCENARIOS!$A$2,SCENARIOS!$B$2,AE$1)</f>
        <v>0</v>
      </c>
      <c r="AF101" cm="1">
        <f t="array" ref="AF101">_xll.VALEUROUTPUT($A$923,_xlfn.CONCAT("THEME14=",$C101),SCENARIOS!$A$2,SCENARIOS!$B$2,AF$1)</f>
        <v>0</v>
      </c>
    </row>
    <row r="102" spans="1:32" x14ac:dyDescent="0.25">
      <c r="A102" t="str">
        <v>OVOLBOJADMACJ</v>
      </c>
      <c r="D102" cm="1">
        <f t="array" ref="D102">_xll.VALEUROUTPUT($A$923,_xlfn.CONCAT("THEME14=",$C102),SCENARIOS!$A$2,SCENARIOS!$B$2,D$1)</f>
        <v>0</v>
      </c>
      <c r="E102" cm="1">
        <f t="array" ref="E102">_xll.VALEUROUTPUT($A$923,_xlfn.CONCAT("THEME14=",$C102),SCENARIOS!$A$2,SCENARIOS!$B$2,E$1)</f>
        <v>0</v>
      </c>
      <c r="F102" cm="1">
        <f t="array" ref="F102">_xll.VALEUROUTPUT($A$923,_xlfn.CONCAT("THEME14=",$C102),SCENARIOS!$A$2,SCENARIOS!$B$2,F$1)</f>
        <v>0</v>
      </c>
      <c r="G102" cm="1">
        <f t="array" ref="G102">_xll.VALEUROUTPUT($A$923,_xlfn.CONCAT("THEME14=",$C102),SCENARIOS!$A$2,SCENARIOS!$B$2,G$1)</f>
        <v>0</v>
      </c>
      <c r="H102" cm="1">
        <f t="array" ref="H102">_xll.VALEUROUTPUT($A$923,_xlfn.CONCAT("THEME14=",$C102),SCENARIOS!$A$2,SCENARIOS!$B$2,H$1)</f>
        <v>0</v>
      </c>
      <c r="I102" cm="1">
        <f t="array" ref="I102">_xll.VALEUROUTPUT($A$923,_xlfn.CONCAT("THEME14=",$C102),SCENARIOS!$A$2,SCENARIOS!$B$2,I$1)</f>
        <v>0</v>
      </c>
      <c r="J102" cm="1">
        <f t="array" ref="J102">_xll.VALEUROUTPUT($A$923,_xlfn.CONCAT("THEME14=",$C102),SCENARIOS!$A$2,SCENARIOS!$B$2,J$1)</f>
        <v>0</v>
      </c>
      <c r="K102" cm="1">
        <f t="array" ref="K102">_xll.VALEUROUTPUT($A$923,_xlfn.CONCAT("THEME14=",$C102),SCENARIOS!$A$2,SCENARIOS!$B$2,K$1)</f>
        <v>0</v>
      </c>
      <c r="L102" cm="1">
        <f t="array" ref="L102">_xll.VALEUROUTPUT($A$923,_xlfn.CONCAT("THEME14=",$C102),SCENARIOS!$A$2,SCENARIOS!$B$2,L$1)</f>
        <v>0</v>
      </c>
      <c r="M102" cm="1">
        <f t="array" ref="M102">_xll.VALEUROUTPUT($A$923,_xlfn.CONCAT("THEME14=",$C102),SCENARIOS!$A$2,SCENARIOS!$B$2,M$1)</f>
        <v>0</v>
      </c>
      <c r="N102" cm="1">
        <f t="array" ref="N102">_xll.VALEUROUTPUT($A$923,_xlfn.CONCAT("THEME14=",$C102),SCENARIOS!$A$2,SCENARIOS!$B$2,N$1)</f>
        <v>0</v>
      </c>
      <c r="O102" cm="1">
        <f t="array" ref="O102">_xll.VALEUROUTPUT($A$923,_xlfn.CONCAT("THEME14=",$C102),SCENARIOS!$A$2,SCENARIOS!$B$2,O$1)</f>
        <v>0</v>
      </c>
      <c r="P102" cm="1">
        <f t="array" ref="P102">_xll.VALEUROUTPUT($A$923,_xlfn.CONCAT("THEME14=",$C102),SCENARIOS!$A$2,SCENARIOS!$B$2,P$1)</f>
        <v>0</v>
      </c>
      <c r="Q102" cm="1">
        <f t="array" ref="Q102">_xll.VALEUROUTPUT($A$923,_xlfn.CONCAT("THEME14=",$C102),SCENARIOS!$A$2,SCENARIOS!$B$2,Q$1)</f>
        <v>0</v>
      </c>
      <c r="R102" cm="1">
        <f t="array" ref="R102">_xll.VALEUROUTPUT($A$923,_xlfn.CONCAT("THEME14=",$C102),SCENARIOS!$A$2,SCENARIOS!$B$2,R$1)</f>
        <v>0</v>
      </c>
      <c r="S102" cm="1">
        <f t="array" ref="S102">_xll.VALEUROUTPUT($A$923,_xlfn.CONCAT("THEME14=",$C102),SCENARIOS!$A$2,SCENARIOS!$B$2,S$1)</f>
        <v>0</v>
      </c>
      <c r="T102" cm="1">
        <f t="array" ref="T102">_xll.VALEUROUTPUT($A$923,_xlfn.CONCAT("THEME14=",$C102),SCENARIOS!$A$2,SCENARIOS!$B$2,T$1)</f>
        <v>0</v>
      </c>
      <c r="U102" cm="1">
        <f t="array" ref="U102">_xll.VALEUROUTPUT($A$923,_xlfn.CONCAT("THEME14=",$C102),SCENARIOS!$A$2,SCENARIOS!$B$2,U$1)</f>
        <v>0</v>
      </c>
      <c r="V102" cm="1">
        <f t="array" ref="V102">_xll.VALEUROUTPUT($A$923,_xlfn.CONCAT("THEME14=",$C102),SCENARIOS!$A$2,SCENARIOS!$B$2,V$1)</f>
        <v>0</v>
      </c>
      <c r="W102" cm="1">
        <f t="array" ref="W102">_xll.VALEUROUTPUT($A$923,_xlfn.CONCAT("THEME14=",$C102),SCENARIOS!$A$2,SCENARIOS!$B$2,W$1)</f>
        <v>0</v>
      </c>
      <c r="X102" cm="1">
        <f t="array" ref="X102">_xll.VALEUROUTPUT($A$923,_xlfn.CONCAT("THEME14=",$C102),SCENARIOS!$A$2,SCENARIOS!$B$2,X$1)</f>
        <v>0</v>
      </c>
      <c r="Y102" cm="1">
        <f t="array" ref="Y102">_xll.VALEUROUTPUT($A$923,_xlfn.CONCAT("THEME14=",$C102),SCENARIOS!$A$2,SCENARIOS!$B$2,Y$1)</f>
        <v>0</v>
      </c>
      <c r="Z102" cm="1">
        <f t="array" ref="Z102">_xll.VALEUROUTPUT($A$923,_xlfn.CONCAT("THEME14=",$C102),SCENARIOS!$A$2,SCENARIOS!$B$2,Z$1)</f>
        <v>0</v>
      </c>
      <c r="AA102" cm="1">
        <f t="array" ref="AA102">_xll.VALEUROUTPUT($A$923,_xlfn.CONCAT("THEME14=",$C102),SCENARIOS!$A$2,SCENARIOS!$B$2,AA$1)</f>
        <v>0</v>
      </c>
      <c r="AB102" cm="1">
        <f t="array" ref="AB102">_xll.VALEUROUTPUT($A$923,_xlfn.CONCAT("THEME14=",$C102),SCENARIOS!$A$2,SCENARIOS!$B$2,AB$1)</f>
        <v>0</v>
      </c>
      <c r="AC102" cm="1">
        <f t="array" ref="AC102">_xll.VALEUROUTPUT($A$923,_xlfn.CONCAT("THEME14=",$C102),SCENARIOS!$A$2,SCENARIOS!$B$2,AC$1)</f>
        <v>0</v>
      </c>
      <c r="AD102" cm="1">
        <f t="array" ref="AD102">_xll.VALEUROUTPUT($A$923,_xlfn.CONCAT("THEME14=",$C102),SCENARIOS!$A$2,SCENARIOS!$B$2,AD$1)</f>
        <v>0</v>
      </c>
      <c r="AE102" cm="1">
        <f t="array" ref="AE102">_xll.VALEUROUTPUT($A$923,_xlfn.CONCAT("THEME14=",$C102),SCENARIOS!$A$2,SCENARIOS!$B$2,AE$1)</f>
        <v>0</v>
      </c>
      <c r="AF102" cm="1">
        <f t="array" ref="AF102">_xll.VALEUROUTPUT($A$923,_xlfn.CONCAT("THEME14=",$C102),SCENARIOS!$A$2,SCENARIOS!$B$2,AF$1)</f>
        <v>0</v>
      </c>
    </row>
    <row r="103" spans="1:32" x14ac:dyDescent="0.25">
      <c r="A103" t="str">
        <v>OVOLBOJADMACRV</v>
      </c>
      <c r="D103" cm="1">
        <f t="array" ref="D103">_xll.VALEUROUTPUT($A$923,_xlfn.CONCAT("THEME14=",$C103),SCENARIOS!$A$2,SCENARIOS!$B$2,D$1)</f>
        <v>0</v>
      </c>
      <c r="E103" cm="1">
        <f t="array" ref="E103">_xll.VALEUROUTPUT($A$923,_xlfn.CONCAT("THEME14=",$C103),SCENARIOS!$A$2,SCENARIOS!$B$2,E$1)</f>
        <v>0</v>
      </c>
      <c r="F103" cm="1">
        <f t="array" ref="F103">_xll.VALEUROUTPUT($A$923,_xlfn.CONCAT("THEME14=",$C103),SCENARIOS!$A$2,SCENARIOS!$B$2,F$1)</f>
        <v>0</v>
      </c>
      <c r="G103" cm="1">
        <f t="array" ref="G103">_xll.VALEUROUTPUT($A$923,_xlfn.CONCAT("THEME14=",$C103),SCENARIOS!$A$2,SCENARIOS!$B$2,G$1)</f>
        <v>0</v>
      </c>
      <c r="H103" cm="1">
        <f t="array" ref="H103">_xll.VALEUROUTPUT($A$923,_xlfn.CONCAT("THEME14=",$C103),SCENARIOS!$A$2,SCENARIOS!$B$2,H$1)</f>
        <v>0</v>
      </c>
      <c r="I103" cm="1">
        <f t="array" ref="I103">_xll.VALEUROUTPUT($A$923,_xlfn.CONCAT("THEME14=",$C103),SCENARIOS!$A$2,SCENARIOS!$B$2,I$1)</f>
        <v>0</v>
      </c>
      <c r="J103" cm="1">
        <f t="array" ref="J103">_xll.VALEUROUTPUT($A$923,_xlfn.CONCAT("THEME14=",$C103),SCENARIOS!$A$2,SCENARIOS!$B$2,J$1)</f>
        <v>0</v>
      </c>
      <c r="K103" cm="1">
        <f t="array" ref="K103">_xll.VALEUROUTPUT($A$923,_xlfn.CONCAT("THEME14=",$C103),SCENARIOS!$A$2,SCENARIOS!$B$2,K$1)</f>
        <v>0</v>
      </c>
      <c r="L103" cm="1">
        <f t="array" ref="L103">_xll.VALEUROUTPUT($A$923,_xlfn.CONCAT("THEME14=",$C103),SCENARIOS!$A$2,SCENARIOS!$B$2,L$1)</f>
        <v>0</v>
      </c>
      <c r="M103" cm="1">
        <f t="array" ref="M103">_xll.VALEUROUTPUT($A$923,_xlfn.CONCAT("THEME14=",$C103),SCENARIOS!$A$2,SCENARIOS!$B$2,M$1)</f>
        <v>0</v>
      </c>
      <c r="N103" cm="1">
        <f t="array" ref="N103">_xll.VALEUROUTPUT($A$923,_xlfn.CONCAT("THEME14=",$C103),SCENARIOS!$A$2,SCENARIOS!$B$2,N$1)</f>
        <v>0</v>
      </c>
      <c r="O103" cm="1">
        <f t="array" ref="O103">_xll.VALEUROUTPUT($A$923,_xlfn.CONCAT("THEME14=",$C103),SCENARIOS!$A$2,SCENARIOS!$B$2,O$1)</f>
        <v>0</v>
      </c>
      <c r="P103" cm="1">
        <f t="array" ref="P103">_xll.VALEUROUTPUT($A$923,_xlfn.CONCAT("THEME14=",$C103),SCENARIOS!$A$2,SCENARIOS!$B$2,P$1)</f>
        <v>0</v>
      </c>
      <c r="Q103" cm="1">
        <f t="array" ref="Q103">_xll.VALEUROUTPUT($A$923,_xlfn.CONCAT("THEME14=",$C103),SCENARIOS!$A$2,SCENARIOS!$B$2,Q$1)</f>
        <v>0</v>
      </c>
      <c r="R103" cm="1">
        <f t="array" ref="R103">_xll.VALEUROUTPUT($A$923,_xlfn.CONCAT("THEME14=",$C103),SCENARIOS!$A$2,SCENARIOS!$B$2,R$1)</f>
        <v>0</v>
      </c>
      <c r="S103" cm="1">
        <f t="array" ref="S103">_xll.VALEUROUTPUT($A$923,_xlfn.CONCAT("THEME14=",$C103),SCENARIOS!$A$2,SCENARIOS!$B$2,S$1)</f>
        <v>0</v>
      </c>
      <c r="T103" cm="1">
        <f t="array" ref="T103">_xll.VALEUROUTPUT($A$923,_xlfn.CONCAT("THEME14=",$C103),SCENARIOS!$A$2,SCENARIOS!$B$2,T$1)</f>
        <v>0</v>
      </c>
      <c r="U103" cm="1">
        <f t="array" ref="U103">_xll.VALEUROUTPUT($A$923,_xlfn.CONCAT("THEME14=",$C103),SCENARIOS!$A$2,SCENARIOS!$B$2,U$1)</f>
        <v>0</v>
      </c>
      <c r="V103" cm="1">
        <f t="array" ref="V103">_xll.VALEUROUTPUT($A$923,_xlfn.CONCAT("THEME14=",$C103),SCENARIOS!$A$2,SCENARIOS!$B$2,V$1)</f>
        <v>0</v>
      </c>
      <c r="W103" cm="1">
        <f t="array" ref="W103">_xll.VALEUROUTPUT($A$923,_xlfn.CONCAT("THEME14=",$C103),SCENARIOS!$A$2,SCENARIOS!$B$2,W$1)</f>
        <v>0</v>
      </c>
      <c r="X103" cm="1">
        <f t="array" ref="X103">_xll.VALEUROUTPUT($A$923,_xlfn.CONCAT("THEME14=",$C103),SCENARIOS!$A$2,SCENARIOS!$B$2,X$1)</f>
        <v>0</v>
      </c>
      <c r="Y103" cm="1">
        <f t="array" ref="Y103">_xll.VALEUROUTPUT($A$923,_xlfn.CONCAT("THEME14=",$C103),SCENARIOS!$A$2,SCENARIOS!$B$2,Y$1)</f>
        <v>0</v>
      </c>
      <c r="Z103" cm="1">
        <f t="array" ref="Z103">_xll.VALEUROUTPUT($A$923,_xlfn.CONCAT("THEME14=",$C103),SCENARIOS!$A$2,SCENARIOS!$B$2,Z$1)</f>
        <v>0</v>
      </c>
      <c r="AA103" cm="1">
        <f t="array" ref="AA103">_xll.VALEUROUTPUT($A$923,_xlfn.CONCAT("THEME14=",$C103),SCENARIOS!$A$2,SCENARIOS!$B$2,AA$1)</f>
        <v>0</v>
      </c>
      <c r="AB103" cm="1">
        <f t="array" ref="AB103">_xll.VALEUROUTPUT($A$923,_xlfn.CONCAT("THEME14=",$C103),SCENARIOS!$A$2,SCENARIOS!$B$2,AB$1)</f>
        <v>0</v>
      </c>
      <c r="AC103" cm="1">
        <f t="array" ref="AC103">_xll.VALEUROUTPUT($A$923,_xlfn.CONCAT("THEME14=",$C103),SCENARIOS!$A$2,SCENARIOS!$B$2,AC$1)</f>
        <v>0</v>
      </c>
      <c r="AD103" cm="1">
        <f t="array" ref="AD103">_xll.VALEUROUTPUT($A$923,_xlfn.CONCAT("THEME14=",$C103),SCENARIOS!$A$2,SCENARIOS!$B$2,AD$1)</f>
        <v>0</v>
      </c>
      <c r="AE103" cm="1">
        <f t="array" ref="AE103">_xll.VALEUROUTPUT($A$923,_xlfn.CONCAT("THEME14=",$C103),SCENARIOS!$A$2,SCENARIOS!$B$2,AE$1)</f>
        <v>0</v>
      </c>
      <c r="AF103" cm="1">
        <f t="array" ref="AF103">_xll.VALEUROUTPUT($A$923,_xlfn.CONCAT("THEME14=",$C103),SCENARIOS!$A$2,SCENARIOS!$B$2,AF$1)</f>
        <v>0</v>
      </c>
    </row>
    <row r="104" spans="1:32" x14ac:dyDescent="0.25">
      <c r="A104" t="str">
        <v>OVOLBOJADMACRS</v>
      </c>
      <c r="D104" cm="1">
        <f t="array" ref="D104">_xll.VALEUROUTPUT($A$923,_xlfn.CONCAT("THEME14=",$C104),SCENARIOS!$A$2,SCENARIOS!$B$2,D$1)</f>
        <v>0</v>
      </c>
      <c r="E104" cm="1">
        <f t="array" ref="E104">_xll.VALEUROUTPUT($A$923,_xlfn.CONCAT("THEME14=",$C104),SCENARIOS!$A$2,SCENARIOS!$B$2,E$1)</f>
        <v>0</v>
      </c>
      <c r="F104" cm="1">
        <f t="array" ref="F104">_xll.VALEUROUTPUT($A$923,_xlfn.CONCAT("THEME14=",$C104),SCENARIOS!$A$2,SCENARIOS!$B$2,F$1)</f>
        <v>0</v>
      </c>
      <c r="G104" cm="1">
        <f t="array" ref="G104">_xll.VALEUROUTPUT($A$923,_xlfn.CONCAT("THEME14=",$C104),SCENARIOS!$A$2,SCENARIOS!$B$2,G$1)</f>
        <v>0</v>
      </c>
      <c r="H104" cm="1">
        <f t="array" ref="H104">_xll.VALEUROUTPUT($A$923,_xlfn.CONCAT("THEME14=",$C104),SCENARIOS!$A$2,SCENARIOS!$B$2,H$1)</f>
        <v>0</v>
      </c>
      <c r="I104" cm="1">
        <f t="array" ref="I104">_xll.VALEUROUTPUT($A$923,_xlfn.CONCAT("THEME14=",$C104),SCENARIOS!$A$2,SCENARIOS!$B$2,I$1)</f>
        <v>0</v>
      </c>
      <c r="J104" cm="1">
        <f t="array" ref="J104">_xll.VALEUROUTPUT($A$923,_xlfn.CONCAT("THEME14=",$C104),SCENARIOS!$A$2,SCENARIOS!$B$2,J$1)</f>
        <v>0</v>
      </c>
      <c r="K104" cm="1">
        <f t="array" ref="K104">_xll.VALEUROUTPUT($A$923,_xlfn.CONCAT("THEME14=",$C104),SCENARIOS!$A$2,SCENARIOS!$B$2,K$1)</f>
        <v>0</v>
      </c>
      <c r="L104" cm="1">
        <f t="array" ref="L104">_xll.VALEUROUTPUT($A$923,_xlfn.CONCAT("THEME14=",$C104),SCENARIOS!$A$2,SCENARIOS!$B$2,L$1)</f>
        <v>0</v>
      </c>
      <c r="M104" cm="1">
        <f t="array" ref="M104">_xll.VALEUROUTPUT($A$923,_xlfn.CONCAT("THEME14=",$C104),SCENARIOS!$A$2,SCENARIOS!$B$2,M$1)</f>
        <v>0</v>
      </c>
      <c r="N104" cm="1">
        <f t="array" ref="N104">_xll.VALEUROUTPUT($A$923,_xlfn.CONCAT("THEME14=",$C104),SCENARIOS!$A$2,SCENARIOS!$B$2,N$1)</f>
        <v>0</v>
      </c>
      <c r="O104" cm="1">
        <f t="array" ref="O104">_xll.VALEUROUTPUT($A$923,_xlfn.CONCAT("THEME14=",$C104),SCENARIOS!$A$2,SCENARIOS!$B$2,O$1)</f>
        <v>0</v>
      </c>
      <c r="P104" cm="1">
        <f t="array" ref="P104">_xll.VALEUROUTPUT($A$923,_xlfn.CONCAT("THEME14=",$C104),SCENARIOS!$A$2,SCENARIOS!$B$2,P$1)</f>
        <v>0</v>
      </c>
      <c r="Q104" cm="1">
        <f t="array" ref="Q104">_xll.VALEUROUTPUT($A$923,_xlfn.CONCAT("THEME14=",$C104),SCENARIOS!$A$2,SCENARIOS!$B$2,Q$1)</f>
        <v>0</v>
      </c>
      <c r="R104" cm="1">
        <f t="array" ref="R104">_xll.VALEUROUTPUT($A$923,_xlfn.CONCAT("THEME14=",$C104),SCENARIOS!$A$2,SCENARIOS!$B$2,R$1)</f>
        <v>0</v>
      </c>
      <c r="S104" cm="1">
        <f t="array" ref="S104">_xll.VALEUROUTPUT($A$923,_xlfn.CONCAT("THEME14=",$C104),SCENARIOS!$A$2,SCENARIOS!$B$2,S$1)</f>
        <v>0</v>
      </c>
      <c r="T104" cm="1">
        <f t="array" ref="T104">_xll.VALEUROUTPUT($A$923,_xlfn.CONCAT("THEME14=",$C104),SCENARIOS!$A$2,SCENARIOS!$B$2,T$1)</f>
        <v>0</v>
      </c>
      <c r="U104" cm="1">
        <f t="array" ref="U104">_xll.VALEUROUTPUT($A$923,_xlfn.CONCAT("THEME14=",$C104),SCENARIOS!$A$2,SCENARIOS!$B$2,U$1)</f>
        <v>0</v>
      </c>
      <c r="V104" cm="1">
        <f t="array" ref="V104">_xll.VALEUROUTPUT($A$923,_xlfn.CONCAT("THEME14=",$C104),SCENARIOS!$A$2,SCENARIOS!$B$2,V$1)</f>
        <v>0</v>
      </c>
      <c r="W104" cm="1">
        <f t="array" ref="W104">_xll.VALEUROUTPUT($A$923,_xlfn.CONCAT("THEME14=",$C104),SCENARIOS!$A$2,SCENARIOS!$B$2,W$1)</f>
        <v>0</v>
      </c>
      <c r="X104" cm="1">
        <f t="array" ref="X104">_xll.VALEUROUTPUT($A$923,_xlfn.CONCAT("THEME14=",$C104),SCENARIOS!$A$2,SCENARIOS!$B$2,X$1)</f>
        <v>0</v>
      </c>
      <c r="Y104" cm="1">
        <f t="array" ref="Y104">_xll.VALEUROUTPUT($A$923,_xlfn.CONCAT("THEME14=",$C104),SCENARIOS!$A$2,SCENARIOS!$B$2,Y$1)</f>
        <v>0</v>
      </c>
      <c r="Z104" cm="1">
        <f t="array" ref="Z104">_xll.VALEUROUTPUT($A$923,_xlfn.CONCAT("THEME14=",$C104),SCENARIOS!$A$2,SCENARIOS!$B$2,Z$1)</f>
        <v>0</v>
      </c>
      <c r="AA104" cm="1">
        <f t="array" ref="AA104">_xll.VALEUROUTPUT($A$923,_xlfn.CONCAT("THEME14=",$C104),SCENARIOS!$A$2,SCENARIOS!$B$2,AA$1)</f>
        <v>0</v>
      </c>
      <c r="AB104" cm="1">
        <f t="array" ref="AB104">_xll.VALEUROUTPUT($A$923,_xlfn.CONCAT("THEME14=",$C104),SCENARIOS!$A$2,SCENARIOS!$B$2,AB$1)</f>
        <v>0</v>
      </c>
      <c r="AC104" cm="1">
        <f t="array" ref="AC104">_xll.VALEUROUTPUT($A$923,_xlfn.CONCAT("THEME14=",$C104),SCENARIOS!$A$2,SCENARIOS!$B$2,AC$1)</f>
        <v>0</v>
      </c>
      <c r="AD104" cm="1">
        <f t="array" ref="AD104">_xll.VALEUROUTPUT($A$923,_xlfn.CONCAT("THEME14=",$C104),SCENARIOS!$A$2,SCENARIOS!$B$2,AD$1)</f>
        <v>0</v>
      </c>
      <c r="AE104" cm="1">
        <f t="array" ref="AE104">_xll.VALEUROUTPUT($A$923,_xlfn.CONCAT("THEME14=",$C104),SCENARIOS!$A$2,SCENARIOS!$B$2,AE$1)</f>
        <v>0</v>
      </c>
      <c r="AF104" cm="1">
        <f t="array" ref="AF104">_xll.VALEUROUTPUT($A$923,_xlfn.CONCAT("THEME14=",$C104),SCENARIOS!$A$2,SCENARIOS!$B$2,AF$1)</f>
        <v>0</v>
      </c>
    </row>
    <row r="105" spans="1:32" x14ac:dyDescent="0.25">
      <c r="A105" t="str">
        <v>OVOLBOJADMACFP</v>
      </c>
      <c r="D105" cm="1">
        <f t="array" ref="D105">_xll.VALEUROUTPUT($A$923,_xlfn.CONCAT("THEME14=",$C105),SCENARIOS!$A$2,SCENARIOS!$B$2,D$1)</f>
        <v>0</v>
      </c>
      <c r="E105" cm="1">
        <f t="array" ref="E105">_xll.VALEUROUTPUT($A$923,_xlfn.CONCAT("THEME14=",$C105),SCENARIOS!$A$2,SCENARIOS!$B$2,E$1)</f>
        <v>0</v>
      </c>
      <c r="F105" cm="1">
        <f t="array" ref="F105">_xll.VALEUROUTPUT($A$923,_xlfn.CONCAT("THEME14=",$C105),SCENARIOS!$A$2,SCENARIOS!$B$2,F$1)</f>
        <v>0</v>
      </c>
      <c r="G105" cm="1">
        <f t="array" ref="G105">_xll.VALEUROUTPUT($A$923,_xlfn.CONCAT("THEME14=",$C105),SCENARIOS!$A$2,SCENARIOS!$B$2,G$1)</f>
        <v>0</v>
      </c>
      <c r="H105" cm="1">
        <f t="array" ref="H105">_xll.VALEUROUTPUT($A$923,_xlfn.CONCAT("THEME14=",$C105),SCENARIOS!$A$2,SCENARIOS!$B$2,H$1)</f>
        <v>0</v>
      </c>
      <c r="I105" cm="1">
        <f t="array" ref="I105">_xll.VALEUROUTPUT($A$923,_xlfn.CONCAT("THEME14=",$C105),SCENARIOS!$A$2,SCENARIOS!$B$2,I$1)</f>
        <v>0</v>
      </c>
      <c r="J105" cm="1">
        <f t="array" ref="J105">_xll.VALEUROUTPUT($A$923,_xlfn.CONCAT("THEME14=",$C105),SCENARIOS!$A$2,SCENARIOS!$B$2,J$1)</f>
        <v>0</v>
      </c>
      <c r="K105" cm="1">
        <f t="array" ref="K105">_xll.VALEUROUTPUT($A$923,_xlfn.CONCAT("THEME14=",$C105),SCENARIOS!$A$2,SCENARIOS!$B$2,K$1)</f>
        <v>0</v>
      </c>
      <c r="L105" cm="1">
        <f t="array" ref="L105">_xll.VALEUROUTPUT($A$923,_xlfn.CONCAT("THEME14=",$C105),SCENARIOS!$A$2,SCENARIOS!$B$2,L$1)</f>
        <v>0</v>
      </c>
      <c r="M105" cm="1">
        <f t="array" ref="M105">_xll.VALEUROUTPUT($A$923,_xlfn.CONCAT("THEME14=",$C105),SCENARIOS!$A$2,SCENARIOS!$B$2,M$1)</f>
        <v>0</v>
      </c>
      <c r="N105" cm="1">
        <f t="array" ref="N105">_xll.VALEUROUTPUT($A$923,_xlfn.CONCAT("THEME14=",$C105),SCENARIOS!$A$2,SCENARIOS!$B$2,N$1)</f>
        <v>0</v>
      </c>
      <c r="O105" cm="1">
        <f t="array" ref="O105">_xll.VALEUROUTPUT($A$923,_xlfn.CONCAT("THEME14=",$C105),SCENARIOS!$A$2,SCENARIOS!$B$2,O$1)</f>
        <v>0</v>
      </c>
      <c r="P105" cm="1">
        <f t="array" ref="P105">_xll.VALEUROUTPUT($A$923,_xlfn.CONCAT("THEME14=",$C105),SCENARIOS!$A$2,SCENARIOS!$B$2,P$1)</f>
        <v>0</v>
      </c>
      <c r="Q105" cm="1">
        <f t="array" ref="Q105">_xll.VALEUROUTPUT($A$923,_xlfn.CONCAT("THEME14=",$C105),SCENARIOS!$A$2,SCENARIOS!$B$2,Q$1)</f>
        <v>0</v>
      </c>
      <c r="R105" cm="1">
        <f t="array" ref="R105">_xll.VALEUROUTPUT($A$923,_xlfn.CONCAT("THEME14=",$C105),SCENARIOS!$A$2,SCENARIOS!$B$2,R$1)</f>
        <v>0</v>
      </c>
      <c r="S105" cm="1">
        <f t="array" ref="S105">_xll.VALEUROUTPUT($A$923,_xlfn.CONCAT("THEME14=",$C105),SCENARIOS!$A$2,SCENARIOS!$B$2,S$1)</f>
        <v>0</v>
      </c>
      <c r="T105" cm="1">
        <f t="array" ref="T105">_xll.VALEUROUTPUT($A$923,_xlfn.CONCAT("THEME14=",$C105),SCENARIOS!$A$2,SCENARIOS!$B$2,T$1)</f>
        <v>0</v>
      </c>
      <c r="U105" cm="1">
        <f t="array" ref="U105">_xll.VALEUROUTPUT($A$923,_xlfn.CONCAT("THEME14=",$C105),SCENARIOS!$A$2,SCENARIOS!$B$2,U$1)</f>
        <v>0</v>
      </c>
      <c r="V105" cm="1">
        <f t="array" ref="V105">_xll.VALEUROUTPUT($A$923,_xlfn.CONCAT("THEME14=",$C105),SCENARIOS!$A$2,SCENARIOS!$B$2,V$1)</f>
        <v>0</v>
      </c>
      <c r="W105" cm="1">
        <f t="array" ref="W105">_xll.VALEUROUTPUT($A$923,_xlfn.CONCAT("THEME14=",$C105),SCENARIOS!$A$2,SCENARIOS!$B$2,W$1)</f>
        <v>0</v>
      </c>
      <c r="X105" cm="1">
        <f t="array" ref="X105">_xll.VALEUROUTPUT($A$923,_xlfn.CONCAT("THEME14=",$C105),SCENARIOS!$A$2,SCENARIOS!$B$2,X$1)</f>
        <v>0</v>
      </c>
      <c r="Y105" cm="1">
        <f t="array" ref="Y105">_xll.VALEUROUTPUT($A$923,_xlfn.CONCAT("THEME14=",$C105),SCENARIOS!$A$2,SCENARIOS!$B$2,Y$1)</f>
        <v>0</v>
      </c>
      <c r="Z105" cm="1">
        <f t="array" ref="Z105">_xll.VALEUROUTPUT($A$923,_xlfn.CONCAT("THEME14=",$C105),SCENARIOS!$A$2,SCENARIOS!$B$2,Z$1)</f>
        <v>0</v>
      </c>
      <c r="AA105" cm="1">
        <f t="array" ref="AA105">_xll.VALEUROUTPUT($A$923,_xlfn.CONCAT("THEME14=",$C105),SCENARIOS!$A$2,SCENARIOS!$B$2,AA$1)</f>
        <v>0</v>
      </c>
      <c r="AB105" cm="1">
        <f t="array" ref="AB105">_xll.VALEUROUTPUT($A$923,_xlfn.CONCAT("THEME14=",$C105),SCENARIOS!$A$2,SCENARIOS!$B$2,AB$1)</f>
        <v>0</v>
      </c>
      <c r="AC105" cm="1">
        <f t="array" ref="AC105">_xll.VALEUROUTPUT($A$923,_xlfn.CONCAT("THEME14=",$C105),SCENARIOS!$A$2,SCENARIOS!$B$2,AC$1)</f>
        <v>0</v>
      </c>
      <c r="AD105" cm="1">
        <f t="array" ref="AD105">_xll.VALEUROUTPUT($A$923,_xlfn.CONCAT("THEME14=",$C105),SCENARIOS!$A$2,SCENARIOS!$B$2,AD$1)</f>
        <v>0</v>
      </c>
      <c r="AE105" cm="1">
        <f t="array" ref="AE105">_xll.VALEUROUTPUT($A$923,_xlfn.CONCAT("THEME14=",$C105),SCENARIOS!$A$2,SCENARIOS!$B$2,AE$1)</f>
        <v>0</v>
      </c>
      <c r="AF105" cm="1">
        <f t="array" ref="AF105">_xll.VALEUROUTPUT($A$923,_xlfn.CONCAT("THEME14=",$C105),SCENARIOS!$A$2,SCENARIOS!$B$2,AF$1)</f>
        <v>0</v>
      </c>
    </row>
    <row r="106" spans="1:32" x14ac:dyDescent="0.25">
      <c r="A106" t="str">
        <v>OVOLBOJADMACPPTM</v>
      </c>
      <c r="D106" cm="1">
        <f t="array" ref="D106">_xll.VALEUROUTPUT($A$923,_xlfn.CONCAT("THEME14=",$C106),SCENARIOS!$A$2,SCENARIOS!$B$2,D$1)</f>
        <v>0</v>
      </c>
      <c r="E106" cm="1">
        <f t="array" ref="E106">_xll.VALEUROUTPUT($A$923,_xlfn.CONCAT("THEME14=",$C106),SCENARIOS!$A$2,SCENARIOS!$B$2,E$1)</f>
        <v>0</v>
      </c>
      <c r="F106" cm="1">
        <f t="array" ref="F106">_xll.VALEUROUTPUT($A$923,_xlfn.CONCAT("THEME14=",$C106),SCENARIOS!$A$2,SCENARIOS!$B$2,F$1)</f>
        <v>0</v>
      </c>
      <c r="G106" cm="1">
        <f t="array" ref="G106">_xll.VALEUROUTPUT($A$923,_xlfn.CONCAT("THEME14=",$C106),SCENARIOS!$A$2,SCENARIOS!$B$2,G$1)</f>
        <v>0</v>
      </c>
      <c r="H106" cm="1">
        <f t="array" ref="H106">_xll.VALEUROUTPUT($A$923,_xlfn.CONCAT("THEME14=",$C106),SCENARIOS!$A$2,SCENARIOS!$B$2,H$1)</f>
        <v>0</v>
      </c>
      <c r="I106" cm="1">
        <f t="array" ref="I106">_xll.VALEUROUTPUT($A$923,_xlfn.CONCAT("THEME14=",$C106),SCENARIOS!$A$2,SCENARIOS!$B$2,I$1)</f>
        <v>0</v>
      </c>
      <c r="J106" cm="1">
        <f t="array" ref="J106">_xll.VALEUROUTPUT($A$923,_xlfn.CONCAT("THEME14=",$C106),SCENARIOS!$A$2,SCENARIOS!$B$2,J$1)</f>
        <v>0</v>
      </c>
      <c r="K106" cm="1">
        <f t="array" ref="K106">_xll.VALEUROUTPUT($A$923,_xlfn.CONCAT("THEME14=",$C106),SCENARIOS!$A$2,SCENARIOS!$B$2,K$1)</f>
        <v>0</v>
      </c>
      <c r="L106" cm="1">
        <f t="array" ref="L106">_xll.VALEUROUTPUT($A$923,_xlfn.CONCAT("THEME14=",$C106),SCENARIOS!$A$2,SCENARIOS!$B$2,L$1)</f>
        <v>0</v>
      </c>
      <c r="M106" cm="1">
        <f t="array" ref="M106">_xll.VALEUROUTPUT($A$923,_xlfn.CONCAT("THEME14=",$C106),SCENARIOS!$A$2,SCENARIOS!$B$2,M$1)</f>
        <v>0</v>
      </c>
      <c r="N106" cm="1">
        <f t="array" ref="N106">_xll.VALEUROUTPUT($A$923,_xlfn.CONCAT("THEME14=",$C106),SCENARIOS!$A$2,SCENARIOS!$B$2,N$1)</f>
        <v>0</v>
      </c>
      <c r="O106" cm="1">
        <f t="array" ref="O106">_xll.VALEUROUTPUT($A$923,_xlfn.CONCAT("THEME14=",$C106),SCENARIOS!$A$2,SCENARIOS!$B$2,O$1)</f>
        <v>0</v>
      </c>
      <c r="P106" cm="1">
        <f t="array" ref="P106">_xll.VALEUROUTPUT($A$923,_xlfn.CONCAT("THEME14=",$C106),SCENARIOS!$A$2,SCENARIOS!$B$2,P$1)</f>
        <v>0</v>
      </c>
      <c r="Q106" cm="1">
        <f t="array" ref="Q106">_xll.VALEUROUTPUT($A$923,_xlfn.CONCAT("THEME14=",$C106),SCENARIOS!$A$2,SCENARIOS!$B$2,Q$1)</f>
        <v>0</v>
      </c>
      <c r="R106" cm="1">
        <f t="array" ref="R106">_xll.VALEUROUTPUT($A$923,_xlfn.CONCAT("THEME14=",$C106),SCENARIOS!$A$2,SCENARIOS!$B$2,R$1)</f>
        <v>0</v>
      </c>
      <c r="S106" cm="1">
        <f t="array" ref="S106">_xll.VALEUROUTPUT($A$923,_xlfn.CONCAT("THEME14=",$C106),SCENARIOS!$A$2,SCENARIOS!$B$2,S$1)</f>
        <v>0</v>
      </c>
      <c r="T106" cm="1">
        <f t="array" ref="T106">_xll.VALEUROUTPUT($A$923,_xlfn.CONCAT("THEME14=",$C106),SCENARIOS!$A$2,SCENARIOS!$B$2,T$1)</f>
        <v>0</v>
      </c>
      <c r="U106" cm="1">
        <f t="array" ref="U106">_xll.VALEUROUTPUT($A$923,_xlfn.CONCAT("THEME14=",$C106),SCENARIOS!$A$2,SCENARIOS!$B$2,U$1)</f>
        <v>0</v>
      </c>
      <c r="V106" cm="1">
        <f t="array" ref="V106">_xll.VALEUROUTPUT($A$923,_xlfn.CONCAT("THEME14=",$C106),SCENARIOS!$A$2,SCENARIOS!$B$2,V$1)</f>
        <v>0</v>
      </c>
      <c r="W106" cm="1">
        <f t="array" ref="W106">_xll.VALEUROUTPUT($A$923,_xlfn.CONCAT("THEME14=",$C106),SCENARIOS!$A$2,SCENARIOS!$B$2,W$1)</f>
        <v>0</v>
      </c>
      <c r="X106" cm="1">
        <f t="array" ref="X106">_xll.VALEUROUTPUT($A$923,_xlfn.CONCAT("THEME14=",$C106),SCENARIOS!$A$2,SCENARIOS!$B$2,X$1)</f>
        <v>0</v>
      </c>
      <c r="Y106" cm="1">
        <f t="array" ref="Y106">_xll.VALEUROUTPUT($A$923,_xlfn.CONCAT("THEME14=",$C106),SCENARIOS!$A$2,SCENARIOS!$B$2,Y$1)</f>
        <v>0</v>
      </c>
      <c r="Z106" cm="1">
        <f t="array" ref="Z106">_xll.VALEUROUTPUT($A$923,_xlfn.CONCAT("THEME14=",$C106),SCENARIOS!$A$2,SCENARIOS!$B$2,Z$1)</f>
        <v>0</v>
      </c>
      <c r="AA106" cm="1">
        <f t="array" ref="AA106">_xll.VALEUROUTPUT($A$923,_xlfn.CONCAT("THEME14=",$C106),SCENARIOS!$A$2,SCENARIOS!$B$2,AA$1)</f>
        <v>0</v>
      </c>
      <c r="AB106" cm="1">
        <f t="array" ref="AB106">_xll.VALEUROUTPUT($A$923,_xlfn.CONCAT("THEME14=",$C106),SCENARIOS!$A$2,SCENARIOS!$B$2,AB$1)</f>
        <v>0</v>
      </c>
      <c r="AC106" cm="1">
        <f t="array" ref="AC106">_xll.VALEUROUTPUT($A$923,_xlfn.CONCAT("THEME14=",$C106),SCENARIOS!$A$2,SCENARIOS!$B$2,AC$1)</f>
        <v>0</v>
      </c>
      <c r="AD106" cm="1">
        <f t="array" ref="AD106">_xll.VALEUROUTPUT($A$923,_xlfn.CONCAT("THEME14=",$C106),SCENARIOS!$A$2,SCENARIOS!$B$2,AD$1)</f>
        <v>0</v>
      </c>
      <c r="AE106" cm="1">
        <f t="array" ref="AE106">_xll.VALEUROUTPUT($A$923,_xlfn.CONCAT("THEME14=",$C106),SCENARIOS!$A$2,SCENARIOS!$B$2,AE$1)</f>
        <v>0</v>
      </c>
      <c r="AF106" cm="1">
        <f t="array" ref="AF106">_xll.VALEUROUTPUT($A$923,_xlfn.CONCAT("THEME14=",$C106),SCENARIOS!$A$2,SCENARIOS!$B$2,AF$1)</f>
        <v>0</v>
      </c>
    </row>
    <row r="107" spans="1:32" x14ac:dyDescent="0.25">
      <c r="A107" t="str">
        <v>OVOLBOJADMACT</v>
      </c>
      <c r="D107" cm="1">
        <f t="array" ref="D107">_xll.VALEUROUTPUT($A$923,_xlfn.CONCAT("THEME14=",$C107),SCENARIOS!$A$2,SCENARIOS!$B$2,D$1)</f>
        <v>0</v>
      </c>
      <c r="E107" cm="1">
        <f t="array" ref="E107">_xll.VALEUROUTPUT($A$923,_xlfn.CONCAT("THEME14=",$C107),SCENARIOS!$A$2,SCENARIOS!$B$2,E$1)</f>
        <v>0</v>
      </c>
      <c r="F107" cm="1">
        <f t="array" ref="F107">_xll.VALEUROUTPUT($A$923,_xlfn.CONCAT("THEME14=",$C107),SCENARIOS!$A$2,SCENARIOS!$B$2,F$1)</f>
        <v>0</v>
      </c>
      <c r="G107" cm="1">
        <f t="array" ref="G107">_xll.VALEUROUTPUT($A$923,_xlfn.CONCAT("THEME14=",$C107),SCENARIOS!$A$2,SCENARIOS!$B$2,G$1)</f>
        <v>0</v>
      </c>
      <c r="H107" cm="1">
        <f t="array" ref="H107">_xll.VALEUROUTPUT($A$923,_xlfn.CONCAT("THEME14=",$C107),SCENARIOS!$A$2,SCENARIOS!$B$2,H$1)</f>
        <v>0</v>
      </c>
      <c r="I107" cm="1">
        <f t="array" ref="I107">_xll.VALEUROUTPUT($A$923,_xlfn.CONCAT("THEME14=",$C107),SCENARIOS!$A$2,SCENARIOS!$B$2,I$1)</f>
        <v>0</v>
      </c>
      <c r="J107" cm="1">
        <f t="array" ref="J107">_xll.VALEUROUTPUT($A$923,_xlfn.CONCAT("THEME14=",$C107),SCENARIOS!$A$2,SCENARIOS!$B$2,J$1)</f>
        <v>0</v>
      </c>
      <c r="K107" cm="1">
        <f t="array" ref="K107">_xll.VALEUROUTPUT($A$923,_xlfn.CONCAT("THEME14=",$C107),SCENARIOS!$A$2,SCENARIOS!$B$2,K$1)</f>
        <v>0</v>
      </c>
      <c r="L107" cm="1">
        <f t="array" ref="L107">_xll.VALEUROUTPUT($A$923,_xlfn.CONCAT("THEME14=",$C107),SCENARIOS!$A$2,SCENARIOS!$B$2,L$1)</f>
        <v>0</v>
      </c>
      <c r="M107" cm="1">
        <f t="array" ref="M107">_xll.VALEUROUTPUT($A$923,_xlfn.CONCAT("THEME14=",$C107),SCENARIOS!$A$2,SCENARIOS!$B$2,M$1)</f>
        <v>0</v>
      </c>
      <c r="N107" cm="1">
        <f t="array" ref="N107">_xll.VALEUROUTPUT($A$923,_xlfn.CONCAT("THEME14=",$C107),SCENARIOS!$A$2,SCENARIOS!$B$2,N$1)</f>
        <v>0</v>
      </c>
      <c r="O107" cm="1">
        <f t="array" ref="O107">_xll.VALEUROUTPUT($A$923,_xlfn.CONCAT("THEME14=",$C107),SCENARIOS!$A$2,SCENARIOS!$B$2,O$1)</f>
        <v>0</v>
      </c>
      <c r="P107" cm="1">
        <f t="array" ref="P107">_xll.VALEUROUTPUT($A$923,_xlfn.CONCAT("THEME14=",$C107),SCENARIOS!$A$2,SCENARIOS!$B$2,P$1)</f>
        <v>0</v>
      </c>
      <c r="Q107" cm="1">
        <f t="array" ref="Q107">_xll.VALEUROUTPUT($A$923,_xlfn.CONCAT("THEME14=",$C107),SCENARIOS!$A$2,SCENARIOS!$B$2,Q$1)</f>
        <v>0</v>
      </c>
      <c r="R107" cm="1">
        <f t="array" ref="R107">_xll.VALEUROUTPUT($A$923,_xlfn.CONCAT("THEME14=",$C107),SCENARIOS!$A$2,SCENARIOS!$B$2,R$1)</f>
        <v>0</v>
      </c>
      <c r="S107" cm="1">
        <f t="array" ref="S107">_xll.VALEUROUTPUT($A$923,_xlfn.CONCAT("THEME14=",$C107),SCENARIOS!$A$2,SCENARIOS!$B$2,S$1)</f>
        <v>0</v>
      </c>
      <c r="T107" cm="1">
        <f t="array" ref="T107">_xll.VALEUROUTPUT($A$923,_xlfn.CONCAT("THEME14=",$C107),SCENARIOS!$A$2,SCENARIOS!$B$2,T$1)</f>
        <v>0</v>
      </c>
      <c r="U107" cm="1">
        <f t="array" ref="U107">_xll.VALEUROUTPUT($A$923,_xlfn.CONCAT("THEME14=",$C107),SCENARIOS!$A$2,SCENARIOS!$B$2,U$1)</f>
        <v>0</v>
      </c>
      <c r="V107" cm="1">
        <f t="array" ref="V107">_xll.VALEUROUTPUT($A$923,_xlfn.CONCAT("THEME14=",$C107),SCENARIOS!$A$2,SCENARIOS!$B$2,V$1)</f>
        <v>0</v>
      </c>
      <c r="W107" cm="1">
        <f t="array" ref="W107">_xll.VALEUROUTPUT($A$923,_xlfn.CONCAT("THEME14=",$C107),SCENARIOS!$A$2,SCENARIOS!$B$2,W$1)</f>
        <v>0</v>
      </c>
      <c r="X107" cm="1">
        <f t="array" ref="X107">_xll.VALEUROUTPUT($A$923,_xlfn.CONCAT("THEME14=",$C107),SCENARIOS!$A$2,SCENARIOS!$B$2,X$1)</f>
        <v>0</v>
      </c>
      <c r="Y107" cm="1">
        <f t="array" ref="Y107">_xll.VALEUROUTPUT($A$923,_xlfn.CONCAT("THEME14=",$C107),SCENARIOS!$A$2,SCENARIOS!$B$2,Y$1)</f>
        <v>0</v>
      </c>
      <c r="Z107" cm="1">
        <f t="array" ref="Z107">_xll.VALEUROUTPUT($A$923,_xlfn.CONCAT("THEME14=",$C107),SCENARIOS!$A$2,SCENARIOS!$B$2,Z$1)</f>
        <v>0</v>
      </c>
      <c r="AA107" cm="1">
        <f t="array" ref="AA107">_xll.VALEUROUTPUT($A$923,_xlfn.CONCAT("THEME14=",$C107),SCENARIOS!$A$2,SCENARIOS!$B$2,AA$1)</f>
        <v>0</v>
      </c>
      <c r="AB107" cm="1">
        <f t="array" ref="AB107">_xll.VALEUROUTPUT($A$923,_xlfn.CONCAT("THEME14=",$C107),SCENARIOS!$A$2,SCENARIOS!$B$2,AB$1)</f>
        <v>0</v>
      </c>
      <c r="AC107" cm="1">
        <f t="array" ref="AC107">_xll.VALEUROUTPUT($A$923,_xlfn.CONCAT("THEME14=",$C107),SCENARIOS!$A$2,SCENARIOS!$B$2,AC$1)</f>
        <v>0</v>
      </c>
      <c r="AD107" cm="1">
        <f t="array" ref="AD107">_xll.VALEUROUTPUT($A$923,_xlfn.CONCAT("THEME14=",$C107),SCENARIOS!$A$2,SCENARIOS!$B$2,AD$1)</f>
        <v>0</v>
      </c>
      <c r="AE107" cm="1">
        <f t="array" ref="AE107">_xll.VALEUROUTPUT($A$923,_xlfn.CONCAT("THEME14=",$C107),SCENARIOS!$A$2,SCENARIOS!$B$2,AE$1)</f>
        <v>0</v>
      </c>
      <c r="AF107" cm="1">
        <f t="array" ref="AF107">_xll.VALEUROUTPUT($A$923,_xlfn.CONCAT("THEME14=",$C107),SCENARIOS!$A$2,SCENARIOS!$B$2,AF$1)</f>
        <v>0</v>
      </c>
    </row>
    <row r="108" spans="1:32" x14ac:dyDescent="0.25">
      <c r="A108" t="str">
        <v>OVOLBOJADMREGAPRE</v>
      </c>
      <c r="D108" cm="1">
        <f t="array" ref="D108">_xll.VALEUROUTPUT($A$923,_xlfn.CONCAT("THEME14=",$C108),SCENARIOS!$A$2,SCENARIOS!$B$2,D$1)</f>
        <v>0</v>
      </c>
      <c r="E108" cm="1">
        <f t="array" ref="E108">_xll.VALEUROUTPUT($A$923,_xlfn.CONCAT("THEME14=",$C108),SCENARIOS!$A$2,SCENARIOS!$B$2,E$1)</f>
        <v>0</v>
      </c>
      <c r="F108" cm="1">
        <f t="array" ref="F108">_xll.VALEUROUTPUT($A$923,_xlfn.CONCAT("THEME14=",$C108),SCENARIOS!$A$2,SCENARIOS!$B$2,F$1)</f>
        <v>0</v>
      </c>
      <c r="G108" cm="1">
        <f t="array" ref="G108">_xll.VALEUROUTPUT($A$923,_xlfn.CONCAT("THEME14=",$C108),SCENARIOS!$A$2,SCENARIOS!$B$2,G$1)</f>
        <v>0</v>
      </c>
      <c r="H108" cm="1">
        <f t="array" ref="H108">_xll.VALEUROUTPUT($A$923,_xlfn.CONCAT("THEME14=",$C108),SCENARIOS!$A$2,SCENARIOS!$B$2,H$1)</f>
        <v>0</v>
      </c>
      <c r="I108" cm="1">
        <f t="array" ref="I108">_xll.VALEUROUTPUT($A$923,_xlfn.CONCAT("THEME14=",$C108),SCENARIOS!$A$2,SCENARIOS!$B$2,I$1)</f>
        <v>0</v>
      </c>
      <c r="J108" cm="1">
        <f t="array" ref="J108">_xll.VALEUROUTPUT($A$923,_xlfn.CONCAT("THEME14=",$C108),SCENARIOS!$A$2,SCENARIOS!$B$2,J$1)</f>
        <v>0</v>
      </c>
      <c r="K108" cm="1">
        <f t="array" ref="K108">_xll.VALEUROUTPUT($A$923,_xlfn.CONCAT("THEME14=",$C108),SCENARIOS!$A$2,SCENARIOS!$B$2,K$1)</f>
        <v>0</v>
      </c>
      <c r="L108" cm="1">
        <f t="array" ref="L108">_xll.VALEUROUTPUT($A$923,_xlfn.CONCAT("THEME14=",$C108),SCENARIOS!$A$2,SCENARIOS!$B$2,L$1)</f>
        <v>0</v>
      </c>
      <c r="M108" cm="1">
        <f t="array" ref="M108">_xll.VALEUROUTPUT($A$923,_xlfn.CONCAT("THEME14=",$C108),SCENARIOS!$A$2,SCENARIOS!$B$2,M$1)</f>
        <v>0</v>
      </c>
      <c r="N108" cm="1">
        <f t="array" ref="N108">_xll.VALEUROUTPUT($A$923,_xlfn.CONCAT("THEME14=",$C108),SCENARIOS!$A$2,SCENARIOS!$B$2,N$1)</f>
        <v>0</v>
      </c>
      <c r="O108" cm="1">
        <f t="array" ref="O108">_xll.VALEUROUTPUT($A$923,_xlfn.CONCAT("THEME14=",$C108),SCENARIOS!$A$2,SCENARIOS!$B$2,O$1)</f>
        <v>0</v>
      </c>
      <c r="P108" cm="1">
        <f t="array" ref="P108">_xll.VALEUROUTPUT($A$923,_xlfn.CONCAT("THEME14=",$C108),SCENARIOS!$A$2,SCENARIOS!$B$2,P$1)</f>
        <v>0</v>
      </c>
      <c r="Q108" cm="1">
        <f t="array" ref="Q108">_xll.VALEUROUTPUT($A$923,_xlfn.CONCAT("THEME14=",$C108),SCENARIOS!$A$2,SCENARIOS!$B$2,Q$1)</f>
        <v>0</v>
      </c>
      <c r="R108" cm="1">
        <f t="array" ref="R108">_xll.VALEUROUTPUT($A$923,_xlfn.CONCAT("THEME14=",$C108),SCENARIOS!$A$2,SCENARIOS!$B$2,R$1)</f>
        <v>0</v>
      </c>
      <c r="S108" cm="1">
        <f t="array" ref="S108">_xll.VALEUROUTPUT($A$923,_xlfn.CONCAT("THEME14=",$C108),SCENARIOS!$A$2,SCENARIOS!$B$2,S$1)</f>
        <v>0</v>
      </c>
      <c r="T108" cm="1">
        <f t="array" ref="T108">_xll.VALEUROUTPUT($A$923,_xlfn.CONCAT("THEME14=",$C108),SCENARIOS!$A$2,SCENARIOS!$B$2,T$1)</f>
        <v>0</v>
      </c>
      <c r="U108" cm="1">
        <f t="array" ref="U108">_xll.VALEUROUTPUT($A$923,_xlfn.CONCAT("THEME14=",$C108),SCENARIOS!$A$2,SCENARIOS!$B$2,U$1)</f>
        <v>0</v>
      </c>
      <c r="V108" cm="1">
        <f t="array" ref="V108">_xll.VALEUROUTPUT($A$923,_xlfn.CONCAT("THEME14=",$C108),SCENARIOS!$A$2,SCENARIOS!$B$2,V$1)</f>
        <v>0</v>
      </c>
      <c r="W108" cm="1">
        <f t="array" ref="W108">_xll.VALEUROUTPUT($A$923,_xlfn.CONCAT("THEME14=",$C108),SCENARIOS!$A$2,SCENARIOS!$B$2,W$1)</f>
        <v>0</v>
      </c>
      <c r="X108" cm="1">
        <f t="array" ref="X108">_xll.VALEUROUTPUT($A$923,_xlfn.CONCAT("THEME14=",$C108),SCENARIOS!$A$2,SCENARIOS!$B$2,X$1)</f>
        <v>0</v>
      </c>
      <c r="Y108" cm="1">
        <f t="array" ref="Y108">_xll.VALEUROUTPUT($A$923,_xlfn.CONCAT("THEME14=",$C108),SCENARIOS!$A$2,SCENARIOS!$B$2,Y$1)</f>
        <v>0</v>
      </c>
      <c r="Z108" cm="1">
        <f t="array" ref="Z108">_xll.VALEUROUTPUT($A$923,_xlfn.CONCAT("THEME14=",$C108),SCENARIOS!$A$2,SCENARIOS!$B$2,Z$1)</f>
        <v>0</v>
      </c>
      <c r="AA108" cm="1">
        <f t="array" ref="AA108">_xll.VALEUROUTPUT($A$923,_xlfn.CONCAT("THEME14=",$C108),SCENARIOS!$A$2,SCENARIOS!$B$2,AA$1)</f>
        <v>0</v>
      </c>
      <c r="AB108" cm="1">
        <f t="array" ref="AB108">_xll.VALEUROUTPUT($A$923,_xlfn.CONCAT("THEME14=",$C108),SCENARIOS!$A$2,SCENARIOS!$B$2,AB$1)</f>
        <v>0</v>
      </c>
      <c r="AC108" cm="1">
        <f t="array" ref="AC108">_xll.VALEUROUTPUT($A$923,_xlfn.CONCAT("THEME14=",$C108),SCENARIOS!$A$2,SCENARIOS!$B$2,AC$1)</f>
        <v>0</v>
      </c>
      <c r="AD108" cm="1">
        <f t="array" ref="AD108">_xll.VALEUROUTPUT($A$923,_xlfn.CONCAT("THEME14=",$C108),SCENARIOS!$A$2,SCENARIOS!$B$2,AD$1)</f>
        <v>0</v>
      </c>
      <c r="AE108" cm="1">
        <f t="array" ref="AE108">_xll.VALEUROUTPUT($A$923,_xlfn.CONCAT("THEME14=",$C108),SCENARIOS!$A$2,SCENARIOS!$B$2,AE$1)</f>
        <v>0</v>
      </c>
      <c r="AF108" cm="1">
        <f t="array" ref="AF108">_xll.VALEUROUTPUT($A$923,_xlfn.CONCAT("THEME14=",$C108),SCENARIOS!$A$2,SCENARIOS!$B$2,AF$1)</f>
        <v>0</v>
      </c>
    </row>
    <row r="109" spans="1:32" x14ac:dyDescent="0.25">
      <c r="A109" t="str">
        <v>OVOLERSADMAEC</v>
      </c>
      <c r="D109" cm="1">
        <f t="array" ref="D109">_xll.VALEUROUTPUT($A$923,_xlfn.CONCAT("THEME14=",$C109),SCENARIOS!$A$2,SCENARIOS!$B$2,D$1)</f>
        <v>0</v>
      </c>
      <c r="E109" cm="1">
        <f t="array" ref="E109">_xll.VALEUROUTPUT($A$923,_xlfn.CONCAT("THEME14=",$C109),SCENARIOS!$A$2,SCENARIOS!$B$2,E$1)</f>
        <v>0</v>
      </c>
      <c r="F109" cm="1">
        <f t="array" ref="F109">_xll.VALEUROUTPUT($A$923,_xlfn.CONCAT("THEME14=",$C109),SCENARIOS!$A$2,SCENARIOS!$B$2,F$1)</f>
        <v>0</v>
      </c>
      <c r="G109" cm="1">
        <f t="array" ref="G109">_xll.VALEUROUTPUT($A$923,_xlfn.CONCAT("THEME14=",$C109),SCENARIOS!$A$2,SCENARIOS!$B$2,G$1)</f>
        <v>0</v>
      </c>
      <c r="H109" cm="1">
        <f t="array" ref="H109">_xll.VALEUROUTPUT($A$923,_xlfn.CONCAT("THEME14=",$C109),SCENARIOS!$A$2,SCENARIOS!$B$2,H$1)</f>
        <v>0</v>
      </c>
      <c r="I109" cm="1">
        <f t="array" ref="I109">_xll.VALEUROUTPUT($A$923,_xlfn.CONCAT("THEME14=",$C109),SCENARIOS!$A$2,SCENARIOS!$B$2,I$1)</f>
        <v>0</v>
      </c>
      <c r="J109" cm="1">
        <f t="array" ref="J109">_xll.VALEUROUTPUT($A$923,_xlfn.CONCAT("THEME14=",$C109),SCENARIOS!$A$2,SCENARIOS!$B$2,J$1)</f>
        <v>0</v>
      </c>
      <c r="K109" cm="1">
        <f t="array" ref="K109">_xll.VALEUROUTPUT($A$923,_xlfn.CONCAT("THEME14=",$C109),SCENARIOS!$A$2,SCENARIOS!$B$2,K$1)</f>
        <v>0</v>
      </c>
      <c r="L109" cm="1">
        <f t="array" ref="L109">_xll.VALEUROUTPUT($A$923,_xlfn.CONCAT("THEME14=",$C109),SCENARIOS!$A$2,SCENARIOS!$B$2,L$1)</f>
        <v>0</v>
      </c>
      <c r="M109" cm="1">
        <f t="array" ref="M109">_xll.VALEUROUTPUT($A$923,_xlfn.CONCAT("THEME14=",$C109),SCENARIOS!$A$2,SCENARIOS!$B$2,M$1)</f>
        <v>0</v>
      </c>
      <c r="N109" cm="1">
        <f t="array" ref="N109">_xll.VALEUROUTPUT($A$923,_xlfn.CONCAT("THEME14=",$C109),SCENARIOS!$A$2,SCENARIOS!$B$2,N$1)</f>
        <v>0</v>
      </c>
      <c r="O109" cm="1">
        <f t="array" ref="O109">_xll.VALEUROUTPUT($A$923,_xlfn.CONCAT("THEME14=",$C109),SCENARIOS!$A$2,SCENARIOS!$B$2,O$1)</f>
        <v>0</v>
      </c>
      <c r="P109" cm="1">
        <f t="array" ref="P109">_xll.VALEUROUTPUT($A$923,_xlfn.CONCAT("THEME14=",$C109),SCENARIOS!$A$2,SCENARIOS!$B$2,P$1)</f>
        <v>0</v>
      </c>
      <c r="Q109" cm="1">
        <f t="array" ref="Q109">_xll.VALEUROUTPUT($A$923,_xlfn.CONCAT("THEME14=",$C109),SCENARIOS!$A$2,SCENARIOS!$B$2,Q$1)</f>
        <v>0</v>
      </c>
      <c r="R109" cm="1">
        <f t="array" ref="R109">_xll.VALEUROUTPUT($A$923,_xlfn.CONCAT("THEME14=",$C109),SCENARIOS!$A$2,SCENARIOS!$B$2,R$1)</f>
        <v>0</v>
      </c>
      <c r="S109" cm="1">
        <f t="array" ref="S109">_xll.VALEUROUTPUT($A$923,_xlfn.CONCAT("THEME14=",$C109),SCENARIOS!$A$2,SCENARIOS!$B$2,S$1)</f>
        <v>0</v>
      </c>
      <c r="T109" cm="1">
        <f t="array" ref="T109">_xll.VALEUROUTPUT($A$923,_xlfn.CONCAT("THEME14=",$C109),SCENARIOS!$A$2,SCENARIOS!$B$2,T$1)</f>
        <v>0</v>
      </c>
      <c r="U109" cm="1">
        <f t="array" ref="U109">_xll.VALEUROUTPUT($A$923,_xlfn.CONCAT("THEME14=",$C109),SCENARIOS!$A$2,SCENARIOS!$B$2,U$1)</f>
        <v>0</v>
      </c>
      <c r="V109" cm="1">
        <f t="array" ref="V109">_xll.VALEUROUTPUT($A$923,_xlfn.CONCAT("THEME14=",$C109),SCENARIOS!$A$2,SCENARIOS!$B$2,V$1)</f>
        <v>0</v>
      </c>
      <c r="W109" cm="1">
        <f t="array" ref="W109">_xll.VALEUROUTPUT($A$923,_xlfn.CONCAT("THEME14=",$C109),SCENARIOS!$A$2,SCENARIOS!$B$2,W$1)</f>
        <v>0</v>
      </c>
      <c r="X109" cm="1">
        <f t="array" ref="X109">_xll.VALEUROUTPUT($A$923,_xlfn.CONCAT("THEME14=",$C109),SCENARIOS!$A$2,SCENARIOS!$B$2,X$1)</f>
        <v>0</v>
      </c>
      <c r="Y109" cm="1">
        <f t="array" ref="Y109">_xll.VALEUROUTPUT($A$923,_xlfn.CONCAT("THEME14=",$C109),SCENARIOS!$A$2,SCENARIOS!$B$2,Y$1)</f>
        <v>0</v>
      </c>
      <c r="Z109" cm="1">
        <f t="array" ref="Z109">_xll.VALEUROUTPUT($A$923,_xlfn.CONCAT("THEME14=",$C109),SCENARIOS!$A$2,SCENARIOS!$B$2,Z$1)</f>
        <v>0</v>
      </c>
      <c r="AA109" cm="1">
        <f t="array" ref="AA109">_xll.VALEUROUTPUT($A$923,_xlfn.CONCAT("THEME14=",$C109),SCENARIOS!$A$2,SCENARIOS!$B$2,AA$1)</f>
        <v>0</v>
      </c>
      <c r="AB109" cm="1">
        <f t="array" ref="AB109">_xll.VALEUROUTPUT($A$923,_xlfn.CONCAT("THEME14=",$C109),SCENARIOS!$A$2,SCENARIOS!$B$2,AB$1)</f>
        <v>0</v>
      </c>
      <c r="AC109" cm="1">
        <f t="array" ref="AC109">_xll.VALEUROUTPUT($A$923,_xlfn.CONCAT("THEME14=",$C109),SCENARIOS!$A$2,SCENARIOS!$B$2,AC$1)</f>
        <v>0</v>
      </c>
      <c r="AD109" cm="1">
        <f t="array" ref="AD109">_xll.VALEUROUTPUT($A$923,_xlfn.CONCAT("THEME14=",$C109),SCENARIOS!$A$2,SCENARIOS!$B$2,AD$1)</f>
        <v>0</v>
      </c>
      <c r="AE109" cm="1">
        <f t="array" ref="AE109">_xll.VALEUROUTPUT($A$923,_xlfn.CONCAT("THEME14=",$C109),SCENARIOS!$A$2,SCENARIOS!$B$2,AE$1)</f>
        <v>0</v>
      </c>
      <c r="AF109" cm="1">
        <f t="array" ref="AF109">_xll.VALEUROUTPUT($A$923,_xlfn.CONCAT("THEME14=",$C109),SCENARIOS!$A$2,SCENARIOS!$B$2,AF$1)</f>
        <v>0</v>
      </c>
    </row>
    <row r="110" spans="1:32" x14ac:dyDescent="0.25">
      <c r="A110" t="str">
        <v>OVOLERSADMAEC2</v>
      </c>
    </row>
    <row r="111" spans="1:32" x14ac:dyDescent="0.25">
      <c r="A111" t="str">
        <v>OVOLERSADMAEC3</v>
      </c>
    </row>
    <row r="112" spans="1:32" x14ac:dyDescent="0.25">
      <c r="A112" t="str">
        <v>OVOLERSADMACA</v>
      </c>
    </row>
    <row r="113" spans="1:1" x14ac:dyDescent="0.25">
      <c r="A113" t="str">
        <v>OVOLERSADMACA2</v>
      </c>
    </row>
    <row r="114" spans="1:1" x14ac:dyDescent="0.25">
      <c r="A114" t="str">
        <v>OVOLERSADMACPROG</v>
      </c>
    </row>
    <row r="115" spans="1:1" x14ac:dyDescent="0.25">
      <c r="A115" t="str">
        <v>OVOLERSADMACPIL</v>
      </c>
    </row>
    <row r="116" spans="1:1" x14ac:dyDescent="0.25">
      <c r="A116" t="str">
        <v>OVOLERSADMACPIP</v>
      </c>
    </row>
    <row r="117" spans="1:1" x14ac:dyDescent="0.25">
      <c r="A117" t="str">
        <v>OVOLERSADMACPFORT</v>
      </c>
    </row>
    <row r="118" spans="1:1" x14ac:dyDescent="0.25">
      <c r="A118" t="str">
        <v>OVOLERSADMACPFAIBL</v>
      </c>
    </row>
    <row r="119" spans="1:1" x14ac:dyDescent="0.25">
      <c r="A119" t="str">
        <v>OVOLERSADMACP</v>
      </c>
    </row>
    <row r="120" spans="1:1" x14ac:dyDescent="0.25">
      <c r="A120" t="str">
        <v>OVOLERSADMACPJ</v>
      </c>
    </row>
    <row r="121" spans="1:1" x14ac:dyDescent="0.25">
      <c r="A121" t="str">
        <v>OVOLERSADMACJ</v>
      </c>
    </row>
    <row r="122" spans="1:1" x14ac:dyDescent="0.25">
      <c r="A122" t="str">
        <v>OVOLERSADMACRV</v>
      </c>
    </row>
    <row r="123" spans="1:1" x14ac:dyDescent="0.25">
      <c r="A123" t="str">
        <v>OVOLERSADMACRS</v>
      </c>
    </row>
    <row r="124" spans="1:1" x14ac:dyDescent="0.25">
      <c r="A124" t="str">
        <v>OVOLERSADMACFP</v>
      </c>
    </row>
    <row r="125" spans="1:1" x14ac:dyDescent="0.25">
      <c r="A125" t="str">
        <v>OVOLERSADMACPPTM</v>
      </c>
    </row>
    <row r="126" spans="1:1" x14ac:dyDescent="0.25">
      <c r="A126" t="str">
        <v>OVOLERSADMACT</v>
      </c>
    </row>
    <row r="127" spans="1:1" x14ac:dyDescent="0.25">
      <c r="A127" t="str">
        <v>OVOLERSADMREGAPRE</v>
      </c>
    </row>
    <row r="128" spans="1:1" x14ac:dyDescent="0.25">
      <c r="A128" t="str">
        <v>OVOLSABADMAEC</v>
      </c>
    </row>
    <row r="129" spans="1:1" x14ac:dyDescent="0.25">
      <c r="A129" t="str">
        <v>OVOLSABADMAEC2</v>
      </c>
    </row>
    <row r="130" spans="1:1" x14ac:dyDescent="0.25">
      <c r="A130" t="str">
        <v>OVOLSABADMAEC3</v>
      </c>
    </row>
    <row r="131" spans="1:1" x14ac:dyDescent="0.25">
      <c r="A131" t="str">
        <v>OVOLSABADMACA</v>
      </c>
    </row>
    <row r="132" spans="1:1" x14ac:dyDescent="0.25">
      <c r="A132" t="str">
        <v>OVOLSABADMACA2</v>
      </c>
    </row>
    <row r="133" spans="1:1" x14ac:dyDescent="0.25">
      <c r="A133" t="str">
        <v>OVOLSABADMACPROG</v>
      </c>
    </row>
    <row r="134" spans="1:1" x14ac:dyDescent="0.25">
      <c r="A134" t="str">
        <v>OVOLSABADMACPIL</v>
      </c>
    </row>
    <row r="135" spans="1:1" x14ac:dyDescent="0.25">
      <c r="A135" t="str">
        <v>OVOLSABADMACPIP</v>
      </c>
    </row>
    <row r="136" spans="1:1" x14ac:dyDescent="0.25">
      <c r="A136" t="str">
        <v>OVOLSABADMACPFORT</v>
      </c>
    </row>
    <row r="137" spans="1:1" x14ac:dyDescent="0.25">
      <c r="A137" t="str">
        <v>OVOLSABADMACPFAIBL</v>
      </c>
    </row>
    <row r="138" spans="1:1" x14ac:dyDescent="0.25">
      <c r="A138" t="str">
        <v>OVOLSABADMACP</v>
      </c>
    </row>
    <row r="139" spans="1:1" x14ac:dyDescent="0.25">
      <c r="A139" t="str">
        <v>OVOLSABADMACPJ</v>
      </c>
    </row>
    <row r="140" spans="1:1" x14ac:dyDescent="0.25">
      <c r="A140" t="str">
        <v>OVOLSABADMACJ</v>
      </c>
    </row>
    <row r="141" spans="1:1" x14ac:dyDescent="0.25">
      <c r="A141" t="str">
        <v>OVOLSABADMACRV</v>
      </c>
    </row>
    <row r="142" spans="1:1" x14ac:dyDescent="0.25">
      <c r="A142" t="str">
        <v>OVOLSABADMACRS</v>
      </c>
    </row>
    <row r="143" spans="1:1" x14ac:dyDescent="0.25">
      <c r="A143" t="str">
        <v>OVOLSABADMACFP</v>
      </c>
    </row>
    <row r="144" spans="1:1" x14ac:dyDescent="0.25">
      <c r="A144" t="str">
        <v>OVOLSABADMACPPTM</v>
      </c>
    </row>
    <row r="145" spans="1:1" x14ac:dyDescent="0.25">
      <c r="A145" t="str">
        <v>OVOLSABADMACT</v>
      </c>
    </row>
    <row r="146" spans="1:1" x14ac:dyDescent="0.25">
      <c r="A146" t="str">
        <v>OVOLSABADMREGAPRE</v>
      </c>
    </row>
    <row r="147" spans="1:1" x14ac:dyDescent="0.25">
      <c r="A147" t="str">
        <v>OVOLGBPADMAEC</v>
      </c>
    </row>
    <row r="148" spans="1:1" x14ac:dyDescent="0.25">
      <c r="A148" t="str">
        <v>OVOLGBPADMAEC2</v>
      </c>
    </row>
    <row r="149" spans="1:1" x14ac:dyDescent="0.25">
      <c r="A149" t="str">
        <v>OVOLGBPADMAEC3</v>
      </c>
    </row>
    <row r="150" spans="1:1" x14ac:dyDescent="0.25">
      <c r="A150" t="str">
        <v>OVOLGBPADMACA</v>
      </c>
    </row>
    <row r="151" spans="1:1" x14ac:dyDescent="0.25">
      <c r="A151" t="str">
        <v>OVOLGBPADMACA2</v>
      </c>
    </row>
    <row r="152" spans="1:1" x14ac:dyDescent="0.25">
      <c r="A152" t="str">
        <v>OVOLGBPADMACPROG</v>
      </c>
    </row>
    <row r="153" spans="1:1" x14ac:dyDescent="0.25">
      <c r="A153" t="str">
        <v>OVOLGBPADMACPIL</v>
      </c>
    </row>
    <row r="154" spans="1:1" x14ac:dyDescent="0.25">
      <c r="A154" t="str">
        <v>OVOLGBPADMACPIP</v>
      </c>
    </row>
    <row r="155" spans="1:1" x14ac:dyDescent="0.25">
      <c r="A155" t="str">
        <v>OVOLGBPADMACPFORT</v>
      </c>
    </row>
    <row r="156" spans="1:1" x14ac:dyDescent="0.25">
      <c r="A156" t="str">
        <v>OVOLGBPADMACPFAIBL</v>
      </c>
    </row>
    <row r="157" spans="1:1" x14ac:dyDescent="0.25">
      <c r="A157" t="str">
        <v>OVOLGBPADMACP</v>
      </c>
    </row>
    <row r="158" spans="1:1" x14ac:dyDescent="0.25">
      <c r="A158" t="str">
        <v>OVOLGBPADMACPJ</v>
      </c>
    </row>
    <row r="159" spans="1:1" x14ac:dyDescent="0.25">
      <c r="A159" t="str">
        <v>OVOLGBPADMACJ</v>
      </c>
    </row>
    <row r="160" spans="1:1" x14ac:dyDescent="0.25">
      <c r="A160" t="str">
        <v>OVOLGBPADMACRV</v>
      </c>
    </row>
    <row r="161" spans="1:1" x14ac:dyDescent="0.25">
      <c r="A161" t="str">
        <v>OVOLGBPADMACRS</v>
      </c>
    </row>
    <row r="162" spans="1:1" x14ac:dyDescent="0.25">
      <c r="A162" t="str">
        <v>OVOLGBPADMACFP</v>
      </c>
    </row>
    <row r="163" spans="1:1" x14ac:dyDescent="0.25">
      <c r="A163" t="str">
        <v>OVOLGBPADMACPPTM</v>
      </c>
    </row>
    <row r="164" spans="1:1" x14ac:dyDescent="0.25">
      <c r="A164" t="str">
        <v>OVOLGBPADMACT</v>
      </c>
    </row>
    <row r="165" spans="1:1" x14ac:dyDescent="0.25">
      <c r="A165" t="str">
        <v>OVOLGBPADMREGAPRE</v>
      </c>
    </row>
    <row r="166" spans="1:1" x14ac:dyDescent="0.25">
      <c r="A166" t="str">
        <v>OVOLGEROADMAEC</v>
      </c>
    </row>
    <row r="167" spans="1:1" x14ac:dyDescent="0.25">
      <c r="A167" t="str">
        <v>OVOLGEROADMAEC2</v>
      </c>
    </row>
    <row r="168" spans="1:1" x14ac:dyDescent="0.25">
      <c r="A168" t="str">
        <v>OVOLGEROADMAEC3</v>
      </c>
    </row>
    <row r="169" spans="1:1" x14ac:dyDescent="0.25">
      <c r="A169" t="str">
        <v>OVOLGEROADMACA</v>
      </c>
    </row>
    <row r="170" spans="1:1" x14ac:dyDescent="0.25">
      <c r="A170" t="str">
        <v>OVOLGEROADMACA2</v>
      </c>
    </row>
    <row r="171" spans="1:1" x14ac:dyDescent="0.25">
      <c r="A171" t="str">
        <v>OVOLGEROADMACPROG</v>
      </c>
    </row>
    <row r="172" spans="1:1" x14ac:dyDescent="0.25">
      <c r="A172" t="str">
        <v>OVOLGEROADMACPIL</v>
      </c>
    </row>
    <row r="173" spans="1:1" x14ac:dyDescent="0.25">
      <c r="A173" t="str">
        <v>OVOLGEROADMACPIP</v>
      </c>
    </row>
    <row r="174" spans="1:1" x14ac:dyDescent="0.25">
      <c r="A174" t="str">
        <v>OVOLGEROADMACPFORT</v>
      </c>
    </row>
    <row r="175" spans="1:1" x14ac:dyDescent="0.25">
      <c r="A175" t="str">
        <v>OVOLGEROADMACPFAIBL</v>
      </c>
    </row>
    <row r="176" spans="1:1" x14ac:dyDescent="0.25">
      <c r="A176" t="str">
        <v>OVOLGEROADMACP</v>
      </c>
    </row>
    <row r="177" spans="1:1" x14ac:dyDescent="0.25">
      <c r="A177" t="str">
        <v>OVOLGEROADMACPJ</v>
      </c>
    </row>
    <row r="178" spans="1:1" x14ac:dyDescent="0.25">
      <c r="A178" t="str">
        <v>OVOLGEROADMACJ</v>
      </c>
    </row>
    <row r="179" spans="1:1" x14ac:dyDescent="0.25">
      <c r="A179" t="str">
        <v>OVOLGEROADMACRV</v>
      </c>
    </row>
    <row r="180" spans="1:1" x14ac:dyDescent="0.25">
      <c r="A180" t="str">
        <v>OVOLGEROADMACRS</v>
      </c>
    </row>
    <row r="181" spans="1:1" x14ac:dyDescent="0.25">
      <c r="A181" t="str">
        <v>OVOLGEROADMACFP</v>
      </c>
    </row>
    <row r="182" spans="1:1" x14ac:dyDescent="0.25">
      <c r="A182" t="str">
        <v>OVOLGEROADMACPPTM</v>
      </c>
    </row>
    <row r="183" spans="1:1" x14ac:dyDescent="0.25">
      <c r="A183" t="str">
        <v>OVOLGEROADMACT</v>
      </c>
    </row>
    <row r="184" spans="1:1" x14ac:dyDescent="0.25">
      <c r="A184" t="str">
        <v>OVOLGEROADMREGAPRE</v>
      </c>
    </row>
    <row r="185" spans="1:1" x14ac:dyDescent="0.25">
      <c r="A185" t="str">
        <v>OVOLGPEUADMAEC</v>
      </c>
    </row>
    <row r="186" spans="1:1" x14ac:dyDescent="0.25">
      <c r="A186" t="str">
        <v>OVOLGPEUADMAEC2</v>
      </c>
    </row>
    <row r="187" spans="1:1" x14ac:dyDescent="0.25">
      <c r="A187" t="str">
        <v>OVOLGPEUADMAEC3</v>
      </c>
    </row>
    <row r="188" spans="1:1" x14ac:dyDescent="0.25">
      <c r="A188" t="str">
        <v>OVOLGPEUADMACA</v>
      </c>
    </row>
    <row r="189" spans="1:1" x14ac:dyDescent="0.25">
      <c r="A189" t="str">
        <v>OVOLGPEUADMACA2</v>
      </c>
    </row>
    <row r="190" spans="1:1" x14ac:dyDescent="0.25">
      <c r="A190" t="str">
        <v>OVOLGPEUADMACPROG</v>
      </c>
    </row>
    <row r="191" spans="1:1" x14ac:dyDescent="0.25">
      <c r="A191" t="str">
        <v>OVOLGPEUADMACPIL</v>
      </c>
    </row>
    <row r="192" spans="1:1" x14ac:dyDescent="0.25">
      <c r="A192" t="str">
        <v>OVOLGPEUADMACPIP</v>
      </c>
    </row>
    <row r="193" spans="1:1" x14ac:dyDescent="0.25">
      <c r="A193" t="str">
        <v>OVOLGPEUADMACPFORT</v>
      </c>
    </row>
    <row r="194" spans="1:1" x14ac:dyDescent="0.25">
      <c r="A194" t="str">
        <v>OVOLGPEUADMACPFAIBL</v>
      </c>
    </row>
    <row r="195" spans="1:1" x14ac:dyDescent="0.25">
      <c r="A195" t="str">
        <v>OVOLGPEUADMACP</v>
      </c>
    </row>
    <row r="196" spans="1:1" x14ac:dyDescent="0.25">
      <c r="A196" t="str">
        <v>OVOLGPEUADMACPJ</v>
      </c>
    </row>
    <row r="197" spans="1:1" x14ac:dyDescent="0.25">
      <c r="A197" t="str">
        <v>OVOLGPEUADMACJ</v>
      </c>
    </row>
    <row r="198" spans="1:1" x14ac:dyDescent="0.25">
      <c r="A198" t="str">
        <v>OVOLGPEUADMACRV</v>
      </c>
    </row>
    <row r="199" spans="1:1" x14ac:dyDescent="0.25">
      <c r="A199" t="str">
        <v>OVOLGPEUADMACRS</v>
      </c>
    </row>
    <row r="200" spans="1:1" x14ac:dyDescent="0.25">
      <c r="A200" t="str">
        <v>OVOLGPEUADMACFP</v>
      </c>
    </row>
    <row r="201" spans="1:1" x14ac:dyDescent="0.25">
      <c r="A201" t="str">
        <v>OVOLGPEUADMACPPTM</v>
      </c>
    </row>
    <row r="202" spans="1:1" x14ac:dyDescent="0.25">
      <c r="A202" t="str">
        <v>OVOLGPEUADMACT</v>
      </c>
    </row>
    <row r="203" spans="1:1" x14ac:dyDescent="0.25">
      <c r="A203" t="str">
        <v>OVOLGPEUADMREGAPRE</v>
      </c>
    </row>
    <row r="204" spans="1:1" x14ac:dyDescent="0.25">
      <c r="A204" t="str">
        <v>OVOLGFNADMAEC</v>
      </c>
    </row>
    <row r="205" spans="1:1" x14ac:dyDescent="0.25">
      <c r="A205" t="str">
        <v>OVOLGFNADMAEC2</v>
      </c>
    </row>
    <row r="206" spans="1:1" x14ac:dyDescent="0.25">
      <c r="A206" t="str">
        <v>OVOLGFNADMAEC3</v>
      </c>
    </row>
    <row r="207" spans="1:1" x14ac:dyDescent="0.25">
      <c r="A207" t="str">
        <v>OVOLGFNADMACA</v>
      </c>
    </row>
    <row r="208" spans="1:1" x14ac:dyDescent="0.25">
      <c r="A208" t="str">
        <v>OVOLGFNADMACA2</v>
      </c>
    </row>
    <row r="209" spans="1:1" x14ac:dyDescent="0.25">
      <c r="A209" t="str">
        <v>OVOLGFNADMACPROG</v>
      </c>
    </row>
    <row r="210" spans="1:1" x14ac:dyDescent="0.25">
      <c r="A210" t="str">
        <v>OVOLGFNADMACPIL</v>
      </c>
    </row>
    <row r="211" spans="1:1" x14ac:dyDescent="0.25">
      <c r="A211" t="str">
        <v>OVOLGFNADMACPIP</v>
      </c>
    </row>
    <row r="212" spans="1:1" x14ac:dyDescent="0.25">
      <c r="A212" t="str">
        <v>OVOLGFNADMACPFORT</v>
      </c>
    </row>
    <row r="213" spans="1:1" x14ac:dyDescent="0.25">
      <c r="A213" t="str">
        <v>OVOLGFNADMACPFAIBL</v>
      </c>
    </row>
    <row r="214" spans="1:1" x14ac:dyDescent="0.25">
      <c r="A214" t="str">
        <v>OVOLGFNADMACP</v>
      </c>
    </row>
    <row r="215" spans="1:1" x14ac:dyDescent="0.25">
      <c r="A215" t="str">
        <v>OVOLGFNADMACPJ</v>
      </c>
    </row>
    <row r="216" spans="1:1" x14ac:dyDescent="0.25">
      <c r="A216" t="str">
        <v>OVOLGFNADMACJ</v>
      </c>
    </row>
    <row r="217" spans="1:1" x14ac:dyDescent="0.25">
      <c r="A217" t="str">
        <v>OVOLGFNADMACRV</v>
      </c>
    </row>
    <row r="218" spans="1:1" x14ac:dyDescent="0.25">
      <c r="A218" t="str">
        <v>OVOLGFNADMACRS</v>
      </c>
    </row>
    <row r="219" spans="1:1" x14ac:dyDescent="0.25">
      <c r="A219" t="str">
        <v>OVOLGFNADMACFP</v>
      </c>
    </row>
    <row r="220" spans="1:1" x14ac:dyDescent="0.25">
      <c r="A220" t="str">
        <v>OVOLGFNADMACPPTM</v>
      </c>
    </row>
    <row r="221" spans="1:1" x14ac:dyDescent="0.25">
      <c r="A221" t="str">
        <v>OVOLGFNADMACT</v>
      </c>
    </row>
    <row r="222" spans="1:1" x14ac:dyDescent="0.25">
      <c r="A222" t="str">
        <v>OVOLGFNADMREGAPRE</v>
      </c>
    </row>
    <row r="223" spans="1:1" x14ac:dyDescent="0.25">
      <c r="A223" t="str">
        <v>OVOLGHEGADMAEC</v>
      </c>
    </row>
    <row r="224" spans="1:1" x14ac:dyDescent="0.25">
      <c r="A224" t="str">
        <v>OVOLGHEGADMAEC2</v>
      </c>
    </row>
    <row r="225" spans="1:1" x14ac:dyDescent="0.25">
      <c r="A225" t="str">
        <v>OVOLGHEGADMAEC3</v>
      </c>
    </row>
    <row r="226" spans="1:1" x14ac:dyDescent="0.25">
      <c r="A226" t="str">
        <v>OVOLGHEGADMACA</v>
      </c>
    </row>
    <row r="227" spans="1:1" x14ac:dyDescent="0.25">
      <c r="A227" t="str">
        <v>OVOLGHEGADMACA2</v>
      </c>
    </row>
    <row r="228" spans="1:1" x14ac:dyDescent="0.25">
      <c r="A228" t="str">
        <v>OVOLGHEGADMACPROG</v>
      </c>
    </row>
    <row r="229" spans="1:1" x14ac:dyDescent="0.25">
      <c r="A229" t="str">
        <v>OVOLGHEGADMACPIL</v>
      </c>
    </row>
    <row r="230" spans="1:1" x14ac:dyDescent="0.25">
      <c r="A230" t="str">
        <v>OVOLGHEGADMACPIP</v>
      </c>
    </row>
    <row r="231" spans="1:1" x14ac:dyDescent="0.25">
      <c r="A231" t="str">
        <v>OVOLGHEGADMACPFORT</v>
      </c>
    </row>
    <row r="232" spans="1:1" x14ac:dyDescent="0.25">
      <c r="A232" t="str">
        <v>OVOLGHEGADMACPFAIBL</v>
      </c>
    </row>
    <row r="233" spans="1:1" x14ac:dyDescent="0.25">
      <c r="A233" t="str">
        <v>OVOLGHEGADMACP</v>
      </c>
    </row>
    <row r="234" spans="1:1" x14ac:dyDescent="0.25">
      <c r="A234" t="str">
        <v>OVOLGHEGADMACPJ</v>
      </c>
    </row>
    <row r="235" spans="1:1" x14ac:dyDescent="0.25">
      <c r="A235" t="str">
        <v>OVOLGHEGADMACJ</v>
      </c>
    </row>
    <row r="236" spans="1:1" x14ac:dyDescent="0.25">
      <c r="A236" t="str">
        <v>OVOLGHEGADMACRV</v>
      </c>
    </row>
    <row r="237" spans="1:1" x14ac:dyDescent="0.25">
      <c r="A237" t="str">
        <v>OVOLGHEGADMACRS</v>
      </c>
    </row>
    <row r="238" spans="1:1" x14ac:dyDescent="0.25">
      <c r="A238" t="str">
        <v>OVOLGHEGADMACFP</v>
      </c>
    </row>
    <row r="239" spans="1:1" x14ac:dyDescent="0.25">
      <c r="A239" t="str">
        <v>OVOLGHEGADMACPPTM</v>
      </c>
    </row>
    <row r="240" spans="1:1" x14ac:dyDescent="0.25">
      <c r="A240" t="str">
        <v>OVOLGHEGADMACT</v>
      </c>
    </row>
    <row r="241" spans="1:1" x14ac:dyDescent="0.25">
      <c r="A241" t="str">
        <v>OVOLGHEGADMREGAPRE</v>
      </c>
    </row>
    <row r="242" spans="1:1" x14ac:dyDescent="0.25">
      <c r="A242" t="str">
        <v>OVOLGAURADMAEC</v>
      </c>
    </row>
    <row r="243" spans="1:1" x14ac:dyDescent="0.25">
      <c r="A243" t="str">
        <v>OVOLGAURADMAEC2</v>
      </c>
    </row>
    <row r="244" spans="1:1" x14ac:dyDescent="0.25">
      <c r="A244" t="str">
        <v>OVOLGAURADMAEC3</v>
      </c>
    </row>
    <row r="245" spans="1:1" x14ac:dyDescent="0.25">
      <c r="A245" t="str">
        <v>OVOLGAURADMACA</v>
      </c>
    </row>
    <row r="246" spans="1:1" x14ac:dyDescent="0.25">
      <c r="A246" t="str">
        <v>OVOLGAURADMACA2</v>
      </c>
    </row>
    <row r="247" spans="1:1" x14ac:dyDescent="0.25">
      <c r="A247" t="str">
        <v>OVOLGAURADMACPROG</v>
      </c>
    </row>
    <row r="248" spans="1:1" x14ac:dyDescent="0.25">
      <c r="A248" t="str">
        <v>OVOLGAURADMACPIL</v>
      </c>
    </row>
    <row r="249" spans="1:1" x14ac:dyDescent="0.25">
      <c r="A249" t="str">
        <v>OVOLGAURADMACPIP</v>
      </c>
    </row>
    <row r="250" spans="1:1" x14ac:dyDescent="0.25">
      <c r="A250" t="str">
        <v>OVOLGAURADMACPFORT</v>
      </c>
    </row>
    <row r="251" spans="1:1" x14ac:dyDescent="0.25">
      <c r="A251" t="str">
        <v>OVOLGAURADMACPFAIBL</v>
      </c>
    </row>
    <row r="252" spans="1:1" x14ac:dyDescent="0.25">
      <c r="A252" t="str">
        <v>OVOLGAURADMACP</v>
      </c>
    </row>
    <row r="253" spans="1:1" x14ac:dyDescent="0.25">
      <c r="A253" t="str">
        <v>OVOLGAURADMACPJ</v>
      </c>
    </row>
    <row r="254" spans="1:1" x14ac:dyDescent="0.25">
      <c r="A254" t="str">
        <v>OVOLGAURADMACJ</v>
      </c>
    </row>
    <row r="255" spans="1:1" x14ac:dyDescent="0.25">
      <c r="A255" t="str">
        <v>OVOLGAURADMACRV</v>
      </c>
    </row>
    <row r="256" spans="1:1" x14ac:dyDescent="0.25">
      <c r="A256" t="str">
        <v>OVOLGAURADMACRS</v>
      </c>
    </row>
    <row r="257" spans="1:1" x14ac:dyDescent="0.25">
      <c r="A257" t="str">
        <v>OVOLGAURADMACFP</v>
      </c>
    </row>
    <row r="258" spans="1:1" x14ac:dyDescent="0.25">
      <c r="A258" t="str">
        <v>OVOLGAURADMACPPTM</v>
      </c>
    </row>
    <row r="259" spans="1:1" x14ac:dyDescent="0.25">
      <c r="A259" t="str">
        <v>OVOLGAURADMACT</v>
      </c>
    </row>
    <row r="260" spans="1:1" x14ac:dyDescent="0.25">
      <c r="A260" t="str">
        <v>OVOLGAURADMREGAPRE</v>
      </c>
    </row>
    <row r="261" spans="1:1" x14ac:dyDescent="0.25">
      <c r="A261" t="str">
        <v>OVOLGPINSADMAEC</v>
      </c>
    </row>
    <row r="262" spans="1:1" x14ac:dyDescent="0.25">
      <c r="A262" t="str">
        <v>OVOLGPINSADMAEC2</v>
      </c>
    </row>
    <row r="263" spans="1:1" x14ac:dyDescent="0.25">
      <c r="A263" t="str">
        <v>OVOLGPINSADMAEC3</v>
      </c>
    </row>
    <row r="264" spans="1:1" x14ac:dyDescent="0.25">
      <c r="A264" t="str">
        <v>OVOLGPINSADMACA</v>
      </c>
    </row>
    <row r="265" spans="1:1" x14ac:dyDescent="0.25">
      <c r="A265" t="str">
        <v>OVOLGPINSADMACA2</v>
      </c>
    </row>
    <row r="266" spans="1:1" x14ac:dyDescent="0.25">
      <c r="A266" t="str">
        <v>OVOLGPINSADMACPROG</v>
      </c>
    </row>
    <row r="267" spans="1:1" x14ac:dyDescent="0.25">
      <c r="A267" t="str">
        <v>OVOLGPINSADMACPIL</v>
      </c>
    </row>
    <row r="268" spans="1:1" x14ac:dyDescent="0.25">
      <c r="A268" t="str">
        <v>OVOLGPINSADMACPIP</v>
      </c>
    </row>
    <row r="269" spans="1:1" x14ac:dyDescent="0.25">
      <c r="A269" t="str">
        <v>OVOLGPINSADMACPFORT</v>
      </c>
    </row>
    <row r="270" spans="1:1" x14ac:dyDescent="0.25">
      <c r="A270" t="str">
        <v>OVOLGPINSADMACPFAIBL</v>
      </c>
    </row>
    <row r="271" spans="1:1" x14ac:dyDescent="0.25">
      <c r="A271" t="str">
        <v>OVOLGPINSADMACP</v>
      </c>
    </row>
    <row r="272" spans="1:1" x14ac:dyDescent="0.25">
      <c r="A272" t="str">
        <v>OVOLGPINSADMACPJ</v>
      </c>
    </row>
    <row r="273" spans="1:1" x14ac:dyDescent="0.25">
      <c r="A273" t="str">
        <v>OVOLGPINSADMACJ</v>
      </c>
    </row>
    <row r="274" spans="1:1" x14ac:dyDescent="0.25">
      <c r="A274" t="str">
        <v>OVOLGPINSADMACRV</v>
      </c>
    </row>
    <row r="275" spans="1:1" x14ac:dyDescent="0.25">
      <c r="A275" t="str">
        <v>OVOLGPINSADMACRS</v>
      </c>
    </row>
    <row r="276" spans="1:1" x14ac:dyDescent="0.25">
      <c r="A276" t="str">
        <v>OVOLGPINSADMACFP</v>
      </c>
    </row>
    <row r="277" spans="1:1" x14ac:dyDescent="0.25">
      <c r="A277" t="str">
        <v>OVOLGPINSADMACPPTM</v>
      </c>
    </row>
    <row r="278" spans="1:1" x14ac:dyDescent="0.25">
      <c r="A278" t="str">
        <v>OVOLGPINSADMACT</v>
      </c>
    </row>
    <row r="279" spans="1:1" x14ac:dyDescent="0.25">
      <c r="A279" t="str">
        <v>OVOLGPINSADMREGAPRE</v>
      </c>
    </row>
    <row r="280" spans="1:1" x14ac:dyDescent="0.25">
      <c r="A280" t="str">
        <v>OVOLGEPXADMAEC</v>
      </c>
    </row>
    <row r="281" spans="1:1" x14ac:dyDescent="0.25">
      <c r="A281" t="str">
        <v>OVOLGEPXADMAEC2</v>
      </c>
    </row>
    <row r="282" spans="1:1" x14ac:dyDescent="0.25">
      <c r="A282" t="str">
        <v>OVOLGEPXADMAEC3</v>
      </c>
    </row>
    <row r="283" spans="1:1" x14ac:dyDescent="0.25">
      <c r="A283" t="str">
        <v>OVOLGEPXADMACA</v>
      </c>
    </row>
    <row r="284" spans="1:1" x14ac:dyDescent="0.25">
      <c r="A284" t="str">
        <v>OVOLGEPXADMACA2</v>
      </c>
    </row>
    <row r="285" spans="1:1" x14ac:dyDescent="0.25">
      <c r="A285" t="str">
        <v>OVOLGEPXADMACPROG</v>
      </c>
    </row>
    <row r="286" spans="1:1" x14ac:dyDescent="0.25">
      <c r="A286" t="str">
        <v>OVOLGEPXADMACPIL</v>
      </c>
    </row>
    <row r="287" spans="1:1" x14ac:dyDescent="0.25">
      <c r="A287" t="str">
        <v>OVOLGEPXADMACPIP</v>
      </c>
    </row>
    <row r="288" spans="1:1" x14ac:dyDescent="0.25">
      <c r="A288" t="str">
        <v>OVOLGEPXADMACPFORT</v>
      </c>
    </row>
    <row r="289" spans="1:1" x14ac:dyDescent="0.25">
      <c r="A289" t="str">
        <v>OVOLGEPXADMACPFAIBL</v>
      </c>
    </row>
    <row r="290" spans="1:1" x14ac:dyDescent="0.25">
      <c r="A290" t="str">
        <v>OVOLGEPXADMACP</v>
      </c>
    </row>
    <row r="291" spans="1:1" x14ac:dyDescent="0.25">
      <c r="A291" t="str">
        <v>OVOLGEPXADMACPJ</v>
      </c>
    </row>
    <row r="292" spans="1:1" x14ac:dyDescent="0.25">
      <c r="A292" t="str">
        <v>OVOLGEPXADMACJ</v>
      </c>
    </row>
    <row r="293" spans="1:1" x14ac:dyDescent="0.25">
      <c r="A293" t="str">
        <v>OVOLGEPXADMACRV</v>
      </c>
    </row>
    <row r="294" spans="1:1" x14ac:dyDescent="0.25">
      <c r="A294" t="str">
        <v>OVOLGEPXADMACRS</v>
      </c>
    </row>
    <row r="295" spans="1:1" x14ac:dyDescent="0.25">
      <c r="A295" t="str">
        <v>OVOLGEPXADMACFP</v>
      </c>
    </row>
    <row r="296" spans="1:1" x14ac:dyDescent="0.25">
      <c r="A296" t="str">
        <v>OVOLGEPXADMACPPTM</v>
      </c>
    </row>
    <row r="297" spans="1:1" x14ac:dyDescent="0.25">
      <c r="A297" t="str">
        <v>OVOLGEPXADMACT</v>
      </c>
    </row>
    <row r="298" spans="1:1" x14ac:dyDescent="0.25">
      <c r="A298" t="str">
        <v>OVOLGEPXADMREGAPRE</v>
      </c>
    </row>
    <row r="299" spans="1:1" x14ac:dyDescent="0.25">
      <c r="A299" t="str">
        <v>OVOLGMLADMAEC</v>
      </c>
    </row>
    <row r="300" spans="1:1" x14ac:dyDescent="0.25">
      <c r="A300" t="str">
        <v>OVOLGMLADMAEC2</v>
      </c>
    </row>
    <row r="301" spans="1:1" x14ac:dyDescent="0.25">
      <c r="A301" t="str">
        <v>OVOLGMLADMAEC3</v>
      </c>
    </row>
    <row r="302" spans="1:1" x14ac:dyDescent="0.25">
      <c r="A302" t="str">
        <v>OVOLGMLADMACA</v>
      </c>
    </row>
    <row r="303" spans="1:1" x14ac:dyDescent="0.25">
      <c r="A303" t="str">
        <v>OVOLGMLADMACA2</v>
      </c>
    </row>
    <row r="304" spans="1:1" x14ac:dyDescent="0.25">
      <c r="A304" t="str">
        <v>OVOLGMLADMACPROG</v>
      </c>
    </row>
    <row r="305" spans="1:1" x14ac:dyDescent="0.25">
      <c r="A305" t="str">
        <v>OVOLGMLADMACPIL</v>
      </c>
    </row>
    <row r="306" spans="1:1" x14ac:dyDescent="0.25">
      <c r="A306" t="str">
        <v>OVOLGMLADMACPIP</v>
      </c>
    </row>
    <row r="307" spans="1:1" x14ac:dyDescent="0.25">
      <c r="A307" t="str">
        <v>OVOLGMLADMACPFORT</v>
      </c>
    </row>
    <row r="308" spans="1:1" x14ac:dyDescent="0.25">
      <c r="A308" t="str">
        <v>OVOLGMLADMACPFAIBL</v>
      </c>
    </row>
    <row r="309" spans="1:1" x14ac:dyDescent="0.25">
      <c r="A309" t="str">
        <v>OVOLGMLADMACP</v>
      </c>
    </row>
    <row r="310" spans="1:1" x14ac:dyDescent="0.25">
      <c r="A310" t="str">
        <v>OVOLGMLADMACPJ</v>
      </c>
    </row>
    <row r="311" spans="1:1" x14ac:dyDescent="0.25">
      <c r="A311" t="str">
        <v>OVOLGMLADMACJ</v>
      </c>
    </row>
    <row r="312" spans="1:1" x14ac:dyDescent="0.25">
      <c r="A312" t="str">
        <v>OVOLGMLADMACRV</v>
      </c>
    </row>
    <row r="313" spans="1:1" x14ac:dyDescent="0.25">
      <c r="A313" t="str">
        <v>OVOLGMLADMACRS</v>
      </c>
    </row>
    <row r="314" spans="1:1" x14ac:dyDescent="0.25">
      <c r="A314" t="str">
        <v>OVOLGMLADMACFP</v>
      </c>
    </row>
    <row r="315" spans="1:1" x14ac:dyDescent="0.25">
      <c r="A315" t="str">
        <v>OVOLGMLADMACPPTM</v>
      </c>
    </row>
    <row r="316" spans="1:1" x14ac:dyDescent="0.25">
      <c r="A316" t="str">
        <v>OVOLGMLADMACT</v>
      </c>
    </row>
    <row r="317" spans="1:1" x14ac:dyDescent="0.25">
      <c r="A317" t="str">
        <v>OVOLGMLADMREGAPRE</v>
      </c>
    </row>
    <row r="318" spans="1:1" x14ac:dyDescent="0.25">
      <c r="A318" t="str">
        <v>OVOLGPGADMAEC</v>
      </c>
    </row>
    <row r="319" spans="1:1" x14ac:dyDescent="0.25">
      <c r="A319" t="str">
        <v>OVOLGPGADMAEC2</v>
      </c>
    </row>
    <row r="320" spans="1:1" x14ac:dyDescent="0.25">
      <c r="A320" t="str">
        <v>OVOLGPGADMAEC3</v>
      </c>
    </row>
    <row r="321" spans="1:1" x14ac:dyDescent="0.25">
      <c r="A321" t="str">
        <v>OVOLGPGADMACA</v>
      </c>
    </row>
    <row r="322" spans="1:1" x14ac:dyDescent="0.25">
      <c r="A322" t="str">
        <v>OVOLGPGADMACA2</v>
      </c>
    </row>
    <row r="323" spans="1:1" x14ac:dyDescent="0.25">
      <c r="A323" t="str">
        <v>OVOLGPGADMACPROG</v>
      </c>
    </row>
    <row r="324" spans="1:1" x14ac:dyDescent="0.25">
      <c r="A324" t="str">
        <v>OVOLGPGADMACPIL</v>
      </c>
    </row>
    <row r="325" spans="1:1" x14ac:dyDescent="0.25">
      <c r="A325" t="str">
        <v>OVOLGPGADMACPIP</v>
      </c>
    </row>
    <row r="326" spans="1:1" x14ac:dyDescent="0.25">
      <c r="A326" t="str">
        <v>OVOLGPGADMACPFORT</v>
      </c>
    </row>
    <row r="327" spans="1:1" x14ac:dyDescent="0.25">
      <c r="A327" t="str">
        <v>OVOLGPGADMACPFAIBL</v>
      </c>
    </row>
    <row r="328" spans="1:1" x14ac:dyDescent="0.25">
      <c r="A328" t="str">
        <v>OVOLGPGADMACP</v>
      </c>
    </row>
    <row r="329" spans="1:1" x14ac:dyDescent="0.25">
      <c r="A329" t="str">
        <v>OVOLGPGADMACPJ</v>
      </c>
    </row>
    <row r="330" spans="1:1" x14ac:dyDescent="0.25">
      <c r="A330" t="str">
        <v>OVOLGPGADMACJ</v>
      </c>
    </row>
    <row r="331" spans="1:1" x14ac:dyDescent="0.25">
      <c r="A331" t="str">
        <v>OVOLGPGADMACRV</v>
      </c>
    </row>
    <row r="332" spans="1:1" x14ac:dyDescent="0.25">
      <c r="A332" t="str">
        <v>OVOLGPGADMACRS</v>
      </c>
    </row>
    <row r="333" spans="1:1" x14ac:dyDescent="0.25">
      <c r="A333" t="str">
        <v>OVOLGPGADMACFP</v>
      </c>
    </row>
    <row r="334" spans="1:1" x14ac:dyDescent="0.25">
      <c r="A334" t="str">
        <v>OVOLGPGADMACPPTM</v>
      </c>
    </row>
    <row r="335" spans="1:1" x14ac:dyDescent="0.25">
      <c r="A335" t="str">
        <v>OVOLGPGADMACT</v>
      </c>
    </row>
    <row r="336" spans="1:1" x14ac:dyDescent="0.25">
      <c r="A336" t="str">
        <v>OVOLGPGADMREGAPRE</v>
      </c>
    </row>
    <row r="337" spans="1:1" x14ac:dyDescent="0.25">
      <c r="A337" t="str">
        <v>OVOLGFIADMAEC</v>
      </c>
    </row>
    <row r="338" spans="1:1" x14ac:dyDescent="0.25">
      <c r="A338" t="str">
        <v>OVOLGFIADMAEC2</v>
      </c>
    </row>
    <row r="339" spans="1:1" x14ac:dyDescent="0.25">
      <c r="A339" t="str">
        <v>OVOLGFIADMAEC3</v>
      </c>
    </row>
    <row r="340" spans="1:1" x14ac:dyDescent="0.25">
      <c r="A340" t="str">
        <v>OVOLGFIADMACA</v>
      </c>
    </row>
    <row r="341" spans="1:1" x14ac:dyDescent="0.25">
      <c r="A341" t="str">
        <v>OVOLGFIADMACA2</v>
      </c>
    </row>
    <row r="342" spans="1:1" x14ac:dyDescent="0.25">
      <c r="A342" t="str">
        <v>OVOLGFIADMACPROG</v>
      </c>
    </row>
    <row r="343" spans="1:1" x14ac:dyDescent="0.25">
      <c r="A343" t="str">
        <v>OVOLGFIADMACPIL</v>
      </c>
    </row>
    <row r="344" spans="1:1" x14ac:dyDescent="0.25">
      <c r="A344" t="str">
        <v>OVOLGFIADMACPIP</v>
      </c>
    </row>
    <row r="345" spans="1:1" x14ac:dyDescent="0.25">
      <c r="A345" t="str">
        <v>OVOLGFIADMACPFORT</v>
      </c>
    </row>
    <row r="346" spans="1:1" x14ac:dyDescent="0.25">
      <c r="A346" t="str">
        <v>OVOLGFIADMACPFAIBL</v>
      </c>
    </row>
    <row r="347" spans="1:1" x14ac:dyDescent="0.25">
      <c r="A347" t="str">
        <v>OVOLGFIADMACP</v>
      </c>
    </row>
    <row r="348" spans="1:1" x14ac:dyDescent="0.25">
      <c r="A348" t="str">
        <v>OVOLGFIADMACPJ</v>
      </c>
    </row>
    <row r="349" spans="1:1" x14ac:dyDescent="0.25">
      <c r="A349" t="str">
        <v>OVOLGFIADMACJ</v>
      </c>
    </row>
    <row r="350" spans="1:1" x14ac:dyDescent="0.25">
      <c r="A350" t="str">
        <v>OVOLGFIADMACRV</v>
      </c>
    </row>
    <row r="351" spans="1:1" x14ac:dyDescent="0.25">
      <c r="A351" t="str">
        <v>OVOLGFIADMACRS</v>
      </c>
    </row>
    <row r="352" spans="1:1" x14ac:dyDescent="0.25">
      <c r="A352" t="str">
        <v>OVOLGFIADMACFP</v>
      </c>
    </row>
    <row r="353" spans="1:1" x14ac:dyDescent="0.25">
      <c r="A353" t="str">
        <v>OVOLGFIADMACPPTM</v>
      </c>
    </row>
    <row r="354" spans="1:1" x14ac:dyDescent="0.25">
      <c r="A354" t="str">
        <v>OVOLGFIADMACT</v>
      </c>
    </row>
    <row r="355" spans="1:1" x14ac:dyDescent="0.25">
      <c r="A355" t="str">
        <v>OVOLGFIADMREGAPRE</v>
      </c>
    </row>
    <row r="356" spans="1:1" x14ac:dyDescent="0.25">
      <c r="A356" t="str">
        <v>OVOLGFTADMAEC</v>
      </c>
    </row>
    <row r="357" spans="1:1" x14ac:dyDescent="0.25">
      <c r="A357" t="str">
        <v>OVOLGFTADMAEC2</v>
      </c>
    </row>
    <row r="358" spans="1:1" x14ac:dyDescent="0.25">
      <c r="A358" t="str">
        <v>OVOLGFTADMAEC3</v>
      </c>
    </row>
    <row r="359" spans="1:1" x14ac:dyDescent="0.25">
      <c r="A359" t="str">
        <v>OVOLGFTADMACA</v>
      </c>
    </row>
    <row r="360" spans="1:1" x14ac:dyDescent="0.25">
      <c r="A360" t="str">
        <v>OVOLGFTADMACA2</v>
      </c>
    </row>
    <row r="361" spans="1:1" x14ac:dyDescent="0.25">
      <c r="A361" t="str">
        <v>OVOLGFTADMACPROG</v>
      </c>
    </row>
    <row r="362" spans="1:1" x14ac:dyDescent="0.25">
      <c r="A362" t="str">
        <v>OVOLGFTADMACPIL</v>
      </c>
    </row>
    <row r="363" spans="1:1" x14ac:dyDescent="0.25">
      <c r="A363" t="str">
        <v>OVOLGFTADMACPIP</v>
      </c>
    </row>
    <row r="364" spans="1:1" x14ac:dyDescent="0.25">
      <c r="A364" t="str">
        <v>OVOLGFTADMACPFORT</v>
      </c>
    </row>
    <row r="365" spans="1:1" x14ac:dyDescent="0.25">
      <c r="A365" t="str">
        <v>OVOLGFTADMACPFAIBL</v>
      </c>
    </row>
    <row r="366" spans="1:1" x14ac:dyDescent="0.25">
      <c r="A366" t="str">
        <v>OVOLGFTADMACP</v>
      </c>
    </row>
    <row r="367" spans="1:1" x14ac:dyDescent="0.25">
      <c r="A367" t="str">
        <v>OVOLGFTADMACPJ</v>
      </c>
    </row>
    <row r="368" spans="1:1" x14ac:dyDescent="0.25">
      <c r="A368" t="str">
        <v>OVOLGFTADMACJ</v>
      </c>
    </row>
    <row r="369" spans="1:1" x14ac:dyDescent="0.25">
      <c r="A369" t="str">
        <v>OVOLGFTADMACRV</v>
      </c>
    </row>
    <row r="370" spans="1:1" x14ac:dyDescent="0.25">
      <c r="A370" t="str">
        <v>OVOLGFTADMACRS</v>
      </c>
    </row>
    <row r="371" spans="1:1" x14ac:dyDescent="0.25">
      <c r="A371" t="str">
        <v>OVOLGFTADMACFP</v>
      </c>
    </row>
    <row r="372" spans="1:1" x14ac:dyDescent="0.25">
      <c r="A372" t="str">
        <v>OVOLGFTADMACPPTM</v>
      </c>
    </row>
    <row r="373" spans="1:1" x14ac:dyDescent="0.25">
      <c r="A373" t="str">
        <v>OVOLGFTADMACT</v>
      </c>
    </row>
    <row r="374" spans="1:1" x14ac:dyDescent="0.25">
      <c r="A374" t="str">
        <v>OVOLGFTADMREGAPRE</v>
      </c>
    </row>
    <row r="375" spans="1:1" x14ac:dyDescent="0.25">
      <c r="A375" t="str">
        <v>OVOLGSEPMADMAEC</v>
      </c>
    </row>
    <row r="376" spans="1:1" x14ac:dyDescent="0.25">
      <c r="A376" t="str">
        <v>OVOLGSEPMADMAEC2</v>
      </c>
    </row>
    <row r="377" spans="1:1" x14ac:dyDescent="0.25">
      <c r="A377" t="str">
        <v>OVOLGSEPMADMAEC3</v>
      </c>
    </row>
    <row r="378" spans="1:1" x14ac:dyDescent="0.25">
      <c r="A378" t="str">
        <v>OVOLGSEPMADMACA</v>
      </c>
    </row>
    <row r="379" spans="1:1" x14ac:dyDescent="0.25">
      <c r="A379" t="str">
        <v>OVOLGSEPMADMACA2</v>
      </c>
    </row>
    <row r="380" spans="1:1" x14ac:dyDescent="0.25">
      <c r="A380" t="str">
        <v>OVOLGSEPMADMACPROG</v>
      </c>
    </row>
    <row r="381" spans="1:1" x14ac:dyDescent="0.25">
      <c r="A381" t="str">
        <v>OVOLGSEPMADMACPIL</v>
      </c>
    </row>
    <row r="382" spans="1:1" x14ac:dyDescent="0.25">
      <c r="A382" t="str">
        <v>OVOLGSEPMADMACPIP</v>
      </c>
    </row>
    <row r="383" spans="1:1" x14ac:dyDescent="0.25">
      <c r="A383" t="str">
        <v>OVOLGSEPMADMACPFORT</v>
      </c>
    </row>
    <row r="384" spans="1:1" x14ac:dyDescent="0.25">
      <c r="A384" t="str">
        <v>OVOLGSEPMADMACPFAIBL</v>
      </c>
    </row>
    <row r="385" spans="1:1" x14ac:dyDescent="0.25">
      <c r="A385" t="str">
        <v>OVOLGSEPMADMACP</v>
      </c>
    </row>
    <row r="386" spans="1:1" x14ac:dyDescent="0.25">
      <c r="A386" t="str">
        <v>OVOLGSEPMADMACPJ</v>
      </c>
    </row>
    <row r="387" spans="1:1" x14ac:dyDescent="0.25">
      <c r="A387" t="str">
        <v>OVOLGSEPMADMACJ</v>
      </c>
    </row>
    <row r="388" spans="1:1" x14ac:dyDescent="0.25">
      <c r="A388" t="str">
        <v>OVOLGSEPMADMACRV</v>
      </c>
    </row>
    <row r="389" spans="1:1" x14ac:dyDescent="0.25">
      <c r="A389" t="str">
        <v>OVOLGSEPMADMACRS</v>
      </c>
    </row>
    <row r="390" spans="1:1" x14ac:dyDescent="0.25">
      <c r="A390" t="str">
        <v>OVOLGSEPMADMACFP</v>
      </c>
    </row>
    <row r="391" spans="1:1" x14ac:dyDescent="0.25">
      <c r="A391" t="str">
        <v>OVOLGSEPMADMACPPTM</v>
      </c>
    </row>
    <row r="392" spans="1:1" x14ac:dyDescent="0.25">
      <c r="A392" t="str">
        <v>OVOLGSEPMADMACT</v>
      </c>
    </row>
    <row r="393" spans="1:1" x14ac:dyDescent="0.25">
      <c r="A393" t="str">
        <v>OVOLGSEPMADMREGAPRE</v>
      </c>
    </row>
    <row r="394" spans="1:1" x14ac:dyDescent="0.25">
      <c r="A394" t="str">
        <v>OVOLGFADMAEC</v>
      </c>
    </row>
    <row r="395" spans="1:1" x14ac:dyDescent="0.25">
      <c r="A395" t="str">
        <v>OVOLGFADMAEC2</v>
      </c>
    </row>
    <row r="396" spans="1:1" x14ac:dyDescent="0.25">
      <c r="A396" t="str">
        <v>OVOLGFADMAEC3</v>
      </c>
    </row>
    <row r="397" spans="1:1" x14ac:dyDescent="0.25">
      <c r="A397" t="str">
        <v>OVOLGFADMACA</v>
      </c>
    </row>
    <row r="398" spans="1:1" x14ac:dyDescent="0.25">
      <c r="A398" t="str">
        <v>OVOLGFADMACA2</v>
      </c>
    </row>
    <row r="399" spans="1:1" x14ac:dyDescent="0.25">
      <c r="A399" t="str">
        <v>OVOLGFADMACPROG</v>
      </c>
    </row>
    <row r="400" spans="1:1" x14ac:dyDescent="0.25">
      <c r="A400" t="str">
        <v>OVOLGFADMACPIL</v>
      </c>
    </row>
    <row r="401" spans="1:1" x14ac:dyDescent="0.25">
      <c r="A401" t="str">
        <v>OVOLGFADMACPIP</v>
      </c>
    </row>
    <row r="402" spans="1:1" x14ac:dyDescent="0.25">
      <c r="A402" t="str">
        <v>OVOLGFADMACPFORT</v>
      </c>
    </row>
    <row r="403" spans="1:1" x14ac:dyDescent="0.25">
      <c r="A403" t="str">
        <v>OVOLGFADMACPFAIBL</v>
      </c>
    </row>
    <row r="404" spans="1:1" x14ac:dyDescent="0.25">
      <c r="A404" t="str">
        <v>OVOLGFADMACP</v>
      </c>
    </row>
    <row r="405" spans="1:1" x14ac:dyDescent="0.25">
      <c r="A405" t="str">
        <v>OVOLGFADMACPJ</v>
      </c>
    </row>
    <row r="406" spans="1:1" x14ac:dyDescent="0.25">
      <c r="A406" t="str">
        <v>OVOLGFADMACJ</v>
      </c>
    </row>
    <row r="407" spans="1:1" x14ac:dyDescent="0.25">
      <c r="A407" t="str">
        <v>OVOLGFADMACRV</v>
      </c>
    </row>
    <row r="408" spans="1:1" x14ac:dyDescent="0.25">
      <c r="A408" t="str">
        <v>OVOLGFADMACRS</v>
      </c>
    </row>
    <row r="409" spans="1:1" x14ac:dyDescent="0.25">
      <c r="A409" t="str">
        <v>OVOLGFADMACFP</v>
      </c>
    </row>
    <row r="410" spans="1:1" x14ac:dyDescent="0.25">
      <c r="A410" t="str">
        <v>OVOLGFADMACPPTM</v>
      </c>
    </row>
    <row r="411" spans="1:1" x14ac:dyDescent="0.25">
      <c r="A411" t="str">
        <v>OVOLGFADMACT</v>
      </c>
    </row>
    <row r="412" spans="1:1" x14ac:dyDescent="0.25">
      <c r="A412" t="str">
        <v>OVOLGFADMREGAPRE</v>
      </c>
    </row>
    <row r="413" spans="1:1" x14ac:dyDescent="0.25">
      <c r="A413" t="str">
        <v>OVOLGRADMAEC</v>
      </c>
    </row>
    <row r="414" spans="1:1" x14ac:dyDescent="0.25">
      <c r="A414" t="str">
        <v>OVOLGRADMAEC2</v>
      </c>
    </row>
    <row r="415" spans="1:1" x14ac:dyDescent="0.25">
      <c r="A415" t="str">
        <v>OVOLGRADMAEC3</v>
      </c>
    </row>
    <row r="416" spans="1:1" x14ac:dyDescent="0.25">
      <c r="A416" t="str">
        <v>OVOLGRADMACA</v>
      </c>
    </row>
    <row r="417" spans="1:1" x14ac:dyDescent="0.25">
      <c r="A417" t="str">
        <v>OVOLGRADMACA2</v>
      </c>
    </row>
    <row r="418" spans="1:1" x14ac:dyDescent="0.25">
      <c r="A418" t="str">
        <v>OVOLGRADMACPROG</v>
      </c>
    </row>
    <row r="419" spans="1:1" x14ac:dyDescent="0.25">
      <c r="A419" t="str">
        <v>OVOLGRADMACPIL</v>
      </c>
    </row>
    <row r="420" spans="1:1" x14ac:dyDescent="0.25">
      <c r="A420" t="str">
        <v>OVOLGRADMACPIP</v>
      </c>
    </row>
    <row r="421" spans="1:1" x14ac:dyDescent="0.25">
      <c r="A421" t="str">
        <v>OVOLGRADMACPFORT</v>
      </c>
    </row>
    <row r="422" spans="1:1" x14ac:dyDescent="0.25">
      <c r="A422" t="str">
        <v>OVOLGRADMACPFAIBL</v>
      </c>
    </row>
    <row r="423" spans="1:1" x14ac:dyDescent="0.25">
      <c r="A423" t="str">
        <v>OVOLGRADMACP</v>
      </c>
    </row>
    <row r="424" spans="1:1" x14ac:dyDescent="0.25">
      <c r="A424" t="str">
        <v>OVOLGRADMACPJ</v>
      </c>
    </row>
    <row r="425" spans="1:1" x14ac:dyDescent="0.25">
      <c r="A425" t="str">
        <v>OVOLGRADMACJ</v>
      </c>
    </row>
    <row r="426" spans="1:1" x14ac:dyDescent="0.25">
      <c r="A426" t="str">
        <v>OVOLGRADMACRV</v>
      </c>
    </row>
    <row r="427" spans="1:1" x14ac:dyDescent="0.25">
      <c r="A427" t="str">
        <v>OVOLGRADMACRS</v>
      </c>
    </row>
    <row r="428" spans="1:1" x14ac:dyDescent="0.25">
      <c r="A428" t="str">
        <v>OVOLGRADMACFP</v>
      </c>
    </row>
    <row r="429" spans="1:1" x14ac:dyDescent="0.25">
      <c r="A429" t="str">
        <v>OVOLGRADMACPPTM</v>
      </c>
    </row>
    <row r="430" spans="1:1" x14ac:dyDescent="0.25">
      <c r="A430" t="str">
        <v>OVOLGRADMACT</v>
      </c>
    </row>
    <row r="431" spans="1:1" x14ac:dyDescent="0.25">
      <c r="A431" t="str">
        <v>OVOLGRADMREGAPRE</v>
      </c>
    </row>
    <row r="432" spans="1:1" x14ac:dyDescent="0.25">
      <c r="A432" t="str">
        <v>OVOLTOTADMAEC</v>
      </c>
    </row>
    <row r="433" spans="1:1" x14ac:dyDescent="0.25">
      <c r="A433" t="str">
        <v>OVOLTOTADMAEC2</v>
      </c>
    </row>
    <row r="434" spans="1:1" x14ac:dyDescent="0.25">
      <c r="A434" t="str">
        <v>OVOLTOTADMAEC3</v>
      </c>
    </row>
    <row r="435" spans="1:1" x14ac:dyDescent="0.25">
      <c r="A435" t="str">
        <v>OVOLTOTADMACA</v>
      </c>
    </row>
    <row r="436" spans="1:1" x14ac:dyDescent="0.25">
      <c r="A436" t="str">
        <v>OVOLTOTADMACA2</v>
      </c>
    </row>
    <row r="437" spans="1:1" x14ac:dyDescent="0.25">
      <c r="A437" t="str">
        <v>OVOLTOTADMACPROG</v>
      </c>
    </row>
    <row r="438" spans="1:1" x14ac:dyDescent="0.25">
      <c r="A438" t="str">
        <v>OVOLTOTADMACPIL</v>
      </c>
    </row>
    <row r="439" spans="1:1" x14ac:dyDescent="0.25">
      <c r="A439" t="str">
        <v>OVOLTOTADMACPIP</v>
      </c>
    </row>
    <row r="440" spans="1:1" x14ac:dyDescent="0.25">
      <c r="A440" t="str">
        <v>OVOLTOTADMACPFORT</v>
      </c>
    </row>
    <row r="441" spans="1:1" x14ac:dyDescent="0.25">
      <c r="A441" t="str">
        <v>OVOLTOTADMACPFAIBL</v>
      </c>
    </row>
    <row r="442" spans="1:1" x14ac:dyDescent="0.25">
      <c r="A442" t="str">
        <v>OVOLTOTADMACP</v>
      </c>
    </row>
    <row r="443" spans="1:1" x14ac:dyDescent="0.25">
      <c r="A443" t="str">
        <v>OVOLTOTADMACPJ</v>
      </c>
    </row>
    <row r="444" spans="1:1" x14ac:dyDescent="0.25">
      <c r="A444" t="str">
        <v>OVOLTOTADMACJ</v>
      </c>
    </row>
    <row r="445" spans="1:1" x14ac:dyDescent="0.25">
      <c r="A445" t="str">
        <v>OVOLTOTADMACRV</v>
      </c>
    </row>
    <row r="446" spans="1:1" x14ac:dyDescent="0.25">
      <c r="A446" t="str">
        <v>OVOLTOTADMACRS</v>
      </c>
    </row>
    <row r="447" spans="1:1" x14ac:dyDescent="0.25">
      <c r="A447" t="str">
        <v>OVOLTOTADMACFP</v>
      </c>
    </row>
    <row r="448" spans="1:1" x14ac:dyDescent="0.25">
      <c r="A448" t="str">
        <v>OVOLTOTADMACPPTM</v>
      </c>
    </row>
    <row r="449" spans="1:1" x14ac:dyDescent="0.25">
      <c r="A449" t="str">
        <v>OVOLTOTADMACT</v>
      </c>
    </row>
    <row r="450" spans="1:1" x14ac:dyDescent="0.25">
      <c r="A450" t="str">
        <v>OVOLTOTADMREGAPRE</v>
      </c>
    </row>
    <row r="451" spans="1:1" x14ac:dyDescent="0.25">
      <c r="A451" t="str">
        <v>OVOLTHOADMAEC</v>
      </c>
    </row>
    <row r="452" spans="1:1" x14ac:dyDescent="0.25">
      <c r="A452" t="str">
        <v>OVOLTHOADMAEC2</v>
      </c>
    </row>
    <row r="453" spans="1:1" x14ac:dyDescent="0.25">
      <c r="A453" t="str">
        <v>OVOLTHOADMAEC3</v>
      </c>
    </row>
    <row r="454" spans="1:1" x14ac:dyDescent="0.25">
      <c r="A454" t="str">
        <v>OVOLTHOADMACA</v>
      </c>
    </row>
    <row r="455" spans="1:1" x14ac:dyDescent="0.25">
      <c r="A455" t="str">
        <v>OVOLTHOADMACA2</v>
      </c>
    </row>
    <row r="456" spans="1:1" x14ac:dyDescent="0.25">
      <c r="A456" t="str">
        <v>OVOLTHOADMACPROG</v>
      </c>
    </row>
    <row r="457" spans="1:1" x14ac:dyDescent="0.25">
      <c r="A457" t="str">
        <v>OVOLTHOADMACPIL</v>
      </c>
    </row>
    <row r="458" spans="1:1" x14ac:dyDescent="0.25">
      <c r="A458" t="str">
        <v>OVOLTHOADMACPIP</v>
      </c>
    </row>
    <row r="459" spans="1:1" x14ac:dyDescent="0.25">
      <c r="A459" t="str">
        <v>OVOLTHOADMACPFORT</v>
      </c>
    </row>
    <row r="460" spans="1:1" x14ac:dyDescent="0.25">
      <c r="A460" t="str">
        <v>OVOLTHOADMACPFAIBL</v>
      </c>
    </row>
    <row r="461" spans="1:1" x14ac:dyDescent="0.25">
      <c r="A461" t="str">
        <v>OVOLTHOADMACP</v>
      </c>
    </row>
    <row r="462" spans="1:1" x14ac:dyDescent="0.25">
      <c r="A462" t="str">
        <v>OVOLTHOADMACPJ</v>
      </c>
    </row>
    <row r="463" spans="1:1" x14ac:dyDescent="0.25">
      <c r="A463" t="str">
        <v>OVOLTHOADMACJ</v>
      </c>
    </row>
    <row r="464" spans="1:1" x14ac:dyDescent="0.25">
      <c r="A464" t="str">
        <v>OVOLTHOADMACRV</v>
      </c>
    </row>
    <row r="465" spans="1:1" x14ac:dyDescent="0.25">
      <c r="A465" t="str">
        <v>OVOLTHOADMACRS</v>
      </c>
    </row>
    <row r="466" spans="1:1" x14ac:dyDescent="0.25">
      <c r="A466" t="str">
        <v>OVOLTHOADMACFP</v>
      </c>
    </row>
    <row r="467" spans="1:1" x14ac:dyDescent="0.25">
      <c r="A467" t="str">
        <v>OVOLTHOADMACPPTM</v>
      </c>
    </row>
    <row r="468" spans="1:1" x14ac:dyDescent="0.25">
      <c r="A468" t="str">
        <v>OVOLTHOADMACT</v>
      </c>
    </row>
    <row r="469" spans="1:1" x14ac:dyDescent="0.25">
      <c r="A469" t="str">
        <v>OVOLTHOADMREGAPRE</v>
      </c>
    </row>
    <row r="470" spans="1:1" x14ac:dyDescent="0.25">
      <c r="A470" t="str">
        <v>OVOLPRUADMAEC</v>
      </c>
    </row>
    <row r="471" spans="1:1" x14ac:dyDescent="0.25">
      <c r="A471" t="str">
        <v>OVOLPRUADMAEC2</v>
      </c>
    </row>
    <row r="472" spans="1:1" x14ac:dyDescent="0.25">
      <c r="A472" t="str">
        <v>OVOLPRUADMAEC3</v>
      </c>
    </row>
    <row r="473" spans="1:1" x14ac:dyDescent="0.25">
      <c r="A473" t="str">
        <v>OVOLPRUADMACA</v>
      </c>
    </row>
    <row r="474" spans="1:1" x14ac:dyDescent="0.25">
      <c r="A474" t="str">
        <v>OVOLPRUADMACA2</v>
      </c>
    </row>
    <row r="475" spans="1:1" x14ac:dyDescent="0.25">
      <c r="A475" t="str">
        <v>OVOLPRUADMACPROG</v>
      </c>
    </row>
    <row r="476" spans="1:1" x14ac:dyDescent="0.25">
      <c r="A476" t="str">
        <v>OVOLPRUADMACPIL</v>
      </c>
    </row>
    <row r="477" spans="1:1" x14ac:dyDescent="0.25">
      <c r="A477" t="str">
        <v>OVOLPRUADMACPIP</v>
      </c>
    </row>
    <row r="478" spans="1:1" x14ac:dyDescent="0.25">
      <c r="A478" t="str">
        <v>OVOLPRUADMACPFORT</v>
      </c>
    </row>
    <row r="479" spans="1:1" x14ac:dyDescent="0.25">
      <c r="A479" t="str">
        <v>OVOLPRUADMACPFAIBL</v>
      </c>
    </row>
    <row r="480" spans="1:1" x14ac:dyDescent="0.25">
      <c r="A480" t="str">
        <v>OVOLPRUADMACP</v>
      </c>
    </row>
    <row r="481" spans="1:1" x14ac:dyDescent="0.25">
      <c r="A481" t="str">
        <v>OVOLPRUADMACPJ</v>
      </c>
    </row>
    <row r="482" spans="1:1" x14ac:dyDescent="0.25">
      <c r="A482" t="str">
        <v>OVOLPRUADMACJ</v>
      </c>
    </row>
    <row r="483" spans="1:1" x14ac:dyDescent="0.25">
      <c r="A483" t="str">
        <v>OVOLPRUADMACRV</v>
      </c>
    </row>
    <row r="484" spans="1:1" x14ac:dyDescent="0.25">
      <c r="A484" t="str">
        <v>OVOLPRUADMACRS</v>
      </c>
    </row>
    <row r="485" spans="1:1" x14ac:dyDescent="0.25">
      <c r="A485" t="str">
        <v>OVOLPRUADMACFP</v>
      </c>
    </row>
    <row r="486" spans="1:1" x14ac:dyDescent="0.25">
      <c r="A486" t="str">
        <v>OVOLPRUADMACPPTM</v>
      </c>
    </row>
    <row r="487" spans="1:1" x14ac:dyDescent="0.25">
      <c r="A487" t="str">
        <v>OVOLPRUADMACT</v>
      </c>
    </row>
    <row r="488" spans="1:1" x14ac:dyDescent="0.25">
      <c r="A488" t="str">
        <v>OVOLPRUADMREGAPRE</v>
      </c>
    </row>
    <row r="489" spans="1:1" x14ac:dyDescent="0.25">
      <c r="A489" t="str">
        <v>OVOLNRTADMAEC</v>
      </c>
    </row>
    <row r="490" spans="1:1" x14ac:dyDescent="0.25">
      <c r="A490" t="str">
        <v>OVOLNRTADMAEC2</v>
      </c>
    </row>
    <row r="491" spans="1:1" x14ac:dyDescent="0.25">
      <c r="A491" t="str">
        <v>OVOLNRTADMAEC3</v>
      </c>
    </row>
    <row r="492" spans="1:1" x14ac:dyDescent="0.25">
      <c r="A492" t="str">
        <v>OVOLNRTADMACA</v>
      </c>
    </row>
    <row r="493" spans="1:1" x14ac:dyDescent="0.25">
      <c r="A493" t="str">
        <v>OVOLNRTADMACA2</v>
      </c>
    </row>
    <row r="494" spans="1:1" x14ac:dyDescent="0.25">
      <c r="A494" t="str">
        <v>OVOLNRTADMACPROG</v>
      </c>
    </row>
    <row r="495" spans="1:1" x14ac:dyDescent="0.25">
      <c r="A495" t="str">
        <v>OVOLNRTADMACPIL</v>
      </c>
    </row>
    <row r="496" spans="1:1" x14ac:dyDescent="0.25">
      <c r="A496" t="str">
        <v>OVOLNRTADMACPIP</v>
      </c>
    </row>
    <row r="497" spans="1:1" x14ac:dyDescent="0.25">
      <c r="A497" t="str">
        <v>OVOLNRTADMACPFORT</v>
      </c>
    </row>
    <row r="498" spans="1:1" x14ac:dyDescent="0.25">
      <c r="A498" t="str">
        <v>OVOLNRTADMACPFAIBL</v>
      </c>
    </row>
    <row r="499" spans="1:1" x14ac:dyDescent="0.25">
      <c r="A499" t="str">
        <v>OVOLNRTADMACP</v>
      </c>
    </row>
    <row r="500" spans="1:1" x14ac:dyDescent="0.25">
      <c r="A500" t="str">
        <v>OVOLNRTADMACPJ</v>
      </c>
    </row>
    <row r="501" spans="1:1" x14ac:dyDescent="0.25">
      <c r="A501" t="str">
        <v>OVOLNRTADMACJ</v>
      </c>
    </row>
    <row r="502" spans="1:1" x14ac:dyDescent="0.25">
      <c r="A502" t="str">
        <v>OVOLNRTADMACRV</v>
      </c>
    </row>
    <row r="503" spans="1:1" x14ac:dyDescent="0.25">
      <c r="A503" t="str">
        <v>OVOLNRTADMACRS</v>
      </c>
    </row>
    <row r="504" spans="1:1" x14ac:dyDescent="0.25">
      <c r="A504" t="str">
        <v>OVOLNRTADMACFP</v>
      </c>
    </row>
    <row r="505" spans="1:1" x14ac:dyDescent="0.25">
      <c r="A505" t="str">
        <v>OVOLNRTADMACPPTM</v>
      </c>
    </row>
    <row r="506" spans="1:1" x14ac:dyDescent="0.25">
      <c r="A506" t="str">
        <v>OVOLNRTADMACT</v>
      </c>
    </row>
    <row r="507" spans="1:1" x14ac:dyDescent="0.25">
      <c r="A507" t="str">
        <v>OVOLNRTADMREGAPRE</v>
      </c>
    </row>
    <row r="508" spans="1:1" x14ac:dyDescent="0.25">
      <c r="A508" t="str">
        <v>OVOLNRIADMAEC</v>
      </c>
    </row>
    <row r="509" spans="1:1" x14ac:dyDescent="0.25">
      <c r="A509" t="str">
        <v>OVOLNRIADMAEC2</v>
      </c>
    </row>
    <row r="510" spans="1:1" x14ac:dyDescent="0.25">
      <c r="A510" t="str">
        <v>OVOLNRIADMAEC3</v>
      </c>
    </row>
    <row r="511" spans="1:1" x14ac:dyDescent="0.25">
      <c r="A511" t="str">
        <v>OVOLNRIADMACA</v>
      </c>
    </row>
    <row r="512" spans="1:1" x14ac:dyDescent="0.25">
      <c r="A512" t="str">
        <v>OVOLNRIADMACA2</v>
      </c>
    </row>
    <row r="513" spans="1:1" x14ac:dyDescent="0.25">
      <c r="A513" t="str">
        <v>OVOLNRIADMACPROG</v>
      </c>
    </row>
    <row r="514" spans="1:1" x14ac:dyDescent="0.25">
      <c r="A514" t="str">
        <v>OVOLNRIADMACPIL</v>
      </c>
    </row>
    <row r="515" spans="1:1" x14ac:dyDescent="0.25">
      <c r="A515" t="str">
        <v>OVOLNRIADMACPIP</v>
      </c>
    </row>
    <row r="516" spans="1:1" x14ac:dyDescent="0.25">
      <c r="A516" t="str">
        <v>OVOLNRIADMACPFORT</v>
      </c>
    </row>
    <row r="517" spans="1:1" x14ac:dyDescent="0.25">
      <c r="A517" t="str">
        <v>OVOLNRIADMACPFAIBL</v>
      </c>
    </row>
    <row r="518" spans="1:1" x14ac:dyDescent="0.25">
      <c r="A518" t="str">
        <v>OVOLNRIADMACP</v>
      </c>
    </row>
    <row r="519" spans="1:1" x14ac:dyDescent="0.25">
      <c r="A519" t="str">
        <v>OVOLNRIADMACPJ</v>
      </c>
    </row>
    <row r="520" spans="1:1" x14ac:dyDescent="0.25">
      <c r="A520" t="str">
        <v>OVOLNRIADMACJ</v>
      </c>
    </row>
    <row r="521" spans="1:1" x14ac:dyDescent="0.25">
      <c r="A521" t="str">
        <v>OVOLNRIADMACRV</v>
      </c>
    </row>
    <row r="522" spans="1:1" x14ac:dyDescent="0.25">
      <c r="A522" t="str">
        <v>OVOLNRIADMACRS</v>
      </c>
    </row>
    <row r="523" spans="1:1" x14ac:dyDescent="0.25">
      <c r="A523" t="str">
        <v>OVOLNRIADMACFP</v>
      </c>
    </row>
    <row r="524" spans="1:1" x14ac:dyDescent="0.25">
      <c r="A524" t="str">
        <v>OVOLNRIADMACPPTM</v>
      </c>
    </row>
    <row r="525" spans="1:1" x14ac:dyDescent="0.25">
      <c r="A525" t="str">
        <v>OVOLNRIADMACT</v>
      </c>
    </row>
    <row r="526" spans="1:1" x14ac:dyDescent="0.25">
      <c r="A526" t="str">
        <v>OVOLNRIADMREGAPRE</v>
      </c>
    </row>
    <row r="527" spans="1:1" x14ac:dyDescent="0.25">
      <c r="A527" t="str">
        <v>OVOLNFIADMAEC</v>
      </c>
    </row>
    <row r="528" spans="1:1" x14ac:dyDescent="0.25">
      <c r="A528" t="str">
        <v>OVOLNFIADMAEC2</v>
      </c>
    </row>
    <row r="529" spans="1:1" x14ac:dyDescent="0.25">
      <c r="A529" t="str">
        <v>OVOLNFIADMAEC3</v>
      </c>
    </row>
    <row r="530" spans="1:1" x14ac:dyDescent="0.25">
      <c r="A530" t="str">
        <v>OVOLNFIADMACA</v>
      </c>
    </row>
    <row r="531" spans="1:1" x14ac:dyDescent="0.25">
      <c r="A531" t="str">
        <v>OVOLNFIADMACA2</v>
      </c>
    </row>
    <row r="532" spans="1:1" x14ac:dyDescent="0.25">
      <c r="A532" t="str">
        <v>OVOLNFIADMACPROG</v>
      </c>
    </row>
    <row r="533" spans="1:1" x14ac:dyDescent="0.25">
      <c r="A533" t="str">
        <v>OVOLNFIADMACPIL</v>
      </c>
    </row>
    <row r="534" spans="1:1" x14ac:dyDescent="0.25">
      <c r="A534" t="str">
        <v>OVOLNFIADMACPIP</v>
      </c>
    </row>
    <row r="535" spans="1:1" x14ac:dyDescent="0.25">
      <c r="A535" t="str">
        <v>OVOLNFIADMACPFORT</v>
      </c>
    </row>
    <row r="536" spans="1:1" x14ac:dyDescent="0.25">
      <c r="A536" t="str">
        <v>OVOLNFIADMACPFAIBL</v>
      </c>
    </row>
    <row r="537" spans="1:1" x14ac:dyDescent="0.25">
      <c r="A537" t="str">
        <v>OVOLNFIADMACP</v>
      </c>
    </row>
    <row r="538" spans="1:1" x14ac:dyDescent="0.25">
      <c r="A538" t="str">
        <v>OVOLNFIADMACPJ</v>
      </c>
    </row>
    <row r="539" spans="1:1" x14ac:dyDescent="0.25">
      <c r="A539" t="str">
        <v>OVOLNFIADMACJ</v>
      </c>
    </row>
    <row r="540" spans="1:1" x14ac:dyDescent="0.25">
      <c r="A540" t="str">
        <v>OVOLNFIADMACRV</v>
      </c>
    </row>
    <row r="541" spans="1:1" x14ac:dyDescent="0.25">
      <c r="A541" t="str">
        <v>OVOLNFIADMACRS</v>
      </c>
    </row>
    <row r="542" spans="1:1" x14ac:dyDescent="0.25">
      <c r="A542" t="str">
        <v>OVOLNFIADMACFP</v>
      </c>
    </row>
    <row r="543" spans="1:1" x14ac:dyDescent="0.25">
      <c r="A543" t="str">
        <v>OVOLNFIADMACPPTM</v>
      </c>
    </row>
    <row r="544" spans="1:1" x14ac:dyDescent="0.25">
      <c r="A544" t="str">
        <v>OVOLNFIADMACT</v>
      </c>
    </row>
    <row r="545" spans="1:1" x14ac:dyDescent="0.25">
      <c r="A545" t="str">
        <v>OVOLNFIADMREGAPRE</v>
      </c>
    </row>
    <row r="546" spans="1:1" x14ac:dyDescent="0.25">
      <c r="A546" t="str">
        <v>OVOLNFTADMAEC</v>
      </c>
    </row>
    <row r="547" spans="1:1" x14ac:dyDescent="0.25">
      <c r="A547" t="str">
        <v>OVOLNFTADMAEC2</v>
      </c>
    </row>
    <row r="548" spans="1:1" x14ac:dyDescent="0.25">
      <c r="A548" t="str">
        <v>OVOLNFTADMAEC3</v>
      </c>
    </row>
    <row r="549" spans="1:1" x14ac:dyDescent="0.25">
      <c r="A549" t="str">
        <v>OVOLNFTADMACA</v>
      </c>
    </row>
    <row r="550" spans="1:1" x14ac:dyDescent="0.25">
      <c r="A550" t="str">
        <v>OVOLNFTADMACA2</v>
      </c>
    </row>
    <row r="551" spans="1:1" x14ac:dyDescent="0.25">
      <c r="A551" t="str">
        <v>OVOLNFTADMACPROG</v>
      </c>
    </row>
    <row r="552" spans="1:1" x14ac:dyDescent="0.25">
      <c r="A552" t="str">
        <v>OVOLNFTADMACPIL</v>
      </c>
    </row>
    <row r="553" spans="1:1" x14ac:dyDescent="0.25">
      <c r="A553" t="str">
        <v>OVOLNFTADMACPIP</v>
      </c>
    </row>
    <row r="554" spans="1:1" x14ac:dyDescent="0.25">
      <c r="A554" t="str">
        <v>OVOLNFTADMACPFORT</v>
      </c>
    </row>
    <row r="555" spans="1:1" x14ac:dyDescent="0.25">
      <c r="A555" t="str">
        <v>OVOLNFTADMACPFAIBL</v>
      </c>
    </row>
    <row r="556" spans="1:1" x14ac:dyDescent="0.25">
      <c r="A556" t="str">
        <v>OVOLNFTADMACP</v>
      </c>
    </row>
    <row r="557" spans="1:1" x14ac:dyDescent="0.25">
      <c r="A557" t="str">
        <v>OVOLNFTADMACPJ</v>
      </c>
    </row>
    <row r="558" spans="1:1" x14ac:dyDescent="0.25">
      <c r="A558" t="str">
        <v>OVOLNFTADMACJ</v>
      </c>
    </row>
    <row r="559" spans="1:1" x14ac:dyDescent="0.25">
      <c r="A559" t="str">
        <v>OVOLNFTADMACRV</v>
      </c>
    </row>
    <row r="560" spans="1:1" x14ac:dyDescent="0.25">
      <c r="A560" t="str">
        <v>OVOLNFTADMACRS</v>
      </c>
    </row>
    <row r="561" spans="1:1" x14ac:dyDescent="0.25">
      <c r="A561" t="str">
        <v>OVOLNFTADMACFP</v>
      </c>
    </row>
    <row r="562" spans="1:1" x14ac:dyDescent="0.25">
      <c r="A562" t="str">
        <v>OVOLNFTADMACPPTM</v>
      </c>
    </row>
    <row r="563" spans="1:1" x14ac:dyDescent="0.25">
      <c r="A563" t="str">
        <v>OVOLNFTADMACT</v>
      </c>
    </row>
    <row r="564" spans="1:1" x14ac:dyDescent="0.25">
      <c r="A564" t="str">
        <v>OVOLNFTADMREGAPRE</v>
      </c>
    </row>
    <row r="565" spans="1:1" x14ac:dyDescent="0.25">
      <c r="A565" t="str">
        <v>OVOLMATUREADM</v>
      </c>
    </row>
    <row r="566" spans="1:1" x14ac:dyDescent="0.25">
      <c r="A566" t="str">
        <v>OVOLMATUREADM_LOCK</v>
      </c>
    </row>
    <row r="567" spans="1:1" x14ac:dyDescent="0.25">
      <c r="A567" t="str">
        <v>OVOLMATUREADM_DISP</v>
      </c>
    </row>
    <row r="568" spans="1:1" x14ac:dyDescent="0.25">
      <c r="A568" t="str">
        <v>OVOLBOJPIEDINC</v>
      </c>
    </row>
    <row r="569" spans="1:1" x14ac:dyDescent="0.25">
      <c r="A569" t="str">
        <v>OVOLERSPIEDINC</v>
      </c>
    </row>
    <row r="570" spans="1:1" x14ac:dyDescent="0.25">
      <c r="A570" t="str">
        <v>OVOLSABPIEDINC</v>
      </c>
    </row>
    <row r="571" spans="1:1" x14ac:dyDescent="0.25">
      <c r="A571" t="str">
        <v>OVOLGBPPIEDINC</v>
      </c>
    </row>
    <row r="572" spans="1:1" x14ac:dyDescent="0.25">
      <c r="A572" t="str">
        <v>OVOLGEROPIEDINC</v>
      </c>
    </row>
    <row r="573" spans="1:1" x14ac:dyDescent="0.25">
      <c r="A573" t="str">
        <v>OVOLGPEUPIEDINC</v>
      </c>
    </row>
    <row r="574" spans="1:1" x14ac:dyDescent="0.25">
      <c r="A574" t="str">
        <v>OVOLGFNPIEDINC</v>
      </c>
    </row>
    <row r="575" spans="1:1" x14ac:dyDescent="0.25">
      <c r="A575" t="str">
        <v>OVOLGHEGPIEDINC</v>
      </c>
    </row>
    <row r="576" spans="1:1" x14ac:dyDescent="0.25">
      <c r="A576" t="str">
        <v>OVOLGAURPIEDINC</v>
      </c>
    </row>
    <row r="577" spans="1:1" x14ac:dyDescent="0.25">
      <c r="A577" t="str">
        <v>OVOLGPINSPIEDINC</v>
      </c>
    </row>
    <row r="578" spans="1:1" x14ac:dyDescent="0.25">
      <c r="A578" t="str">
        <v>OVOLGEPXPIEDINC</v>
      </c>
    </row>
    <row r="579" spans="1:1" x14ac:dyDescent="0.25">
      <c r="A579" t="str">
        <v>OVOLGMLPIEDINC</v>
      </c>
    </row>
    <row r="580" spans="1:1" x14ac:dyDescent="0.25">
      <c r="A580" t="str">
        <v>OVOLGPGPIEDINC</v>
      </c>
    </row>
    <row r="581" spans="1:1" x14ac:dyDescent="0.25">
      <c r="A581" t="str">
        <v>OVOLGFIPIEDINC</v>
      </c>
    </row>
    <row r="582" spans="1:1" x14ac:dyDescent="0.25">
      <c r="A582" t="str">
        <v>OVOLGFTPIEDINC</v>
      </c>
    </row>
    <row r="583" spans="1:1" x14ac:dyDescent="0.25">
      <c r="A583" t="str">
        <v>OVOLGSEPMPIEDINC</v>
      </c>
    </row>
    <row r="584" spans="1:1" x14ac:dyDescent="0.25">
      <c r="A584" t="str">
        <v>OVOLGFPIEDINC</v>
      </c>
    </row>
    <row r="585" spans="1:1" x14ac:dyDescent="0.25">
      <c r="A585" t="str">
        <v>OVOLGRPIEDINC</v>
      </c>
    </row>
    <row r="586" spans="1:1" x14ac:dyDescent="0.25">
      <c r="A586" t="str">
        <v>OVOLTOTPIEDINC</v>
      </c>
    </row>
    <row r="587" spans="1:1" x14ac:dyDescent="0.25">
      <c r="A587" t="str">
        <v>OVOLTHOPIEDINC</v>
      </c>
    </row>
    <row r="588" spans="1:1" x14ac:dyDescent="0.25">
      <c r="A588" t="str">
        <v>OVOLPRUPIEDINC</v>
      </c>
    </row>
    <row r="589" spans="1:1" x14ac:dyDescent="0.25">
      <c r="A589" t="str">
        <v>OVOLNRTPIEDINC</v>
      </c>
    </row>
    <row r="590" spans="1:1" x14ac:dyDescent="0.25">
      <c r="A590" t="str">
        <v>OVOLNRIPIEDINC</v>
      </c>
    </row>
    <row r="591" spans="1:1" x14ac:dyDescent="0.25">
      <c r="A591" t="str">
        <v>OVOLNFIPIEDINC</v>
      </c>
    </row>
    <row r="592" spans="1:1" x14ac:dyDescent="0.25">
      <c r="A592" t="str">
        <v>OVOLNFTPIEDINC</v>
      </c>
    </row>
    <row r="593" spans="1:1" x14ac:dyDescent="0.25">
      <c r="A593" t="str">
        <v>OVOLBOJRECAEC</v>
      </c>
    </row>
    <row r="594" spans="1:1" x14ac:dyDescent="0.25">
      <c r="A594" t="str">
        <v>OVOLBOJRECAEC2</v>
      </c>
    </row>
    <row r="595" spans="1:1" x14ac:dyDescent="0.25">
      <c r="A595" t="str">
        <v>OVOLBOJRECAEC3</v>
      </c>
    </row>
    <row r="596" spans="1:1" x14ac:dyDescent="0.25">
      <c r="A596" t="str">
        <v>OVOLBOJRECACA</v>
      </c>
    </row>
    <row r="597" spans="1:1" x14ac:dyDescent="0.25">
      <c r="A597" t="str">
        <v>OVOLBOJRECACA2</v>
      </c>
    </row>
    <row r="598" spans="1:1" x14ac:dyDescent="0.25">
      <c r="A598" t="str">
        <v>OVOLBOJRECACPROG</v>
      </c>
    </row>
    <row r="599" spans="1:1" x14ac:dyDescent="0.25">
      <c r="A599" t="str">
        <v>OVOLBOJRECACPIL</v>
      </c>
    </row>
    <row r="600" spans="1:1" x14ac:dyDescent="0.25">
      <c r="A600" t="str">
        <v>OVOLBOJRECACPIP</v>
      </c>
    </row>
    <row r="601" spans="1:1" x14ac:dyDescent="0.25">
      <c r="A601" t="str">
        <v>OVOLBOJRECACPFORT</v>
      </c>
    </row>
    <row r="602" spans="1:1" x14ac:dyDescent="0.25">
      <c r="A602" t="str">
        <v>OVOLBOJRECACPFAIBL</v>
      </c>
    </row>
    <row r="603" spans="1:1" x14ac:dyDescent="0.25">
      <c r="A603" t="str">
        <v>OVOLBOJRECACP</v>
      </c>
    </row>
    <row r="604" spans="1:1" x14ac:dyDescent="0.25">
      <c r="A604" t="str">
        <v>OVOLBOJRECACPJ</v>
      </c>
    </row>
    <row r="605" spans="1:1" x14ac:dyDescent="0.25">
      <c r="A605" t="str">
        <v>OVOLBOJRECACJ</v>
      </c>
    </row>
    <row r="606" spans="1:1" x14ac:dyDescent="0.25">
      <c r="A606" t="str">
        <v>OVOLBOJRECACRV</v>
      </c>
    </row>
    <row r="607" spans="1:1" x14ac:dyDescent="0.25">
      <c r="A607" t="str">
        <v>OVOLBOJRECACRS</v>
      </c>
    </row>
    <row r="608" spans="1:1" x14ac:dyDescent="0.25">
      <c r="A608" t="str">
        <v>OVOLBOJRECACFP</v>
      </c>
    </row>
    <row r="609" spans="1:1" x14ac:dyDescent="0.25">
      <c r="A609" t="str">
        <v>OVOLBOJRECACPPTM</v>
      </c>
    </row>
    <row r="610" spans="1:1" x14ac:dyDescent="0.25">
      <c r="A610" t="str">
        <v>OVOLBOJRECACT</v>
      </c>
    </row>
    <row r="611" spans="1:1" x14ac:dyDescent="0.25">
      <c r="A611" t="str">
        <v>OVOLERSRECAEC</v>
      </c>
    </row>
    <row r="612" spans="1:1" x14ac:dyDescent="0.25">
      <c r="A612" t="str">
        <v>OVOLERSRECAEC2</v>
      </c>
    </row>
    <row r="613" spans="1:1" x14ac:dyDescent="0.25">
      <c r="A613" t="str">
        <v>OVOLERSRECAEC3</v>
      </c>
    </row>
    <row r="614" spans="1:1" x14ac:dyDescent="0.25">
      <c r="A614" t="str">
        <v>OVOLERSRECACA</v>
      </c>
    </row>
    <row r="615" spans="1:1" x14ac:dyDescent="0.25">
      <c r="A615" t="str">
        <v>OVOLERSRECACA2</v>
      </c>
    </row>
    <row r="616" spans="1:1" x14ac:dyDescent="0.25">
      <c r="A616" t="str">
        <v>OVOLERSRECACPROG</v>
      </c>
    </row>
    <row r="617" spans="1:1" x14ac:dyDescent="0.25">
      <c r="A617" t="str">
        <v>OVOLERSRECACPIL</v>
      </c>
    </row>
    <row r="618" spans="1:1" x14ac:dyDescent="0.25">
      <c r="A618" t="str">
        <v>OVOLERSRECACPIP</v>
      </c>
    </row>
    <row r="619" spans="1:1" x14ac:dyDescent="0.25">
      <c r="A619" t="str">
        <v>OVOLERSRECACPFORT</v>
      </c>
    </row>
    <row r="620" spans="1:1" x14ac:dyDescent="0.25">
      <c r="A620" t="str">
        <v>OVOLERSRECACPFAIBL</v>
      </c>
    </row>
    <row r="621" spans="1:1" x14ac:dyDescent="0.25">
      <c r="A621" t="str">
        <v>OVOLERSRECACP</v>
      </c>
    </row>
    <row r="622" spans="1:1" x14ac:dyDescent="0.25">
      <c r="A622" t="str">
        <v>OVOLERSRECACPJ</v>
      </c>
    </row>
    <row r="623" spans="1:1" x14ac:dyDescent="0.25">
      <c r="A623" t="str">
        <v>OVOLERSRECACJ</v>
      </c>
    </row>
    <row r="624" spans="1:1" x14ac:dyDescent="0.25">
      <c r="A624" t="str">
        <v>OVOLERSRECACRV</v>
      </c>
    </row>
    <row r="625" spans="1:1" x14ac:dyDescent="0.25">
      <c r="A625" t="str">
        <v>OVOLERSRECACRS</v>
      </c>
    </row>
    <row r="626" spans="1:1" x14ac:dyDescent="0.25">
      <c r="A626" t="str">
        <v>OVOLERSRECACFP</v>
      </c>
    </row>
    <row r="627" spans="1:1" x14ac:dyDescent="0.25">
      <c r="A627" t="str">
        <v>OVOLERSRECACPPTM</v>
      </c>
    </row>
    <row r="628" spans="1:1" x14ac:dyDescent="0.25">
      <c r="A628" t="str">
        <v>OVOLERSRECACT</v>
      </c>
    </row>
    <row r="629" spans="1:1" x14ac:dyDescent="0.25">
      <c r="A629" t="str">
        <v>OVOLSABRECAEC</v>
      </c>
    </row>
    <row r="630" spans="1:1" x14ac:dyDescent="0.25">
      <c r="A630" t="str">
        <v>OVOLSABRECAEC2</v>
      </c>
    </row>
    <row r="631" spans="1:1" x14ac:dyDescent="0.25">
      <c r="A631" t="str">
        <v>OVOLSABRECAEC3</v>
      </c>
    </row>
    <row r="632" spans="1:1" x14ac:dyDescent="0.25">
      <c r="A632" t="str">
        <v>OVOLSABRECACA</v>
      </c>
    </row>
    <row r="633" spans="1:1" x14ac:dyDescent="0.25">
      <c r="A633" t="str">
        <v>OVOLSABRECACA2</v>
      </c>
    </row>
    <row r="634" spans="1:1" x14ac:dyDescent="0.25">
      <c r="A634" t="str">
        <v>OVOLSABRECACPROG</v>
      </c>
    </row>
    <row r="635" spans="1:1" x14ac:dyDescent="0.25">
      <c r="A635" t="str">
        <v>OVOLSABRECACPIL</v>
      </c>
    </row>
    <row r="636" spans="1:1" x14ac:dyDescent="0.25">
      <c r="A636" t="str">
        <v>OVOLSABRECACPIP</v>
      </c>
    </row>
    <row r="637" spans="1:1" x14ac:dyDescent="0.25">
      <c r="A637" t="str">
        <v>OVOLSABRECACPFORT</v>
      </c>
    </row>
    <row r="638" spans="1:1" x14ac:dyDescent="0.25">
      <c r="A638" t="str">
        <v>OVOLSABRECACPFAIBL</v>
      </c>
    </row>
    <row r="639" spans="1:1" x14ac:dyDescent="0.25">
      <c r="A639" t="str">
        <v>OVOLSABRECACP</v>
      </c>
    </row>
    <row r="640" spans="1:1" x14ac:dyDescent="0.25">
      <c r="A640" t="str">
        <v>OVOLSABRECACPJ</v>
      </c>
    </row>
    <row r="641" spans="1:1" x14ac:dyDescent="0.25">
      <c r="A641" t="str">
        <v>OVOLSABRECACJ</v>
      </c>
    </row>
    <row r="642" spans="1:1" x14ac:dyDescent="0.25">
      <c r="A642" t="str">
        <v>OVOLSABRECACRV</v>
      </c>
    </row>
    <row r="643" spans="1:1" x14ac:dyDescent="0.25">
      <c r="A643" t="str">
        <v>OVOLSABRECACRS</v>
      </c>
    </row>
    <row r="644" spans="1:1" x14ac:dyDescent="0.25">
      <c r="A644" t="str">
        <v>OVOLSABRECACFP</v>
      </c>
    </row>
    <row r="645" spans="1:1" x14ac:dyDescent="0.25">
      <c r="A645" t="str">
        <v>OVOLSABRECACPPTM</v>
      </c>
    </row>
    <row r="646" spans="1:1" x14ac:dyDescent="0.25">
      <c r="A646" t="str">
        <v>OVOLSABRECACT</v>
      </c>
    </row>
    <row r="647" spans="1:1" x14ac:dyDescent="0.25">
      <c r="A647" t="str">
        <v>OVOLGBPRECAEC</v>
      </c>
    </row>
    <row r="648" spans="1:1" x14ac:dyDescent="0.25">
      <c r="A648" t="str">
        <v>OVOLGBPRECAEC2</v>
      </c>
    </row>
    <row r="649" spans="1:1" x14ac:dyDescent="0.25">
      <c r="A649" t="str">
        <v>OVOLGBPRECAEC3</v>
      </c>
    </row>
    <row r="650" spans="1:1" x14ac:dyDescent="0.25">
      <c r="A650" t="str">
        <v>OVOLGBPRECACA</v>
      </c>
    </row>
    <row r="651" spans="1:1" x14ac:dyDescent="0.25">
      <c r="A651" t="str">
        <v>OVOLGBPRECACA2</v>
      </c>
    </row>
    <row r="652" spans="1:1" x14ac:dyDescent="0.25">
      <c r="A652" t="str">
        <v>OVOLGBPRECACPROG</v>
      </c>
    </row>
    <row r="653" spans="1:1" x14ac:dyDescent="0.25">
      <c r="A653" t="str">
        <v>OVOLGBPRECACPIL</v>
      </c>
    </row>
    <row r="654" spans="1:1" x14ac:dyDescent="0.25">
      <c r="A654" t="str">
        <v>OVOLGBPRECACPIP</v>
      </c>
    </row>
    <row r="655" spans="1:1" x14ac:dyDescent="0.25">
      <c r="A655" t="str">
        <v>OVOLGBPRECACPFORT</v>
      </c>
    </row>
    <row r="656" spans="1:1" x14ac:dyDescent="0.25">
      <c r="A656" t="str">
        <v>OVOLGBPRECACPFAIBL</v>
      </c>
    </row>
    <row r="657" spans="1:1" x14ac:dyDescent="0.25">
      <c r="A657" t="str">
        <v>OVOLGBPRECACP</v>
      </c>
    </row>
    <row r="658" spans="1:1" x14ac:dyDescent="0.25">
      <c r="A658" t="str">
        <v>OVOLGBPRECACPJ</v>
      </c>
    </row>
    <row r="659" spans="1:1" x14ac:dyDescent="0.25">
      <c r="A659" t="str">
        <v>OVOLGBPRECACJ</v>
      </c>
    </row>
    <row r="660" spans="1:1" x14ac:dyDescent="0.25">
      <c r="A660" t="str">
        <v>OVOLGBPRECACRV</v>
      </c>
    </row>
    <row r="661" spans="1:1" x14ac:dyDescent="0.25">
      <c r="A661" t="str">
        <v>OVOLGBPRECACRS</v>
      </c>
    </row>
    <row r="662" spans="1:1" x14ac:dyDescent="0.25">
      <c r="A662" t="str">
        <v>OVOLGBPRECACFP</v>
      </c>
    </row>
    <row r="663" spans="1:1" x14ac:dyDescent="0.25">
      <c r="A663" t="str">
        <v>OVOLGBPRECACPPTM</v>
      </c>
    </row>
    <row r="664" spans="1:1" x14ac:dyDescent="0.25">
      <c r="A664" t="str">
        <v>OVOLGBPRECACT</v>
      </c>
    </row>
    <row r="665" spans="1:1" x14ac:dyDescent="0.25">
      <c r="A665" t="str">
        <v>OVOLGERORECAEC</v>
      </c>
    </row>
    <row r="666" spans="1:1" x14ac:dyDescent="0.25">
      <c r="A666" t="str">
        <v>OVOLGERORECAEC2</v>
      </c>
    </row>
    <row r="667" spans="1:1" x14ac:dyDescent="0.25">
      <c r="A667" t="str">
        <v>OVOLGERORECAEC3</v>
      </c>
    </row>
    <row r="668" spans="1:1" x14ac:dyDescent="0.25">
      <c r="A668" t="str">
        <v>OVOLGERORECACA</v>
      </c>
    </row>
    <row r="669" spans="1:1" x14ac:dyDescent="0.25">
      <c r="A669" t="str">
        <v>OVOLGERORECACA2</v>
      </c>
    </row>
    <row r="670" spans="1:1" x14ac:dyDescent="0.25">
      <c r="A670" t="str">
        <v>OVOLGERORECACPROG</v>
      </c>
    </row>
    <row r="671" spans="1:1" x14ac:dyDescent="0.25">
      <c r="A671" t="str">
        <v>OVOLGERORECACPIL</v>
      </c>
    </row>
    <row r="672" spans="1:1" x14ac:dyDescent="0.25">
      <c r="A672" t="str">
        <v>OVOLGERORECACPIP</v>
      </c>
    </row>
    <row r="673" spans="1:1" x14ac:dyDescent="0.25">
      <c r="A673" t="str">
        <v>OVOLGERORECACPFORT</v>
      </c>
    </row>
    <row r="674" spans="1:1" x14ac:dyDescent="0.25">
      <c r="A674" t="str">
        <v>OVOLGERORECACPFAIBL</v>
      </c>
    </row>
    <row r="675" spans="1:1" x14ac:dyDescent="0.25">
      <c r="A675" t="str">
        <v>OVOLGERORECACP</v>
      </c>
    </row>
    <row r="676" spans="1:1" x14ac:dyDescent="0.25">
      <c r="A676" t="str">
        <v>OVOLGERORECACPJ</v>
      </c>
    </row>
    <row r="677" spans="1:1" x14ac:dyDescent="0.25">
      <c r="A677" t="str">
        <v>OVOLGERORECACJ</v>
      </c>
    </row>
    <row r="678" spans="1:1" x14ac:dyDescent="0.25">
      <c r="A678" t="str">
        <v>OVOLGERORECACRV</v>
      </c>
    </row>
    <row r="679" spans="1:1" x14ac:dyDescent="0.25">
      <c r="A679" t="str">
        <v>OVOLGERORECACRS</v>
      </c>
    </row>
    <row r="680" spans="1:1" x14ac:dyDescent="0.25">
      <c r="A680" t="str">
        <v>OVOLGERORECACFP</v>
      </c>
    </row>
    <row r="681" spans="1:1" x14ac:dyDescent="0.25">
      <c r="A681" t="str">
        <v>OVOLGERORECACPPTM</v>
      </c>
    </row>
    <row r="682" spans="1:1" x14ac:dyDescent="0.25">
      <c r="A682" t="str">
        <v>OVOLGERORECACT</v>
      </c>
    </row>
    <row r="683" spans="1:1" x14ac:dyDescent="0.25">
      <c r="A683" t="str">
        <v>OVOLGPEURECAEC</v>
      </c>
    </row>
    <row r="684" spans="1:1" x14ac:dyDescent="0.25">
      <c r="A684" t="str">
        <v>OVOLGPEURECAEC2</v>
      </c>
    </row>
    <row r="685" spans="1:1" x14ac:dyDescent="0.25">
      <c r="A685" t="str">
        <v>OVOLGPEURECAEC3</v>
      </c>
    </row>
    <row r="686" spans="1:1" x14ac:dyDescent="0.25">
      <c r="A686" t="str">
        <v>OVOLGPEURECACA</v>
      </c>
    </row>
    <row r="687" spans="1:1" x14ac:dyDescent="0.25">
      <c r="A687" t="str">
        <v>OVOLGPEURECACA2</v>
      </c>
    </row>
    <row r="688" spans="1:1" x14ac:dyDescent="0.25">
      <c r="A688" t="str">
        <v>OVOLGPEURECACPROG</v>
      </c>
    </row>
    <row r="689" spans="1:1" x14ac:dyDescent="0.25">
      <c r="A689" t="str">
        <v>OVOLGPEURECACPIL</v>
      </c>
    </row>
    <row r="690" spans="1:1" x14ac:dyDescent="0.25">
      <c r="A690" t="str">
        <v>OVOLGPEURECACPIP</v>
      </c>
    </row>
    <row r="691" spans="1:1" x14ac:dyDescent="0.25">
      <c r="A691" t="str">
        <v>OVOLGPEURECACPFORT</v>
      </c>
    </row>
    <row r="692" spans="1:1" x14ac:dyDescent="0.25">
      <c r="A692" t="str">
        <v>OVOLGPEURECACPFAIBL</v>
      </c>
    </row>
    <row r="693" spans="1:1" x14ac:dyDescent="0.25">
      <c r="A693" t="str">
        <v>OVOLGPEURECACP</v>
      </c>
    </row>
    <row r="694" spans="1:1" x14ac:dyDescent="0.25">
      <c r="A694" t="str">
        <v>OVOLGPEURECACPJ</v>
      </c>
    </row>
    <row r="695" spans="1:1" x14ac:dyDescent="0.25">
      <c r="A695" t="str">
        <v>OVOLGPEURECACJ</v>
      </c>
    </row>
    <row r="696" spans="1:1" x14ac:dyDescent="0.25">
      <c r="A696" t="str">
        <v>OVOLGPEURECACRV</v>
      </c>
    </row>
    <row r="697" spans="1:1" x14ac:dyDescent="0.25">
      <c r="A697" t="str">
        <v>OVOLGPEURECACRS</v>
      </c>
    </row>
    <row r="698" spans="1:1" x14ac:dyDescent="0.25">
      <c r="A698" t="str">
        <v>OVOLGPEURECACFP</v>
      </c>
    </row>
    <row r="699" spans="1:1" x14ac:dyDescent="0.25">
      <c r="A699" t="str">
        <v>OVOLGPEURECACPPTM</v>
      </c>
    </row>
    <row r="700" spans="1:1" x14ac:dyDescent="0.25">
      <c r="A700" t="str">
        <v>OVOLGPEURECACT</v>
      </c>
    </row>
    <row r="701" spans="1:1" x14ac:dyDescent="0.25">
      <c r="A701" t="str">
        <v>OVOLGFNRECAEC</v>
      </c>
    </row>
    <row r="702" spans="1:1" x14ac:dyDescent="0.25">
      <c r="A702" t="str">
        <v>OVOLGFNRECAEC2</v>
      </c>
    </row>
    <row r="703" spans="1:1" x14ac:dyDescent="0.25">
      <c r="A703" t="str">
        <v>OVOLGFNRECAEC3</v>
      </c>
    </row>
    <row r="704" spans="1:1" x14ac:dyDescent="0.25">
      <c r="A704" t="str">
        <v>OVOLGFNRECACA</v>
      </c>
    </row>
    <row r="705" spans="1:1" x14ac:dyDescent="0.25">
      <c r="A705" t="str">
        <v>OVOLGFNRECACA2</v>
      </c>
    </row>
    <row r="706" spans="1:1" x14ac:dyDescent="0.25">
      <c r="A706" t="str">
        <v>OVOLGFNRECACPROG</v>
      </c>
    </row>
    <row r="707" spans="1:1" x14ac:dyDescent="0.25">
      <c r="A707" t="str">
        <v>OVOLGFNRECACPIL</v>
      </c>
    </row>
    <row r="708" spans="1:1" x14ac:dyDescent="0.25">
      <c r="A708" t="str">
        <v>OVOLGFNRECACPIP</v>
      </c>
    </row>
    <row r="709" spans="1:1" x14ac:dyDescent="0.25">
      <c r="A709" t="str">
        <v>OVOLGFNRECACPFORT</v>
      </c>
    </row>
    <row r="710" spans="1:1" x14ac:dyDescent="0.25">
      <c r="A710" t="str">
        <v>OVOLGFNRECACPFAIBL</v>
      </c>
    </row>
    <row r="711" spans="1:1" x14ac:dyDescent="0.25">
      <c r="A711" t="str">
        <v>OVOLGFNRECACP</v>
      </c>
    </row>
    <row r="712" spans="1:1" x14ac:dyDescent="0.25">
      <c r="A712" t="str">
        <v>OVOLGFNRECACPJ</v>
      </c>
    </row>
    <row r="713" spans="1:1" x14ac:dyDescent="0.25">
      <c r="A713" t="str">
        <v>OVOLGFNRECACJ</v>
      </c>
    </row>
    <row r="714" spans="1:1" x14ac:dyDescent="0.25">
      <c r="A714" t="str">
        <v>OVOLGFNRECACRV</v>
      </c>
    </row>
    <row r="715" spans="1:1" x14ac:dyDescent="0.25">
      <c r="A715" t="str">
        <v>OVOLGFNRECACRS</v>
      </c>
    </row>
    <row r="716" spans="1:1" x14ac:dyDescent="0.25">
      <c r="A716" t="str">
        <v>OVOLGFNRECACFP</v>
      </c>
    </row>
    <row r="717" spans="1:1" x14ac:dyDescent="0.25">
      <c r="A717" t="str">
        <v>OVOLGFNRECACPPTM</v>
      </c>
    </row>
    <row r="718" spans="1:1" x14ac:dyDescent="0.25">
      <c r="A718" t="str">
        <v>OVOLGFNRECACT</v>
      </c>
    </row>
    <row r="719" spans="1:1" x14ac:dyDescent="0.25">
      <c r="A719" t="str">
        <v>OVOLGHEGRECAEC</v>
      </c>
    </row>
    <row r="720" spans="1:1" x14ac:dyDescent="0.25">
      <c r="A720" t="str">
        <v>OVOLGHEGRECAEC2</v>
      </c>
    </row>
    <row r="721" spans="1:1" x14ac:dyDescent="0.25">
      <c r="A721" t="str">
        <v>OVOLGHEGRECAEC3</v>
      </c>
    </row>
    <row r="722" spans="1:1" x14ac:dyDescent="0.25">
      <c r="A722" t="str">
        <v>OVOLGHEGRECACA</v>
      </c>
    </row>
    <row r="723" spans="1:1" x14ac:dyDescent="0.25">
      <c r="A723" t="str">
        <v>OVOLGHEGRECACA2</v>
      </c>
    </row>
    <row r="724" spans="1:1" x14ac:dyDescent="0.25">
      <c r="A724" t="str">
        <v>OVOLGHEGRECACPROG</v>
      </c>
    </row>
    <row r="725" spans="1:1" x14ac:dyDescent="0.25">
      <c r="A725" t="str">
        <v>OVOLGHEGRECACPIL</v>
      </c>
    </row>
    <row r="726" spans="1:1" x14ac:dyDescent="0.25">
      <c r="A726" t="str">
        <v>OVOLGHEGRECACPIP</v>
      </c>
    </row>
    <row r="727" spans="1:1" x14ac:dyDescent="0.25">
      <c r="A727" t="str">
        <v>OVOLGHEGRECACPFORT</v>
      </c>
    </row>
    <row r="728" spans="1:1" x14ac:dyDescent="0.25">
      <c r="A728" t="str">
        <v>OVOLGHEGRECACPFAIBL</v>
      </c>
    </row>
    <row r="729" spans="1:1" x14ac:dyDescent="0.25">
      <c r="A729" t="str">
        <v>OVOLGHEGRECACP</v>
      </c>
    </row>
    <row r="730" spans="1:1" x14ac:dyDescent="0.25">
      <c r="A730" t="str">
        <v>OVOLGHEGRECACPJ</v>
      </c>
    </row>
    <row r="731" spans="1:1" x14ac:dyDescent="0.25">
      <c r="A731" t="str">
        <v>OVOLGHEGRECACJ</v>
      </c>
    </row>
    <row r="732" spans="1:1" x14ac:dyDescent="0.25">
      <c r="A732" t="str">
        <v>OVOLGHEGRECACRV</v>
      </c>
    </row>
    <row r="733" spans="1:1" x14ac:dyDescent="0.25">
      <c r="A733" t="str">
        <v>OVOLGHEGRECACRS</v>
      </c>
    </row>
    <row r="734" spans="1:1" x14ac:dyDescent="0.25">
      <c r="A734" t="str">
        <v>OVOLGHEGRECACFP</v>
      </c>
    </row>
    <row r="735" spans="1:1" x14ac:dyDescent="0.25">
      <c r="A735" t="str">
        <v>OVOLGHEGRECACPPTM</v>
      </c>
    </row>
    <row r="736" spans="1:1" x14ac:dyDescent="0.25">
      <c r="A736" t="str">
        <v>OVOLGHEGRECACT</v>
      </c>
    </row>
    <row r="737" spans="1:1" x14ac:dyDescent="0.25">
      <c r="A737" t="str">
        <v>OVOLGAURRECAEC</v>
      </c>
    </row>
    <row r="738" spans="1:1" x14ac:dyDescent="0.25">
      <c r="A738" t="str">
        <v>OVOLGAURRECAEC2</v>
      </c>
    </row>
    <row r="739" spans="1:1" x14ac:dyDescent="0.25">
      <c r="A739" t="str">
        <v>OVOLGAURRECAEC3</v>
      </c>
    </row>
    <row r="740" spans="1:1" x14ac:dyDescent="0.25">
      <c r="A740" t="str">
        <v>OVOLGAURRECACA</v>
      </c>
    </row>
    <row r="741" spans="1:1" x14ac:dyDescent="0.25">
      <c r="A741" t="str">
        <v>OVOLGAURRECACA2</v>
      </c>
    </row>
    <row r="742" spans="1:1" x14ac:dyDescent="0.25">
      <c r="A742" t="str">
        <v>OVOLGAURRECACPROG</v>
      </c>
    </row>
    <row r="743" spans="1:1" x14ac:dyDescent="0.25">
      <c r="A743" t="str">
        <v>OVOLGAURRECACPIL</v>
      </c>
    </row>
    <row r="744" spans="1:1" x14ac:dyDescent="0.25">
      <c r="A744" t="str">
        <v>OVOLGAURRECACPIP</v>
      </c>
    </row>
    <row r="745" spans="1:1" x14ac:dyDescent="0.25">
      <c r="A745" t="str">
        <v>OVOLGAURRECACPFORT</v>
      </c>
    </row>
    <row r="746" spans="1:1" x14ac:dyDescent="0.25">
      <c r="A746" t="str">
        <v>OVOLGAURRECACPFAIBL</v>
      </c>
    </row>
    <row r="747" spans="1:1" x14ac:dyDescent="0.25">
      <c r="A747" t="str">
        <v>OVOLGAURRECACP</v>
      </c>
    </row>
    <row r="748" spans="1:1" x14ac:dyDescent="0.25">
      <c r="A748" t="str">
        <v>OVOLGAURRECACPJ</v>
      </c>
    </row>
    <row r="749" spans="1:1" x14ac:dyDescent="0.25">
      <c r="A749" t="str">
        <v>OVOLGAURRECACJ</v>
      </c>
    </row>
    <row r="750" spans="1:1" x14ac:dyDescent="0.25">
      <c r="A750" t="str">
        <v>OVOLGAURRECACRV</v>
      </c>
    </row>
    <row r="751" spans="1:1" x14ac:dyDescent="0.25">
      <c r="A751" t="str">
        <v>OVOLGAURRECACRS</v>
      </c>
    </row>
    <row r="752" spans="1:1" x14ac:dyDescent="0.25">
      <c r="A752" t="str">
        <v>OVOLGAURRECACFP</v>
      </c>
    </row>
    <row r="753" spans="1:1" x14ac:dyDescent="0.25">
      <c r="A753" t="str">
        <v>OVOLGAURRECACPPTM</v>
      </c>
    </row>
    <row r="754" spans="1:1" x14ac:dyDescent="0.25">
      <c r="A754" t="str">
        <v>OVOLGAURRECACT</v>
      </c>
    </row>
    <row r="755" spans="1:1" x14ac:dyDescent="0.25">
      <c r="A755" t="str">
        <v>OVOLGPINSRECAEC</v>
      </c>
    </row>
    <row r="756" spans="1:1" x14ac:dyDescent="0.25">
      <c r="A756" t="str">
        <v>OVOLGPINSRECAEC2</v>
      </c>
    </row>
    <row r="757" spans="1:1" x14ac:dyDescent="0.25">
      <c r="A757" t="str">
        <v>OVOLGPINSRECAEC3</v>
      </c>
    </row>
    <row r="758" spans="1:1" x14ac:dyDescent="0.25">
      <c r="A758" t="str">
        <v>OVOLGPINSRECACA</v>
      </c>
    </row>
    <row r="759" spans="1:1" x14ac:dyDescent="0.25">
      <c r="A759" t="str">
        <v>OVOLGPINSRECACA2</v>
      </c>
    </row>
    <row r="760" spans="1:1" x14ac:dyDescent="0.25">
      <c r="A760" t="str">
        <v>OVOLGPINSRECACPROG</v>
      </c>
    </row>
    <row r="761" spans="1:1" x14ac:dyDescent="0.25">
      <c r="A761" t="str">
        <v>OVOLGPINSRECACPIL</v>
      </c>
    </row>
    <row r="762" spans="1:1" x14ac:dyDescent="0.25">
      <c r="A762" t="str">
        <v>OVOLGPINSRECACPIP</v>
      </c>
    </row>
    <row r="763" spans="1:1" x14ac:dyDescent="0.25">
      <c r="A763" t="str">
        <v>OVOLGPINSRECACPFORT</v>
      </c>
    </row>
    <row r="764" spans="1:1" x14ac:dyDescent="0.25">
      <c r="A764" t="str">
        <v>OVOLGPINSRECACPFAIBL</v>
      </c>
    </row>
    <row r="765" spans="1:1" x14ac:dyDescent="0.25">
      <c r="A765" t="str">
        <v>OVOLGPINSRECACP</v>
      </c>
    </row>
    <row r="766" spans="1:1" x14ac:dyDescent="0.25">
      <c r="A766" t="str">
        <v>OVOLGPINSRECACPJ</v>
      </c>
    </row>
    <row r="767" spans="1:1" x14ac:dyDescent="0.25">
      <c r="A767" t="str">
        <v>OVOLGPINSRECACJ</v>
      </c>
    </row>
    <row r="768" spans="1:1" x14ac:dyDescent="0.25">
      <c r="A768" t="str">
        <v>OVOLGPINSRECACRV</v>
      </c>
    </row>
    <row r="769" spans="1:1" x14ac:dyDescent="0.25">
      <c r="A769" t="str">
        <v>OVOLGPINSRECACRS</v>
      </c>
    </row>
    <row r="770" spans="1:1" x14ac:dyDescent="0.25">
      <c r="A770" t="str">
        <v>OVOLGPINSRECACFP</v>
      </c>
    </row>
    <row r="771" spans="1:1" x14ac:dyDescent="0.25">
      <c r="A771" t="str">
        <v>OVOLGPINSRECACPPTM</v>
      </c>
    </row>
    <row r="772" spans="1:1" x14ac:dyDescent="0.25">
      <c r="A772" t="str">
        <v>OVOLGPINSRECACT</v>
      </c>
    </row>
    <row r="773" spans="1:1" x14ac:dyDescent="0.25">
      <c r="A773" t="str">
        <v>OVOLGEPXRECAEC</v>
      </c>
    </row>
    <row r="774" spans="1:1" x14ac:dyDescent="0.25">
      <c r="A774" t="str">
        <v>OVOLGEPXRECAEC2</v>
      </c>
    </row>
    <row r="775" spans="1:1" x14ac:dyDescent="0.25">
      <c r="A775" t="str">
        <v>OVOLGEPXRECAEC3</v>
      </c>
    </row>
    <row r="776" spans="1:1" x14ac:dyDescent="0.25">
      <c r="A776" t="str">
        <v>OVOLGEPXRECACA</v>
      </c>
    </row>
    <row r="777" spans="1:1" x14ac:dyDescent="0.25">
      <c r="A777" t="str">
        <v>OVOLGEPXRECACA2</v>
      </c>
    </row>
    <row r="778" spans="1:1" x14ac:dyDescent="0.25">
      <c r="A778" t="str">
        <v>OVOLGEPXRECACPROG</v>
      </c>
    </row>
    <row r="779" spans="1:1" x14ac:dyDescent="0.25">
      <c r="A779" t="str">
        <v>OVOLGEPXRECACPIL</v>
      </c>
    </row>
    <row r="780" spans="1:1" x14ac:dyDescent="0.25">
      <c r="A780" t="str">
        <v>OVOLGEPXRECACPIP</v>
      </c>
    </row>
    <row r="781" spans="1:1" x14ac:dyDescent="0.25">
      <c r="A781" t="str">
        <v>OVOLGEPXRECACPFORT</v>
      </c>
    </row>
    <row r="782" spans="1:1" x14ac:dyDescent="0.25">
      <c r="A782" t="str">
        <v>OVOLGEPXRECACPFAIBL</v>
      </c>
    </row>
    <row r="783" spans="1:1" x14ac:dyDescent="0.25">
      <c r="A783" t="str">
        <v>OVOLGEPXRECACP</v>
      </c>
    </row>
    <row r="784" spans="1:1" x14ac:dyDescent="0.25">
      <c r="A784" t="str">
        <v>OVOLGEPXRECACPJ</v>
      </c>
    </row>
    <row r="785" spans="1:1" x14ac:dyDescent="0.25">
      <c r="A785" t="str">
        <v>OVOLGEPXRECACJ</v>
      </c>
    </row>
    <row r="786" spans="1:1" x14ac:dyDescent="0.25">
      <c r="A786" t="str">
        <v>OVOLGEPXRECACRV</v>
      </c>
    </row>
    <row r="787" spans="1:1" x14ac:dyDescent="0.25">
      <c r="A787" t="str">
        <v>OVOLGEPXRECACRS</v>
      </c>
    </row>
    <row r="788" spans="1:1" x14ac:dyDescent="0.25">
      <c r="A788" t="str">
        <v>OVOLGEPXRECACFP</v>
      </c>
    </row>
    <row r="789" spans="1:1" x14ac:dyDescent="0.25">
      <c r="A789" t="str">
        <v>OVOLGEPXRECACPPTM</v>
      </c>
    </row>
    <row r="790" spans="1:1" x14ac:dyDescent="0.25">
      <c r="A790" t="str">
        <v>OVOLGEPXRECACT</v>
      </c>
    </row>
    <row r="791" spans="1:1" x14ac:dyDescent="0.25">
      <c r="A791" t="str">
        <v>OVOLGMLRECAEC</v>
      </c>
    </row>
    <row r="792" spans="1:1" x14ac:dyDescent="0.25">
      <c r="A792" t="str">
        <v>OVOLGMLRECAEC2</v>
      </c>
    </row>
    <row r="793" spans="1:1" x14ac:dyDescent="0.25">
      <c r="A793" t="str">
        <v>OVOLGMLRECAEC3</v>
      </c>
    </row>
    <row r="794" spans="1:1" x14ac:dyDescent="0.25">
      <c r="A794" t="str">
        <v>OVOLGMLRECACA</v>
      </c>
    </row>
    <row r="795" spans="1:1" x14ac:dyDescent="0.25">
      <c r="A795" t="str">
        <v>OVOLGMLRECACA2</v>
      </c>
    </row>
    <row r="796" spans="1:1" x14ac:dyDescent="0.25">
      <c r="A796" t="str">
        <v>OVOLGMLRECACPROG</v>
      </c>
    </row>
    <row r="797" spans="1:1" x14ac:dyDescent="0.25">
      <c r="A797" t="str">
        <v>OVOLGMLRECACPIL</v>
      </c>
    </row>
    <row r="798" spans="1:1" x14ac:dyDescent="0.25">
      <c r="A798" t="str">
        <v>OVOLGMLRECACPIP</v>
      </c>
    </row>
    <row r="799" spans="1:1" x14ac:dyDescent="0.25">
      <c r="A799" t="str">
        <v>OVOLGMLRECACPFORT</v>
      </c>
    </row>
    <row r="800" spans="1:1" x14ac:dyDescent="0.25">
      <c r="A800" t="str">
        <v>OVOLGMLRECACPFAIBL</v>
      </c>
    </row>
    <row r="801" spans="1:1" x14ac:dyDescent="0.25">
      <c r="A801" t="str">
        <v>OVOLGMLRECACP</v>
      </c>
    </row>
    <row r="802" spans="1:1" x14ac:dyDescent="0.25">
      <c r="A802" t="str">
        <v>OVOLGMLRECACPJ</v>
      </c>
    </row>
    <row r="803" spans="1:1" x14ac:dyDescent="0.25">
      <c r="A803" t="str">
        <v>OVOLGMLRECACJ</v>
      </c>
    </row>
    <row r="804" spans="1:1" x14ac:dyDescent="0.25">
      <c r="A804" t="str">
        <v>OVOLGMLRECACRV</v>
      </c>
    </row>
    <row r="805" spans="1:1" x14ac:dyDescent="0.25">
      <c r="A805" t="str">
        <v>OVOLGMLRECACRS</v>
      </c>
    </row>
    <row r="806" spans="1:1" x14ac:dyDescent="0.25">
      <c r="A806" t="str">
        <v>OVOLGMLRECACFP</v>
      </c>
    </row>
    <row r="807" spans="1:1" x14ac:dyDescent="0.25">
      <c r="A807" t="str">
        <v>OVOLGMLRECACPPTM</v>
      </c>
    </row>
    <row r="808" spans="1:1" x14ac:dyDescent="0.25">
      <c r="A808" t="str">
        <v>OVOLGMLRECACT</v>
      </c>
    </row>
    <row r="809" spans="1:1" x14ac:dyDescent="0.25">
      <c r="A809" t="str">
        <v>OVOLGPGRECAEC</v>
      </c>
    </row>
    <row r="810" spans="1:1" x14ac:dyDescent="0.25">
      <c r="A810" t="str">
        <v>OVOLGPGRECAEC2</v>
      </c>
    </row>
    <row r="811" spans="1:1" x14ac:dyDescent="0.25">
      <c r="A811" t="str">
        <v>OVOLGPGRECAEC3</v>
      </c>
    </row>
    <row r="812" spans="1:1" x14ac:dyDescent="0.25">
      <c r="A812" t="str">
        <v>OVOLGPGRECACA</v>
      </c>
    </row>
    <row r="813" spans="1:1" x14ac:dyDescent="0.25">
      <c r="A813" t="str">
        <v>OVOLGPGRECACA2</v>
      </c>
    </row>
    <row r="814" spans="1:1" x14ac:dyDescent="0.25">
      <c r="A814" t="str">
        <v>OVOLGPGRECACPROG</v>
      </c>
    </row>
    <row r="815" spans="1:1" x14ac:dyDescent="0.25">
      <c r="A815" t="str">
        <v>OVOLGPGRECACPIL</v>
      </c>
    </row>
    <row r="816" spans="1:1" x14ac:dyDescent="0.25">
      <c r="A816" t="str">
        <v>OVOLGPGRECACPIP</v>
      </c>
    </row>
    <row r="817" spans="1:1" x14ac:dyDescent="0.25">
      <c r="A817" t="str">
        <v>OVOLGPGRECACPFORT</v>
      </c>
    </row>
    <row r="818" spans="1:1" x14ac:dyDescent="0.25">
      <c r="A818" t="str">
        <v>OVOLGPGRECACPFAIBL</v>
      </c>
    </row>
    <row r="819" spans="1:1" x14ac:dyDescent="0.25">
      <c r="A819" t="str">
        <v>OVOLGPGRECACP</v>
      </c>
    </row>
    <row r="820" spans="1:1" x14ac:dyDescent="0.25">
      <c r="A820" t="str">
        <v>OVOLGPGRECACPJ</v>
      </c>
    </row>
    <row r="821" spans="1:1" x14ac:dyDescent="0.25">
      <c r="A821" t="str">
        <v>OVOLGPGRECACJ</v>
      </c>
    </row>
    <row r="822" spans="1:1" x14ac:dyDescent="0.25">
      <c r="A822" t="str">
        <v>OVOLGPGRECACRV</v>
      </c>
    </row>
    <row r="823" spans="1:1" x14ac:dyDescent="0.25">
      <c r="A823" t="str">
        <v>OVOLGPGRECACRS</v>
      </c>
    </row>
    <row r="824" spans="1:1" x14ac:dyDescent="0.25">
      <c r="A824" t="str">
        <v>OVOLGPGRECACFP</v>
      </c>
    </row>
    <row r="825" spans="1:1" x14ac:dyDescent="0.25">
      <c r="A825" t="str">
        <v>OVOLGPGRECACPPTM</v>
      </c>
    </row>
    <row r="826" spans="1:1" x14ac:dyDescent="0.25">
      <c r="A826" t="str">
        <v>OVOLGPGRECACT</v>
      </c>
    </row>
    <row r="827" spans="1:1" x14ac:dyDescent="0.25">
      <c r="A827" t="str">
        <v>OVOLGFIRECAEC</v>
      </c>
    </row>
    <row r="828" spans="1:1" x14ac:dyDescent="0.25">
      <c r="A828" t="str">
        <v>OVOLGFIRECAEC2</v>
      </c>
    </row>
    <row r="829" spans="1:1" x14ac:dyDescent="0.25">
      <c r="A829" t="str">
        <v>OVOLGFIRECAEC3</v>
      </c>
    </row>
    <row r="830" spans="1:1" x14ac:dyDescent="0.25">
      <c r="A830" t="str">
        <v>OVOLGFIRECACA</v>
      </c>
    </row>
    <row r="831" spans="1:1" x14ac:dyDescent="0.25">
      <c r="A831" t="str">
        <v>OVOLGFIRECACA2</v>
      </c>
    </row>
    <row r="832" spans="1:1" x14ac:dyDescent="0.25">
      <c r="A832" t="str">
        <v>OVOLGFIRECACPROG</v>
      </c>
    </row>
    <row r="833" spans="1:1" x14ac:dyDescent="0.25">
      <c r="A833" t="str">
        <v>OVOLGFIRECACPIL</v>
      </c>
    </row>
    <row r="834" spans="1:1" x14ac:dyDescent="0.25">
      <c r="A834" t="str">
        <v>OVOLGFIRECACPIP</v>
      </c>
    </row>
    <row r="835" spans="1:1" x14ac:dyDescent="0.25">
      <c r="A835" t="str">
        <v>OVOLGFIRECACPFORT</v>
      </c>
    </row>
    <row r="836" spans="1:1" x14ac:dyDescent="0.25">
      <c r="A836" t="str">
        <v>OVOLGFIRECACPFAIBL</v>
      </c>
    </row>
    <row r="837" spans="1:1" x14ac:dyDescent="0.25">
      <c r="A837" t="str">
        <v>OVOLGFIRECACP</v>
      </c>
    </row>
    <row r="838" spans="1:1" x14ac:dyDescent="0.25">
      <c r="A838" t="str">
        <v>OVOLGFIRECACPJ</v>
      </c>
    </row>
    <row r="839" spans="1:1" x14ac:dyDescent="0.25">
      <c r="A839" t="str">
        <v>OVOLGFIRECACJ</v>
      </c>
    </row>
    <row r="840" spans="1:1" x14ac:dyDescent="0.25">
      <c r="A840" t="str">
        <v>OVOLGFIRECACRV</v>
      </c>
    </row>
    <row r="841" spans="1:1" x14ac:dyDescent="0.25">
      <c r="A841" t="str">
        <v>OVOLGFIRECACRS</v>
      </c>
    </row>
    <row r="842" spans="1:1" x14ac:dyDescent="0.25">
      <c r="A842" t="str">
        <v>OVOLGFIRECACFP</v>
      </c>
    </row>
    <row r="843" spans="1:1" x14ac:dyDescent="0.25">
      <c r="A843" t="str">
        <v>OVOLGFIRECACPPTM</v>
      </c>
    </row>
    <row r="844" spans="1:1" x14ac:dyDescent="0.25">
      <c r="A844" t="str">
        <v>OVOLGFIRECACT</v>
      </c>
    </row>
    <row r="845" spans="1:1" x14ac:dyDescent="0.25">
      <c r="A845" t="str">
        <v>OVOLGFTRECAEC</v>
      </c>
    </row>
    <row r="846" spans="1:1" x14ac:dyDescent="0.25">
      <c r="A846" t="str">
        <v>OVOLGFTRECAEC2</v>
      </c>
    </row>
    <row r="847" spans="1:1" x14ac:dyDescent="0.25">
      <c r="A847" t="str">
        <v>OVOLGFTRECAEC3</v>
      </c>
    </row>
    <row r="848" spans="1:1" x14ac:dyDescent="0.25">
      <c r="A848" t="str">
        <v>OVOLGFTRECACA</v>
      </c>
    </row>
    <row r="849" spans="1:1" x14ac:dyDescent="0.25">
      <c r="A849" t="str">
        <v>OVOLGFTRECACA2</v>
      </c>
    </row>
    <row r="850" spans="1:1" x14ac:dyDescent="0.25">
      <c r="A850" t="str">
        <v>OVOLGFTRECACPROG</v>
      </c>
    </row>
    <row r="851" spans="1:1" x14ac:dyDescent="0.25">
      <c r="A851" t="str">
        <v>OVOLGFTRECACPIL</v>
      </c>
    </row>
    <row r="852" spans="1:1" x14ac:dyDescent="0.25">
      <c r="A852" t="str">
        <v>OVOLGFTRECACPIP</v>
      </c>
    </row>
    <row r="853" spans="1:1" x14ac:dyDescent="0.25">
      <c r="A853" t="str">
        <v>OVOLGFTRECACPFORT</v>
      </c>
    </row>
    <row r="854" spans="1:1" x14ac:dyDescent="0.25">
      <c r="A854" t="str">
        <v>OVOLGFTRECACPFAIBL</v>
      </c>
    </row>
    <row r="855" spans="1:1" x14ac:dyDescent="0.25">
      <c r="A855" t="str">
        <v>OVOLGFTRECACP</v>
      </c>
    </row>
    <row r="856" spans="1:1" x14ac:dyDescent="0.25">
      <c r="A856" t="str">
        <v>OVOLGFTRECACPJ</v>
      </c>
    </row>
    <row r="857" spans="1:1" x14ac:dyDescent="0.25">
      <c r="A857" t="str">
        <v>OVOLGFTRECACJ</v>
      </c>
    </row>
    <row r="858" spans="1:1" x14ac:dyDescent="0.25">
      <c r="A858" t="str">
        <v>OVOLGFTRECACRV</v>
      </c>
    </row>
    <row r="859" spans="1:1" x14ac:dyDescent="0.25">
      <c r="A859" t="str">
        <v>OVOLGFTRECACRS</v>
      </c>
    </row>
    <row r="860" spans="1:1" x14ac:dyDescent="0.25">
      <c r="A860" t="str">
        <v>OVOLGFTRECACFP</v>
      </c>
    </row>
    <row r="861" spans="1:1" x14ac:dyDescent="0.25">
      <c r="A861" t="str">
        <v>OVOLGFTRECACPPTM</v>
      </c>
    </row>
    <row r="862" spans="1:1" x14ac:dyDescent="0.25">
      <c r="A862" t="str">
        <v>OVOLGFTRECACT</v>
      </c>
    </row>
    <row r="863" spans="1:1" x14ac:dyDescent="0.25">
      <c r="A863" t="str">
        <v>OVOLGSEPMRECAEC</v>
      </c>
    </row>
    <row r="864" spans="1:1" x14ac:dyDescent="0.25">
      <c r="A864" t="str">
        <v>OVOLGSEPMRECAEC2</v>
      </c>
    </row>
    <row r="865" spans="1:1" x14ac:dyDescent="0.25">
      <c r="A865" t="str">
        <v>OVOLGSEPMRECAEC3</v>
      </c>
    </row>
    <row r="866" spans="1:1" x14ac:dyDescent="0.25">
      <c r="A866" t="str">
        <v>OVOLGSEPMRECACA</v>
      </c>
    </row>
    <row r="867" spans="1:1" x14ac:dyDescent="0.25">
      <c r="A867" t="str">
        <v>OVOLGSEPMRECACA2</v>
      </c>
    </row>
    <row r="868" spans="1:1" x14ac:dyDescent="0.25">
      <c r="A868" t="str">
        <v>OVOLGSEPMRECACPROG</v>
      </c>
    </row>
    <row r="869" spans="1:1" x14ac:dyDescent="0.25">
      <c r="A869" t="str">
        <v>OVOLGSEPMRECACPIL</v>
      </c>
    </row>
    <row r="870" spans="1:1" x14ac:dyDescent="0.25">
      <c r="A870" t="str">
        <v>OVOLGSEPMRECACPIP</v>
      </c>
    </row>
    <row r="871" spans="1:1" x14ac:dyDescent="0.25">
      <c r="A871" t="str">
        <v>OVOLGSEPMRECACPFORT</v>
      </c>
    </row>
    <row r="872" spans="1:1" x14ac:dyDescent="0.25">
      <c r="A872" t="str">
        <v>OVOLGSEPMRECACPFAIBL</v>
      </c>
    </row>
    <row r="873" spans="1:1" x14ac:dyDescent="0.25">
      <c r="A873" t="str">
        <v>OVOLGSEPMRECACP</v>
      </c>
    </row>
    <row r="874" spans="1:1" x14ac:dyDescent="0.25">
      <c r="A874" t="str">
        <v>OVOLGSEPMRECACPJ</v>
      </c>
    </row>
    <row r="875" spans="1:1" x14ac:dyDescent="0.25">
      <c r="A875" t="str">
        <v>OVOLGSEPMRECACJ</v>
      </c>
    </row>
    <row r="876" spans="1:1" x14ac:dyDescent="0.25">
      <c r="A876" t="str">
        <v>OVOLGSEPMRECACRV</v>
      </c>
    </row>
    <row r="877" spans="1:1" x14ac:dyDescent="0.25">
      <c r="A877" t="str">
        <v>OVOLGSEPMRECACRS</v>
      </c>
    </row>
    <row r="878" spans="1:1" x14ac:dyDescent="0.25">
      <c r="A878" t="str">
        <v>OVOLGSEPMRECACFP</v>
      </c>
    </row>
    <row r="879" spans="1:1" x14ac:dyDescent="0.25">
      <c r="A879" t="str">
        <v>OVOLGSEPMRECACPPTM</v>
      </c>
    </row>
    <row r="880" spans="1:1" x14ac:dyDescent="0.25">
      <c r="A880" t="str">
        <v>OVOLGSEPMRECACT</v>
      </c>
    </row>
    <row r="881" spans="1:1" x14ac:dyDescent="0.25">
      <c r="A881" t="str">
        <v>OVOLGSEPMRECREGAFINACRV</v>
      </c>
    </row>
    <row r="882" spans="1:1" x14ac:dyDescent="0.25">
      <c r="A882" t="str">
        <v>OVOLGSEPMRECREGAFINACRS</v>
      </c>
    </row>
    <row r="883" spans="1:1" x14ac:dyDescent="0.25">
      <c r="A883" t="str">
        <v>OVOLGSEPMRECREGAFINACFP</v>
      </c>
    </row>
    <row r="884" spans="1:1" x14ac:dyDescent="0.25">
      <c r="A884" t="str">
        <v>OVOLGSEPMRECREGAFINACPPTM</v>
      </c>
    </row>
    <row r="885" spans="1:1" x14ac:dyDescent="0.25">
      <c r="A885" t="str">
        <v>OVOLGSEPMRECREGAFINACT</v>
      </c>
    </row>
    <row r="886" spans="1:1" x14ac:dyDescent="0.25">
      <c r="A886" t="str">
        <v>OVOLGFRECAEC</v>
      </c>
    </row>
    <row r="887" spans="1:1" x14ac:dyDescent="0.25">
      <c r="A887" t="str">
        <v>OVOLGFRECAEC2</v>
      </c>
    </row>
    <row r="888" spans="1:1" x14ac:dyDescent="0.25">
      <c r="A888" t="str">
        <v>OVOLGFRECAEC3</v>
      </c>
    </row>
    <row r="889" spans="1:1" x14ac:dyDescent="0.25">
      <c r="A889" t="str">
        <v>OVOLGFRECACA</v>
      </c>
    </row>
    <row r="890" spans="1:1" x14ac:dyDescent="0.25">
      <c r="A890" t="str">
        <v>OVOLGFRECACA2</v>
      </c>
    </row>
    <row r="891" spans="1:1" x14ac:dyDescent="0.25">
      <c r="A891" t="str">
        <v>OVOLGFRECACPROG</v>
      </c>
    </row>
    <row r="892" spans="1:1" x14ac:dyDescent="0.25">
      <c r="A892" t="str">
        <v>OVOLGFRECACPIL</v>
      </c>
    </row>
    <row r="893" spans="1:1" x14ac:dyDescent="0.25">
      <c r="A893" t="str">
        <v>OVOLGFRECACPIP</v>
      </c>
    </row>
    <row r="894" spans="1:1" x14ac:dyDescent="0.25">
      <c r="A894" t="str">
        <v>OVOLGFRECACPFORT</v>
      </c>
    </row>
    <row r="895" spans="1:1" x14ac:dyDescent="0.25">
      <c r="A895" t="str">
        <v>OVOLGFRECACPFAIBL</v>
      </c>
    </row>
    <row r="896" spans="1:1" x14ac:dyDescent="0.25">
      <c r="A896" t="str">
        <v>OVOLGFRECACP</v>
      </c>
    </row>
    <row r="897" spans="1:1" x14ac:dyDescent="0.25">
      <c r="A897" t="str">
        <v>OVOLGFRECACPJ</v>
      </c>
    </row>
    <row r="898" spans="1:1" x14ac:dyDescent="0.25">
      <c r="A898" t="str">
        <v>OVOLGFRECACJ</v>
      </c>
    </row>
    <row r="899" spans="1:1" x14ac:dyDescent="0.25">
      <c r="A899" t="str">
        <v>OVOLGFRECACRV</v>
      </c>
    </row>
    <row r="900" spans="1:1" x14ac:dyDescent="0.25">
      <c r="A900" t="str">
        <v>OVOLGFRECACRS</v>
      </c>
    </row>
    <row r="901" spans="1:1" x14ac:dyDescent="0.25">
      <c r="A901" t="str">
        <v>OVOLGFRECACFP</v>
      </c>
    </row>
    <row r="902" spans="1:1" x14ac:dyDescent="0.25">
      <c r="A902" t="str">
        <v>OVOLGFRECACPPTM</v>
      </c>
    </row>
    <row r="903" spans="1:1" x14ac:dyDescent="0.25">
      <c r="A903" t="str">
        <v>OVOLGFRECACT</v>
      </c>
    </row>
    <row r="904" spans="1:1" x14ac:dyDescent="0.25">
      <c r="A904" t="str">
        <v>OVOLGRRECAEC</v>
      </c>
    </row>
    <row r="905" spans="1:1" x14ac:dyDescent="0.25">
      <c r="A905" t="str">
        <v>OVOLGRRECAEC2</v>
      </c>
    </row>
    <row r="906" spans="1:1" x14ac:dyDescent="0.25">
      <c r="A906" t="str">
        <v>OVOLGRRECAEC3</v>
      </c>
    </row>
    <row r="907" spans="1:1" x14ac:dyDescent="0.25">
      <c r="A907" t="str">
        <v>OVOLGRRECACA</v>
      </c>
    </row>
    <row r="908" spans="1:1" x14ac:dyDescent="0.25">
      <c r="A908" t="str">
        <v>OVOLGRRECACA2</v>
      </c>
    </row>
    <row r="909" spans="1:1" x14ac:dyDescent="0.25">
      <c r="A909" t="str">
        <v>OVOLGRRECACPROG</v>
      </c>
    </row>
    <row r="910" spans="1:1" x14ac:dyDescent="0.25">
      <c r="A910" t="str">
        <v>OVOLGRRECACPIL</v>
      </c>
    </row>
    <row r="911" spans="1:1" x14ac:dyDescent="0.25">
      <c r="A911" t="str">
        <v>OVOLGRRECACPIP</v>
      </c>
    </row>
    <row r="912" spans="1:1" x14ac:dyDescent="0.25">
      <c r="A912" t="str">
        <v>OVOLGRRECACPFORT</v>
      </c>
    </row>
    <row r="913" spans="1:1" x14ac:dyDescent="0.25">
      <c r="A913" t="str">
        <v>OVOLGRRECACPFAIBL</v>
      </c>
    </row>
    <row r="914" spans="1:1" x14ac:dyDescent="0.25">
      <c r="A914" t="str">
        <v>OVOLGRRECACP</v>
      </c>
    </row>
    <row r="915" spans="1:1" x14ac:dyDescent="0.25">
      <c r="A915" t="str">
        <v>OVOLGRRECACPJ</v>
      </c>
    </row>
    <row r="916" spans="1:1" x14ac:dyDescent="0.25">
      <c r="A916" t="str">
        <v>OVOLGRRECACJ</v>
      </c>
    </row>
    <row r="917" spans="1:1" x14ac:dyDescent="0.25">
      <c r="A917" t="str">
        <v>OVOLGRRECACRV</v>
      </c>
    </row>
    <row r="918" spans="1:1" x14ac:dyDescent="0.25">
      <c r="A918" t="str">
        <v>OVOLGRRECACRS</v>
      </c>
    </row>
    <row r="919" spans="1:1" x14ac:dyDescent="0.25">
      <c r="A919" t="str">
        <v>OVOLGRRECACFP</v>
      </c>
    </row>
    <row r="920" spans="1:1" x14ac:dyDescent="0.25">
      <c r="A920" t="str">
        <v>OVOLGRRECACPPTM</v>
      </c>
    </row>
    <row r="921" spans="1:1" x14ac:dyDescent="0.25">
      <c r="A921" t="str">
        <v>OVOLGRRECACT</v>
      </c>
    </row>
    <row r="922" spans="1:1" x14ac:dyDescent="0.25">
      <c r="A922" t="str">
        <v>OVOLTOTRECAEC</v>
      </c>
    </row>
    <row r="923" spans="1:1" x14ac:dyDescent="0.25">
      <c r="A923" t="str">
        <v>OVOLTOTRECAEC2</v>
      </c>
    </row>
    <row r="924" spans="1:1" x14ac:dyDescent="0.25">
      <c r="A924" t="str">
        <v>OVOLTOTRECAEC3</v>
      </c>
    </row>
    <row r="925" spans="1:1" x14ac:dyDescent="0.25">
      <c r="A925" t="str">
        <v>OVOLTOTRECACA</v>
      </c>
    </row>
    <row r="926" spans="1:1" x14ac:dyDescent="0.25">
      <c r="A926" t="str">
        <v>OVOLTOTRECACA2</v>
      </c>
    </row>
    <row r="927" spans="1:1" x14ac:dyDescent="0.25">
      <c r="A927" t="str">
        <v>OVOLTOTRECACPROG</v>
      </c>
    </row>
    <row r="928" spans="1:1" x14ac:dyDescent="0.25">
      <c r="A928" t="str">
        <v>OVOLTOTRECACPIL</v>
      </c>
    </row>
    <row r="929" spans="1:1" x14ac:dyDescent="0.25">
      <c r="A929" t="str">
        <v>OVOLTOTRECACPIP</v>
      </c>
    </row>
    <row r="930" spans="1:1" x14ac:dyDescent="0.25">
      <c r="A930" t="str">
        <v>OVOLTOTRECACPFORT</v>
      </c>
    </row>
    <row r="931" spans="1:1" x14ac:dyDescent="0.25">
      <c r="A931" t="str">
        <v>OVOLTOTRECACPFAIBL</v>
      </c>
    </row>
    <row r="932" spans="1:1" x14ac:dyDescent="0.25">
      <c r="A932" t="str">
        <v>OVOLTOTRECACP</v>
      </c>
    </row>
    <row r="933" spans="1:1" x14ac:dyDescent="0.25">
      <c r="A933" t="str">
        <v>OVOLTOTRECACPJ</v>
      </c>
    </row>
    <row r="934" spans="1:1" x14ac:dyDescent="0.25">
      <c r="A934" t="str">
        <v>OVOLTOTRECACJ</v>
      </c>
    </row>
    <row r="935" spans="1:1" x14ac:dyDescent="0.25">
      <c r="A935" t="str">
        <v>OVOLTOTRECACRV</v>
      </c>
    </row>
    <row r="936" spans="1:1" x14ac:dyDescent="0.25">
      <c r="A936" t="str">
        <v>OVOLTOTRECACRS</v>
      </c>
    </row>
    <row r="937" spans="1:1" x14ac:dyDescent="0.25">
      <c r="A937" t="str">
        <v>OVOLTOTRECACFP</v>
      </c>
    </row>
    <row r="938" spans="1:1" x14ac:dyDescent="0.25">
      <c r="A938" t="str">
        <v>OVOLTOTRECACPPTM</v>
      </c>
    </row>
    <row r="939" spans="1:1" x14ac:dyDescent="0.25">
      <c r="A939" t="str">
        <v>OVOLTOTRECACT</v>
      </c>
    </row>
    <row r="940" spans="1:1" x14ac:dyDescent="0.25">
      <c r="A940" t="str">
        <v>OVOLTHORECAEC</v>
      </c>
    </row>
    <row r="941" spans="1:1" x14ac:dyDescent="0.25">
      <c r="A941" t="str">
        <v>OVOLTHORECAEC2</v>
      </c>
    </row>
    <row r="942" spans="1:1" x14ac:dyDescent="0.25">
      <c r="A942" t="str">
        <v>OVOLTHORECAEC3</v>
      </c>
    </row>
    <row r="943" spans="1:1" x14ac:dyDescent="0.25">
      <c r="A943" t="str">
        <v>OVOLTHORECACA</v>
      </c>
    </row>
    <row r="944" spans="1:1" x14ac:dyDescent="0.25">
      <c r="A944" t="str">
        <v>OVOLTHORECACA2</v>
      </c>
    </row>
    <row r="945" spans="1:1" x14ac:dyDescent="0.25">
      <c r="A945" t="str">
        <v>OVOLTHORECACPROG</v>
      </c>
    </row>
    <row r="946" spans="1:1" x14ac:dyDescent="0.25">
      <c r="A946" t="str">
        <v>OVOLTHORECACPIL</v>
      </c>
    </row>
    <row r="947" spans="1:1" x14ac:dyDescent="0.25">
      <c r="A947" t="str">
        <v>OVOLTHORECACPIP</v>
      </c>
    </row>
    <row r="948" spans="1:1" x14ac:dyDescent="0.25">
      <c r="A948" t="str">
        <v>OVOLTHORECACPFORT</v>
      </c>
    </row>
    <row r="949" spans="1:1" x14ac:dyDescent="0.25">
      <c r="A949" t="str">
        <v>OVOLTHORECACPFAIBL</v>
      </c>
    </row>
    <row r="950" spans="1:1" x14ac:dyDescent="0.25">
      <c r="A950" t="str">
        <v>OVOLTHORECACP</v>
      </c>
    </row>
    <row r="951" spans="1:1" x14ac:dyDescent="0.25">
      <c r="A951" t="str">
        <v>OVOLTHORECACPJ</v>
      </c>
    </row>
    <row r="952" spans="1:1" x14ac:dyDescent="0.25">
      <c r="A952" t="str">
        <v>OVOLTHORECACJ</v>
      </c>
    </row>
    <row r="953" spans="1:1" x14ac:dyDescent="0.25">
      <c r="A953" t="str">
        <v>OVOLTHORECACRV</v>
      </c>
    </row>
    <row r="954" spans="1:1" x14ac:dyDescent="0.25">
      <c r="A954" t="str">
        <v>OVOLTHORECACRS</v>
      </c>
    </row>
    <row r="955" spans="1:1" x14ac:dyDescent="0.25">
      <c r="A955" t="str">
        <v>OVOLTHORECACFP</v>
      </c>
    </row>
    <row r="956" spans="1:1" x14ac:dyDescent="0.25">
      <c r="A956" t="str">
        <v>OVOLTHORECACPPTM</v>
      </c>
    </row>
    <row r="957" spans="1:1" x14ac:dyDescent="0.25">
      <c r="A957" t="str">
        <v>OVOLTHORECACT</v>
      </c>
    </row>
    <row r="958" spans="1:1" x14ac:dyDescent="0.25">
      <c r="A958" t="str">
        <v>OVOLPRURECAEC</v>
      </c>
    </row>
    <row r="959" spans="1:1" x14ac:dyDescent="0.25">
      <c r="A959" t="str">
        <v>OVOLPRURECAEC2</v>
      </c>
    </row>
    <row r="960" spans="1:1" x14ac:dyDescent="0.25">
      <c r="A960" t="str">
        <v>OVOLPRURECAEC3</v>
      </c>
    </row>
    <row r="961" spans="1:1" x14ac:dyDescent="0.25">
      <c r="A961" t="str">
        <v>OVOLPRURECACA</v>
      </c>
    </row>
    <row r="962" spans="1:1" x14ac:dyDescent="0.25">
      <c r="A962" t="str">
        <v>OVOLPRURECACA2</v>
      </c>
    </row>
    <row r="963" spans="1:1" x14ac:dyDescent="0.25">
      <c r="A963" t="str">
        <v>OVOLPRURECACPROG</v>
      </c>
    </row>
    <row r="964" spans="1:1" x14ac:dyDescent="0.25">
      <c r="A964" t="str">
        <v>OVOLPRURECACPIL</v>
      </c>
    </row>
    <row r="965" spans="1:1" x14ac:dyDescent="0.25">
      <c r="A965" t="str">
        <v>OVOLPRURECACPIP</v>
      </c>
    </row>
    <row r="966" spans="1:1" x14ac:dyDescent="0.25">
      <c r="A966" t="str">
        <v>OVOLPRURECACPFORT</v>
      </c>
    </row>
    <row r="967" spans="1:1" x14ac:dyDescent="0.25">
      <c r="A967" t="str">
        <v>OVOLPRURECACPFAIBL</v>
      </c>
    </row>
    <row r="968" spans="1:1" x14ac:dyDescent="0.25">
      <c r="A968" t="str">
        <v>OVOLPRURECACP</v>
      </c>
    </row>
    <row r="969" spans="1:1" x14ac:dyDescent="0.25">
      <c r="A969" t="str">
        <v>OVOLPRURECACPJ</v>
      </c>
    </row>
    <row r="970" spans="1:1" x14ac:dyDescent="0.25">
      <c r="A970" t="str">
        <v>OVOLPRURECACJ</v>
      </c>
    </row>
    <row r="971" spans="1:1" x14ac:dyDescent="0.25">
      <c r="A971" t="str">
        <v>OVOLPRURECACRV</v>
      </c>
    </row>
    <row r="972" spans="1:1" x14ac:dyDescent="0.25">
      <c r="A972" t="str">
        <v>OVOLPRURECACRS</v>
      </c>
    </row>
    <row r="973" spans="1:1" x14ac:dyDescent="0.25">
      <c r="A973" t="str">
        <v>OVOLPRURECACFP</v>
      </c>
    </row>
    <row r="974" spans="1:1" x14ac:dyDescent="0.25">
      <c r="A974" t="str">
        <v>OVOLPRURECACPPTM</v>
      </c>
    </row>
    <row r="975" spans="1:1" x14ac:dyDescent="0.25">
      <c r="A975" t="str">
        <v>OVOLPRURECACT</v>
      </c>
    </row>
    <row r="976" spans="1:1" x14ac:dyDescent="0.25">
      <c r="A976" t="str">
        <v>OVOLNRTRECAEC</v>
      </c>
    </row>
    <row r="977" spans="1:1" x14ac:dyDescent="0.25">
      <c r="A977" t="str">
        <v>OVOLNRTRECAEC2</v>
      </c>
    </row>
    <row r="978" spans="1:1" x14ac:dyDescent="0.25">
      <c r="A978" t="str">
        <v>OVOLNRTRECAEC3</v>
      </c>
    </row>
    <row r="979" spans="1:1" x14ac:dyDescent="0.25">
      <c r="A979" t="str">
        <v>OVOLNRTRECACA</v>
      </c>
    </row>
    <row r="980" spans="1:1" x14ac:dyDescent="0.25">
      <c r="A980" t="str">
        <v>OVOLNRTRECACA2</v>
      </c>
    </row>
    <row r="981" spans="1:1" x14ac:dyDescent="0.25">
      <c r="A981" t="str">
        <v>OVOLNRTRECACPROG</v>
      </c>
    </row>
    <row r="982" spans="1:1" x14ac:dyDescent="0.25">
      <c r="A982" t="str">
        <v>OVOLNRTRECACPIL</v>
      </c>
    </row>
    <row r="983" spans="1:1" x14ac:dyDescent="0.25">
      <c r="A983" t="str">
        <v>OVOLNRTRECACPIP</v>
      </c>
    </row>
    <row r="984" spans="1:1" x14ac:dyDescent="0.25">
      <c r="A984" t="str">
        <v>OVOLNRTRECACPFORT</v>
      </c>
    </row>
    <row r="985" spans="1:1" x14ac:dyDescent="0.25">
      <c r="A985" t="str">
        <v>OVOLNRTRECACPFAIBL</v>
      </c>
    </row>
    <row r="986" spans="1:1" x14ac:dyDescent="0.25">
      <c r="A986" t="str">
        <v>OVOLNRTRECACP</v>
      </c>
    </row>
    <row r="987" spans="1:1" x14ac:dyDescent="0.25">
      <c r="A987" t="str">
        <v>OVOLNRTRECACPJ</v>
      </c>
    </row>
    <row r="988" spans="1:1" x14ac:dyDescent="0.25">
      <c r="A988" t="str">
        <v>OVOLNRTRECACJ</v>
      </c>
    </row>
    <row r="989" spans="1:1" x14ac:dyDescent="0.25">
      <c r="A989" t="str">
        <v>OVOLNRTRECACRV</v>
      </c>
    </row>
    <row r="990" spans="1:1" x14ac:dyDescent="0.25">
      <c r="A990" t="str">
        <v>OVOLNRTRECACRS</v>
      </c>
    </row>
    <row r="991" spans="1:1" x14ac:dyDescent="0.25">
      <c r="A991" t="str">
        <v>OVOLNRTRECACFP</v>
      </c>
    </row>
    <row r="992" spans="1:1" x14ac:dyDescent="0.25">
      <c r="A992" t="str">
        <v>OVOLNRTRECACPPTM</v>
      </c>
    </row>
    <row r="993" spans="1:1" x14ac:dyDescent="0.25">
      <c r="A993" t="str">
        <v>OVOLNRTRECACT</v>
      </c>
    </row>
    <row r="994" spans="1:1" x14ac:dyDescent="0.25">
      <c r="A994" t="str">
        <v>OVOLNRIRECAEC</v>
      </c>
    </row>
    <row r="995" spans="1:1" x14ac:dyDescent="0.25">
      <c r="A995" t="str">
        <v>OVOLNRIRECAEC2</v>
      </c>
    </row>
    <row r="996" spans="1:1" x14ac:dyDescent="0.25">
      <c r="A996" t="str">
        <v>OVOLNRIRECAEC3</v>
      </c>
    </row>
    <row r="997" spans="1:1" x14ac:dyDescent="0.25">
      <c r="A997" t="str">
        <v>OVOLNRIRECACA</v>
      </c>
    </row>
    <row r="998" spans="1:1" x14ac:dyDescent="0.25">
      <c r="A998" t="str">
        <v>OVOLNRIRECACA2</v>
      </c>
    </row>
    <row r="999" spans="1:1" x14ac:dyDescent="0.25">
      <c r="A999" t="str">
        <v>OVOLNRIRECACPROG</v>
      </c>
    </row>
    <row r="1000" spans="1:1" x14ac:dyDescent="0.25">
      <c r="A1000" t="str">
        <v>OVOLNRIRECACPIL</v>
      </c>
    </row>
    <row r="1001" spans="1:1" x14ac:dyDescent="0.25">
      <c r="A1001" t="str">
        <v>OVOLNRIRECACPIP</v>
      </c>
    </row>
    <row r="1002" spans="1:1" x14ac:dyDescent="0.25">
      <c r="A1002" t="str">
        <v>OVOLNRIRECACPFORT</v>
      </c>
    </row>
    <row r="1003" spans="1:1" x14ac:dyDescent="0.25">
      <c r="A1003" t="str">
        <v>OVOLNRIRECACPFAIBL</v>
      </c>
    </row>
    <row r="1004" spans="1:1" x14ac:dyDescent="0.25">
      <c r="A1004" t="str">
        <v>OVOLNRIRECACP</v>
      </c>
    </row>
    <row r="1005" spans="1:1" x14ac:dyDescent="0.25">
      <c r="A1005" t="str">
        <v>OVOLNRIRECACPJ</v>
      </c>
    </row>
    <row r="1006" spans="1:1" x14ac:dyDescent="0.25">
      <c r="A1006" t="str">
        <v>OVOLNRIRECACJ</v>
      </c>
    </row>
    <row r="1007" spans="1:1" x14ac:dyDescent="0.25">
      <c r="A1007" t="str">
        <v>OVOLNRIRECACRV</v>
      </c>
    </row>
    <row r="1008" spans="1:1" x14ac:dyDescent="0.25">
      <c r="A1008" t="str">
        <v>OVOLNRIRECACRS</v>
      </c>
    </row>
    <row r="1009" spans="1:1" x14ac:dyDescent="0.25">
      <c r="A1009" t="str">
        <v>OVOLNRIRECACFP</v>
      </c>
    </row>
    <row r="1010" spans="1:1" x14ac:dyDescent="0.25">
      <c r="A1010" t="str">
        <v>OVOLNRIRECACPPTM</v>
      </c>
    </row>
    <row r="1011" spans="1:1" x14ac:dyDescent="0.25">
      <c r="A1011" t="str">
        <v>OVOLNRIRECACT</v>
      </c>
    </row>
    <row r="1012" spans="1:1" x14ac:dyDescent="0.25">
      <c r="A1012" t="str">
        <v>OVOLNFIRECAEC</v>
      </c>
    </row>
    <row r="1013" spans="1:1" x14ac:dyDescent="0.25">
      <c r="A1013" t="str">
        <v>OVOLNFIRECAEC2</v>
      </c>
    </row>
    <row r="1014" spans="1:1" x14ac:dyDescent="0.25">
      <c r="A1014" t="str">
        <v>OVOLNFIRECAEC3</v>
      </c>
    </row>
    <row r="1015" spans="1:1" x14ac:dyDescent="0.25">
      <c r="A1015" t="str">
        <v>OVOLNFIRECACA</v>
      </c>
    </row>
    <row r="1016" spans="1:1" x14ac:dyDescent="0.25">
      <c r="A1016" t="str">
        <v>OVOLNFIRECACA2</v>
      </c>
    </row>
    <row r="1017" spans="1:1" x14ac:dyDescent="0.25">
      <c r="A1017" t="str">
        <v>OVOLNFIRECACPROG</v>
      </c>
    </row>
    <row r="1018" spans="1:1" x14ac:dyDescent="0.25">
      <c r="A1018" t="str">
        <v>OVOLNFIRECACPIL</v>
      </c>
    </row>
    <row r="1019" spans="1:1" x14ac:dyDescent="0.25">
      <c r="A1019" t="str">
        <v>OVOLNFIRECACPIP</v>
      </c>
    </row>
    <row r="1020" spans="1:1" x14ac:dyDescent="0.25">
      <c r="A1020" t="str">
        <v>OVOLNFIRECACPFORT</v>
      </c>
    </row>
    <row r="1021" spans="1:1" x14ac:dyDescent="0.25">
      <c r="A1021" t="str">
        <v>OVOLNFIRECACPFAIBL</v>
      </c>
    </row>
    <row r="1022" spans="1:1" x14ac:dyDescent="0.25">
      <c r="A1022" t="str">
        <v>OVOLNFIRECACP</v>
      </c>
    </row>
    <row r="1023" spans="1:1" x14ac:dyDescent="0.25">
      <c r="A1023" t="str">
        <v>OVOLNFIRECACPJ</v>
      </c>
    </row>
    <row r="1024" spans="1:1" x14ac:dyDescent="0.25">
      <c r="A1024" t="str">
        <v>OVOLNFIRECACJ</v>
      </c>
    </row>
    <row r="1025" spans="1:1" x14ac:dyDescent="0.25">
      <c r="A1025" t="str">
        <v>OVOLNFIRECACRV</v>
      </c>
    </row>
    <row r="1026" spans="1:1" x14ac:dyDescent="0.25">
      <c r="A1026" t="str">
        <v>OVOLNFIRECACRS</v>
      </c>
    </row>
    <row r="1027" spans="1:1" x14ac:dyDescent="0.25">
      <c r="A1027" t="str">
        <v>OVOLNFIRECACFP</v>
      </c>
    </row>
    <row r="1028" spans="1:1" x14ac:dyDescent="0.25">
      <c r="A1028" t="str">
        <v>OVOLNFIRECACPPTM</v>
      </c>
    </row>
    <row r="1029" spans="1:1" x14ac:dyDescent="0.25">
      <c r="A1029" t="str">
        <v>OVOLNFIRECACT</v>
      </c>
    </row>
    <row r="1030" spans="1:1" x14ac:dyDescent="0.25">
      <c r="A1030" t="str">
        <v>OVOLNFTRECAEC</v>
      </c>
    </row>
    <row r="1031" spans="1:1" x14ac:dyDescent="0.25">
      <c r="A1031" t="str">
        <v>OVOLNFTRECAEC2</v>
      </c>
    </row>
    <row r="1032" spans="1:1" x14ac:dyDescent="0.25">
      <c r="A1032" t="str">
        <v>OVOLNFTRECAEC3</v>
      </c>
    </row>
    <row r="1033" spans="1:1" x14ac:dyDescent="0.25">
      <c r="A1033" t="str">
        <v>OVOLNFTRECACA</v>
      </c>
    </row>
    <row r="1034" spans="1:1" x14ac:dyDescent="0.25">
      <c r="A1034" t="str">
        <v>OVOLNFTRECACA2</v>
      </c>
    </row>
    <row r="1035" spans="1:1" x14ac:dyDescent="0.25">
      <c r="A1035" t="str">
        <v>OVOLNFTRECACPROG</v>
      </c>
    </row>
    <row r="1036" spans="1:1" x14ac:dyDescent="0.25">
      <c r="A1036" t="str">
        <v>OVOLNFTRECACPIL</v>
      </c>
    </row>
    <row r="1037" spans="1:1" x14ac:dyDescent="0.25">
      <c r="A1037" t="str">
        <v>OVOLNFTRECACPIP</v>
      </c>
    </row>
    <row r="1038" spans="1:1" x14ac:dyDescent="0.25">
      <c r="A1038" t="str">
        <v>OVOLNFTRECACPFORT</v>
      </c>
    </row>
    <row r="1039" spans="1:1" x14ac:dyDescent="0.25">
      <c r="A1039" t="str">
        <v>OVOLNFTRECACPFAIBL</v>
      </c>
    </row>
    <row r="1040" spans="1:1" x14ac:dyDescent="0.25">
      <c r="A1040" t="str">
        <v>OVOLNFTRECACP</v>
      </c>
    </row>
    <row r="1041" spans="1:1" x14ac:dyDescent="0.25">
      <c r="A1041" t="str">
        <v>OVOLNFTRECACPJ</v>
      </c>
    </row>
    <row r="1042" spans="1:1" x14ac:dyDescent="0.25">
      <c r="A1042" t="str">
        <v>OVOLNFTRECACJ</v>
      </c>
    </row>
    <row r="1043" spans="1:1" x14ac:dyDescent="0.25">
      <c r="A1043" t="str">
        <v>OVOLNFTRECACRV</v>
      </c>
    </row>
    <row r="1044" spans="1:1" x14ac:dyDescent="0.25">
      <c r="A1044" t="str">
        <v>OVOLNFTRECACRS</v>
      </c>
    </row>
    <row r="1045" spans="1:1" x14ac:dyDescent="0.25">
      <c r="A1045" t="str">
        <v>OVOLNFTRECACFP</v>
      </c>
    </row>
    <row r="1046" spans="1:1" x14ac:dyDescent="0.25">
      <c r="A1046" t="str">
        <v>OVOLNFTRECACPPTM</v>
      </c>
    </row>
    <row r="1047" spans="1:1" x14ac:dyDescent="0.25">
      <c r="A1047" t="str">
        <v>OVOLNFTRECACT</v>
      </c>
    </row>
    <row r="1048" spans="1:1" x14ac:dyDescent="0.25">
      <c r="A1048" t="str">
        <v>ONBTGBOPRECREGAFINACRV</v>
      </c>
    </row>
    <row r="1049" spans="1:1" x14ac:dyDescent="0.25">
      <c r="A1049" t="str">
        <v>ONBTGBOPRECREGAFINACRS</v>
      </c>
    </row>
    <row r="1050" spans="1:1" x14ac:dyDescent="0.25">
      <c r="A1050" t="str">
        <v>ONBTGBOPRECREGAFINACFP</v>
      </c>
    </row>
    <row r="1051" spans="1:1" x14ac:dyDescent="0.25">
      <c r="A1051" t="str">
        <v>ONBTGBOPRECREGAFINACPPTM</v>
      </c>
    </row>
    <row r="1052" spans="1:1" x14ac:dyDescent="0.25">
      <c r="A1052" t="str">
        <v>ONBTGBOPRECREGAFINACT</v>
      </c>
    </row>
    <row r="1053" spans="1:1" x14ac:dyDescent="0.25">
      <c r="A1053" t="str">
        <v>ONBTGSEPMRECREGAFINACRV</v>
      </c>
    </row>
    <row r="1054" spans="1:1" x14ac:dyDescent="0.25">
      <c r="A1054" t="str">
        <v>ONBTGSEPMRECREGAFINACRS</v>
      </c>
    </row>
    <row r="1055" spans="1:1" x14ac:dyDescent="0.25">
      <c r="A1055" t="str">
        <v>ONBTGSEPMRECREGAFINACFP</v>
      </c>
    </row>
    <row r="1056" spans="1:1" x14ac:dyDescent="0.25">
      <c r="A1056" t="str">
        <v>ONBTGSEPMRECREGAFINACPPTM</v>
      </c>
    </row>
    <row r="1057" spans="1:1" x14ac:dyDescent="0.25">
      <c r="A1057" t="str">
        <v>ONBTGSEPMRECREGAFINACT</v>
      </c>
    </row>
    <row r="1058" spans="1:1" x14ac:dyDescent="0.25">
      <c r="A1058" t="str">
        <v>OVOLBOJREC</v>
      </c>
    </row>
    <row r="1059" spans="1:1" x14ac:dyDescent="0.25">
      <c r="A1059" t="str">
        <v>OVOLERSREC</v>
      </c>
    </row>
    <row r="1060" spans="1:1" x14ac:dyDescent="0.25">
      <c r="A1060" t="str">
        <v>OVOLSABREC</v>
      </c>
    </row>
    <row r="1061" spans="1:1" x14ac:dyDescent="0.25">
      <c r="A1061" t="str">
        <v>OVOLGBPREC</v>
      </c>
    </row>
    <row r="1062" spans="1:1" x14ac:dyDescent="0.25">
      <c r="A1062" t="str">
        <v>OVOLGEROREC</v>
      </c>
    </row>
    <row r="1063" spans="1:1" x14ac:dyDescent="0.25">
      <c r="A1063" t="str">
        <v>OVOLGPEUREC</v>
      </c>
    </row>
    <row r="1064" spans="1:1" x14ac:dyDescent="0.25">
      <c r="A1064" t="str">
        <v>OVOLGFNREC</v>
      </c>
    </row>
    <row r="1065" spans="1:1" x14ac:dyDescent="0.25">
      <c r="A1065" t="str">
        <v>OVOLGHEGREC</v>
      </c>
    </row>
    <row r="1066" spans="1:1" x14ac:dyDescent="0.25">
      <c r="A1066" t="str">
        <v>OVOLGAURREC</v>
      </c>
    </row>
    <row r="1067" spans="1:1" x14ac:dyDescent="0.25">
      <c r="A1067" t="str">
        <v>OVOLGPINSREC</v>
      </c>
    </row>
    <row r="1068" spans="1:1" x14ac:dyDescent="0.25">
      <c r="A1068" t="str">
        <v>OVOLGEPXREC</v>
      </c>
    </row>
    <row r="1069" spans="1:1" x14ac:dyDescent="0.25">
      <c r="A1069" t="str">
        <v>OVOLGMLREC</v>
      </c>
    </row>
    <row r="1070" spans="1:1" x14ac:dyDescent="0.25">
      <c r="A1070" t="str">
        <v>OVOLGPGREC</v>
      </c>
    </row>
    <row r="1071" spans="1:1" x14ac:dyDescent="0.25">
      <c r="A1071" t="str">
        <v>OVOLGFIREC</v>
      </c>
    </row>
    <row r="1072" spans="1:1" x14ac:dyDescent="0.25">
      <c r="A1072" t="str">
        <v>OVOLGFTREC</v>
      </c>
    </row>
    <row r="1073" spans="1:1" x14ac:dyDescent="0.25">
      <c r="A1073" t="str">
        <v>OVOLGSEPMREC</v>
      </c>
    </row>
    <row r="1074" spans="1:1" x14ac:dyDescent="0.25">
      <c r="A1074" t="str">
        <v>OVOLGSEPMRECREGAFIN</v>
      </c>
    </row>
    <row r="1075" spans="1:1" x14ac:dyDescent="0.25">
      <c r="A1075" t="str">
        <v>OVOLGFREC</v>
      </c>
    </row>
    <row r="1076" spans="1:1" x14ac:dyDescent="0.25">
      <c r="A1076" t="str">
        <v>OVOLGRREC</v>
      </c>
    </row>
    <row r="1077" spans="1:1" x14ac:dyDescent="0.25">
      <c r="A1077" t="str">
        <v>OVOLTOTREC</v>
      </c>
    </row>
    <row r="1078" spans="1:1" x14ac:dyDescent="0.25">
      <c r="A1078" t="str">
        <v>OVOLTHOREC</v>
      </c>
    </row>
    <row r="1079" spans="1:1" x14ac:dyDescent="0.25">
      <c r="A1079" t="str">
        <v>OVOLPRUREC</v>
      </c>
    </row>
    <row r="1080" spans="1:1" x14ac:dyDescent="0.25">
      <c r="A1080" t="str">
        <v>OVOLNRTREC</v>
      </c>
    </row>
    <row r="1081" spans="1:1" x14ac:dyDescent="0.25">
      <c r="A1081" t="str">
        <v>OVOLNRIREC</v>
      </c>
    </row>
    <row r="1082" spans="1:1" x14ac:dyDescent="0.25">
      <c r="A1082" t="str">
        <v>OVOLNFIREC</v>
      </c>
    </row>
    <row r="1083" spans="1:1" x14ac:dyDescent="0.25">
      <c r="A1083" t="str">
        <v>OVOLNFTREC</v>
      </c>
    </row>
    <row r="1084" spans="1:1" x14ac:dyDescent="0.25">
      <c r="A1084" t="str">
        <v>ONBTGSEPMRECREGAFIN</v>
      </c>
    </row>
    <row r="1085" spans="1:1" x14ac:dyDescent="0.25">
      <c r="A1085" t="str">
        <v>ONBTGBOPRECREGAFIN</v>
      </c>
    </row>
    <row r="1086" spans="1:1" x14ac:dyDescent="0.25">
      <c r="A1086" t="str">
        <v>OSUPADMREGAPRE</v>
      </c>
    </row>
    <row r="1087" spans="1:1" x14ac:dyDescent="0.25">
      <c r="A1087" t="str">
        <v>OSUPADMREGAPAR</v>
      </c>
    </row>
    <row r="1088" spans="1:1" x14ac:dyDescent="0.25">
      <c r="A1088" t="str">
        <v>OSUPADMREGAFIN</v>
      </c>
    </row>
    <row r="1089" spans="1:1" x14ac:dyDescent="0.25">
      <c r="A1089" t="str">
        <v>OSUPADMREGAEDU</v>
      </c>
    </row>
    <row r="1090" spans="1:1" x14ac:dyDescent="0.25">
      <c r="A1090" t="str">
        <v>OSUPADM_REGACPBO</v>
      </c>
    </row>
    <row r="1091" spans="1:1" x14ac:dyDescent="0.25">
      <c r="A1091" t="str">
        <v>OSUPADMADEGNAT</v>
      </c>
    </row>
    <row r="1092" spans="1:1" x14ac:dyDescent="0.25">
      <c r="A1092" t="str">
        <v>OSUPADMADEGPL</v>
      </c>
    </row>
    <row r="1093" spans="1:1" x14ac:dyDescent="0.25">
      <c r="A1093" t="str">
        <v>OSUPADMAEPC</v>
      </c>
    </row>
    <row r="1094" spans="1:1" x14ac:dyDescent="0.25">
      <c r="A1094" t="str">
        <v>OSUPADMANET</v>
      </c>
    </row>
    <row r="1095" spans="1:1" x14ac:dyDescent="0.25">
      <c r="A1095" t="str">
        <v>OSUPADMAEC</v>
      </c>
    </row>
    <row r="1096" spans="1:1" x14ac:dyDescent="0.25">
      <c r="A1096" t="str">
        <v>OSUPADMAEC2</v>
      </c>
    </row>
    <row r="1097" spans="1:1" x14ac:dyDescent="0.25">
      <c r="A1097" t="str">
        <v>OSUPADMAEC3</v>
      </c>
    </row>
    <row r="1098" spans="1:1" x14ac:dyDescent="0.25">
      <c r="A1098" t="str">
        <v>OSUPADMACA</v>
      </c>
    </row>
    <row r="1099" spans="1:1" x14ac:dyDescent="0.25">
      <c r="A1099" t="str">
        <v>OSUPADMACA2</v>
      </c>
    </row>
    <row r="1100" spans="1:1" x14ac:dyDescent="0.25">
      <c r="A1100" t="str">
        <v>OSUPADMACPROG</v>
      </c>
    </row>
    <row r="1101" spans="1:1" x14ac:dyDescent="0.25">
      <c r="A1101" t="str">
        <v>OSUPADMACPIL</v>
      </c>
    </row>
    <row r="1102" spans="1:1" x14ac:dyDescent="0.25">
      <c r="A1102" t="str">
        <v>OSUPADMACPIP</v>
      </c>
    </row>
    <row r="1103" spans="1:1" x14ac:dyDescent="0.25">
      <c r="A1103" t="str">
        <v>OSUPADMACPFORT</v>
      </c>
    </row>
    <row r="1104" spans="1:1" x14ac:dyDescent="0.25">
      <c r="A1104" t="str">
        <v>OSUPADMACPFAIBL</v>
      </c>
    </row>
    <row r="1105" spans="1:1" x14ac:dyDescent="0.25">
      <c r="A1105" t="str">
        <v>OSUPADMACP</v>
      </c>
    </row>
    <row r="1106" spans="1:1" x14ac:dyDescent="0.25">
      <c r="A1106" t="str">
        <v>OSUPADMACPJ</v>
      </c>
    </row>
    <row r="1107" spans="1:1" x14ac:dyDescent="0.25">
      <c r="A1107" t="str">
        <v>OSUPADMACJ</v>
      </c>
    </row>
    <row r="1108" spans="1:1" x14ac:dyDescent="0.25">
      <c r="A1108" t="str">
        <v>OSUPADMACRV</v>
      </c>
    </row>
    <row r="1109" spans="1:1" x14ac:dyDescent="0.25">
      <c r="A1109" t="str">
        <v>OSUPADMACRS</v>
      </c>
    </row>
    <row r="1110" spans="1:1" x14ac:dyDescent="0.25">
      <c r="A1110" t="str">
        <v>OSUPADMACFP</v>
      </c>
    </row>
    <row r="1111" spans="1:1" x14ac:dyDescent="0.25">
      <c r="A1111" t="str">
        <v>OSUPADMACPPTM</v>
      </c>
    </row>
    <row r="1112" spans="1:1" x14ac:dyDescent="0.25">
      <c r="A1112" t="str">
        <v>OSUPADMACT</v>
      </c>
    </row>
    <row r="1113" spans="1:1" x14ac:dyDescent="0.25">
      <c r="A1113" t="str">
        <v>OSUPADMASCA</v>
      </c>
    </row>
    <row r="1114" spans="1:1" x14ac:dyDescent="0.25">
      <c r="A1114" t="str">
        <v>OSUPADMAPLLI</v>
      </c>
    </row>
    <row r="1115" spans="1:1" x14ac:dyDescent="0.25">
      <c r="A1115" t="str">
        <v>OSUPADMAPLIN</v>
      </c>
    </row>
    <row r="1116" spans="1:1" x14ac:dyDescent="0.25">
      <c r="A1116" t="str">
        <v>OSUPADMAPLBA</v>
      </c>
    </row>
    <row r="1117" spans="1:1" x14ac:dyDescent="0.25">
      <c r="A1117" t="str">
        <v>OSUPADMAPL</v>
      </c>
    </row>
    <row r="1118" spans="1:1" x14ac:dyDescent="0.25">
      <c r="A1118" t="str">
        <v>OSUPADMAREG</v>
      </c>
    </row>
    <row r="1119" spans="1:1" x14ac:dyDescent="0.25">
      <c r="A1119" t="str">
        <v>OSUPADMASNAT</v>
      </c>
    </row>
    <row r="1120" spans="1:1" x14ac:dyDescent="0.25">
      <c r="A1120" t="str">
        <v>OSUP_BO_MATURE</v>
      </c>
    </row>
    <row r="1121" spans="1:1" x14ac:dyDescent="0.25">
      <c r="A1121" t="str">
        <v>OSUP_BO_MATURE_LOCK</v>
      </c>
    </row>
    <row r="1122" spans="1:1" x14ac:dyDescent="0.25">
      <c r="A1122" t="str">
        <v>OSUP_BO_MATURE_DISP</v>
      </c>
    </row>
    <row r="1123" spans="1:1" x14ac:dyDescent="0.25">
      <c r="A1123" t="str">
        <v>OSTTOTRECAEC</v>
      </c>
    </row>
    <row r="1124" spans="1:1" x14ac:dyDescent="0.25">
      <c r="A1124" t="str">
        <v>OSTTOTRECAEC2</v>
      </c>
    </row>
    <row r="1125" spans="1:1" x14ac:dyDescent="0.25">
      <c r="A1125" t="str">
        <v>OSTTOTRECAEC3</v>
      </c>
    </row>
    <row r="1126" spans="1:1" x14ac:dyDescent="0.25">
      <c r="A1126" t="str">
        <v>OSTTOTRECACA</v>
      </c>
    </row>
    <row r="1127" spans="1:1" x14ac:dyDescent="0.25">
      <c r="A1127" t="str">
        <v>OSTTOTRECACA2</v>
      </c>
    </row>
    <row r="1128" spans="1:1" x14ac:dyDescent="0.25">
      <c r="A1128" t="str">
        <v>OSTTOTRECACPROG</v>
      </c>
    </row>
    <row r="1129" spans="1:1" x14ac:dyDescent="0.25">
      <c r="A1129" t="str">
        <v>OSTTOTRECACPIL</v>
      </c>
    </row>
    <row r="1130" spans="1:1" x14ac:dyDescent="0.25">
      <c r="A1130" t="str">
        <v>OSTTOTRECACPIP</v>
      </c>
    </row>
    <row r="1131" spans="1:1" x14ac:dyDescent="0.25">
      <c r="A1131" t="str">
        <v>OSTTOTRECACPFORT</v>
      </c>
    </row>
    <row r="1132" spans="1:1" x14ac:dyDescent="0.25">
      <c r="A1132" t="str">
        <v>OSTTOTRECACPFAIBL</v>
      </c>
    </row>
    <row r="1133" spans="1:1" x14ac:dyDescent="0.25">
      <c r="A1133" t="str">
        <v>OSTTOTRECACP</v>
      </c>
    </row>
    <row r="1134" spans="1:1" x14ac:dyDescent="0.25">
      <c r="A1134" t="str">
        <v>OSTTOTRECACPJ</v>
      </c>
    </row>
    <row r="1135" spans="1:1" x14ac:dyDescent="0.25">
      <c r="A1135" t="str">
        <v>OSTTOTRECACJ</v>
      </c>
    </row>
    <row r="1136" spans="1:1" x14ac:dyDescent="0.25">
      <c r="A1136" t="str">
        <v>OSTTOTRECACRV</v>
      </c>
    </row>
    <row r="1137" spans="1:1" x14ac:dyDescent="0.25">
      <c r="A1137" t="str">
        <v>OSTTOTRECACRS</v>
      </c>
    </row>
    <row r="1138" spans="1:1" x14ac:dyDescent="0.25">
      <c r="A1138" t="str">
        <v>OSTTOTRECACFP</v>
      </c>
    </row>
    <row r="1139" spans="1:1" x14ac:dyDescent="0.25">
      <c r="A1139" t="str">
        <v>OSTTOTRECACPPTM</v>
      </c>
    </row>
    <row r="1140" spans="1:1" x14ac:dyDescent="0.25">
      <c r="A1140" t="str">
        <v>OSTTOTRECACT</v>
      </c>
    </row>
    <row r="1141" spans="1:1" x14ac:dyDescent="0.25">
      <c r="A1141" t="str">
        <v>OSUPREALADEGNAT</v>
      </c>
    </row>
    <row r="1142" spans="1:1" x14ac:dyDescent="0.25">
      <c r="A1142" t="str">
        <v>OSUPREALADEGPL</v>
      </c>
    </row>
    <row r="1143" spans="1:1" x14ac:dyDescent="0.25">
      <c r="A1143" t="str">
        <v>OSUPREALAEPC</v>
      </c>
    </row>
    <row r="1144" spans="1:1" x14ac:dyDescent="0.25">
      <c r="A1144" t="str">
        <v>OSUPREALANET</v>
      </c>
    </row>
    <row r="1145" spans="1:1" x14ac:dyDescent="0.25">
      <c r="A1145" t="str">
        <v>OSUPREALAEC</v>
      </c>
    </row>
    <row r="1146" spans="1:1" x14ac:dyDescent="0.25">
      <c r="A1146" t="str">
        <v>OSUPREALAEC2</v>
      </c>
    </row>
    <row r="1147" spans="1:1" x14ac:dyDescent="0.25">
      <c r="A1147" t="str">
        <v>OSUPREALAEC3</v>
      </c>
    </row>
    <row r="1148" spans="1:1" x14ac:dyDescent="0.25">
      <c r="A1148" t="str">
        <v>OSUPREALACA</v>
      </c>
    </row>
    <row r="1149" spans="1:1" x14ac:dyDescent="0.25">
      <c r="A1149" t="str">
        <v>OSUPREALACA2</v>
      </c>
    </row>
    <row r="1150" spans="1:1" x14ac:dyDescent="0.25">
      <c r="A1150" t="str">
        <v>OSUPREALACPROG</v>
      </c>
    </row>
    <row r="1151" spans="1:1" x14ac:dyDescent="0.25">
      <c r="A1151" t="str">
        <v>OSUPREALACPIL</v>
      </c>
    </row>
    <row r="1152" spans="1:1" x14ac:dyDescent="0.25">
      <c r="A1152" t="str">
        <v>OSUPREALACPIP</v>
      </c>
    </row>
    <row r="1153" spans="1:1" x14ac:dyDescent="0.25">
      <c r="A1153" t="str">
        <v>OSUPREALACPFORT</v>
      </c>
    </row>
    <row r="1154" spans="1:1" x14ac:dyDescent="0.25">
      <c r="A1154" t="str">
        <v>OSUPREALACPFAIBL</v>
      </c>
    </row>
    <row r="1155" spans="1:1" x14ac:dyDescent="0.25">
      <c r="A1155" t="str">
        <v>OSUPREALACP</v>
      </c>
    </row>
    <row r="1156" spans="1:1" x14ac:dyDescent="0.25">
      <c r="A1156" t="str">
        <v>OSUPREALACPJ</v>
      </c>
    </row>
    <row r="1157" spans="1:1" x14ac:dyDescent="0.25">
      <c r="A1157" t="str">
        <v>OSUPREALACJ</v>
      </c>
    </row>
    <row r="1158" spans="1:1" x14ac:dyDescent="0.25">
      <c r="A1158" t="str">
        <v>OSUPREALACRV</v>
      </c>
    </row>
    <row r="1159" spans="1:1" x14ac:dyDescent="0.25">
      <c r="A1159" t="str">
        <v>OSUPREALACRS</v>
      </c>
    </row>
    <row r="1160" spans="1:1" x14ac:dyDescent="0.25">
      <c r="A1160" t="str">
        <v>OSUPREALACFP</v>
      </c>
    </row>
    <row r="1161" spans="1:1" x14ac:dyDescent="0.25">
      <c r="A1161" t="str">
        <v>OSUPREALACPPTM</v>
      </c>
    </row>
    <row r="1162" spans="1:1" x14ac:dyDescent="0.25">
      <c r="A1162" t="str">
        <v>OSUPREALACT</v>
      </c>
    </row>
    <row r="1163" spans="1:1" x14ac:dyDescent="0.25">
      <c r="A1163" t="str">
        <v>OSUPREALASCA</v>
      </c>
    </row>
    <row r="1164" spans="1:1" x14ac:dyDescent="0.25">
      <c r="A1164" t="str">
        <v>OSUPREALAPLLI</v>
      </c>
    </row>
    <row r="1165" spans="1:1" x14ac:dyDescent="0.25">
      <c r="A1165" t="str">
        <v>OSUPREALAPLIN</v>
      </c>
    </row>
    <row r="1166" spans="1:1" x14ac:dyDescent="0.25">
      <c r="A1166" t="str">
        <v>OSUPREALAPLBA</v>
      </c>
    </row>
    <row r="1167" spans="1:1" x14ac:dyDescent="0.25">
      <c r="A1167" t="str">
        <v>OSUPREALAPL</v>
      </c>
    </row>
    <row r="1168" spans="1:1" x14ac:dyDescent="0.25">
      <c r="A1168" t="str">
        <v>OSUPREALAREG</v>
      </c>
    </row>
    <row r="1169" spans="1:1" x14ac:dyDescent="0.25">
      <c r="A1169" t="str">
        <v>OSUPREALASNAT</v>
      </c>
    </row>
    <row r="1170" spans="1:1" x14ac:dyDescent="0.25">
      <c r="A1170" t="str">
        <v>OSUPREAL_GSADEGNAT</v>
      </c>
    </row>
    <row r="1171" spans="1:1" x14ac:dyDescent="0.25">
      <c r="A1171" t="str">
        <v>OSUPREAL_GSADEGPL</v>
      </c>
    </row>
    <row r="1172" spans="1:1" x14ac:dyDescent="0.25">
      <c r="A1172" t="str">
        <v>OSUPREAL_GSAEPC</v>
      </c>
    </row>
    <row r="1173" spans="1:1" x14ac:dyDescent="0.25">
      <c r="A1173" t="str">
        <v>OSUPREAL_GSANET</v>
      </c>
    </row>
    <row r="1174" spans="1:1" x14ac:dyDescent="0.25">
      <c r="A1174" t="str">
        <v>OSUPREAL_GSAEC</v>
      </c>
    </row>
    <row r="1175" spans="1:1" x14ac:dyDescent="0.25">
      <c r="A1175" t="str">
        <v>OSUPREAL_GSAEC2</v>
      </c>
    </row>
    <row r="1176" spans="1:1" x14ac:dyDescent="0.25">
      <c r="A1176" t="str">
        <v>OSUPREAL_GSAEC3</v>
      </c>
    </row>
    <row r="1177" spans="1:1" x14ac:dyDescent="0.25">
      <c r="A1177" t="str">
        <v>OSUPREAL_GSACA</v>
      </c>
    </row>
    <row r="1178" spans="1:1" x14ac:dyDescent="0.25">
      <c r="A1178" t="str">
        <v>OSUPREAL_GSACA2</v>
      </c>
    </row>
    <row r="1179" spans="1:1" x14ac:dyDescent="0.25">
      <c r="A1179" t="str">
        <v>OSUPREAL_GSACPROG</v>
      </c>
    </row>
    <row r="1180" spans="1:1" x14ac:dyDescent="0.25">
      <c r="A1180" t="str">
        <v>OSUPREAL_GSACPIL</v>
      </c>
    </row>
    <row r="1181" spans="1:1" x14ac:dyDescent="0.25">
      <c r="A1181" t="str">
        <v>OSUPREAL_GSACPIP</v>
      </c>
    </row>
    <row r="1182" spans="1:1" x14ac:dyDescent="0.25">
      <c r="A1182" t="str">
        <v>OSUPREAL_GSACPFORT</v>
      </c>
    </row>
    <row r="1183" spans="1:1" x14ac:dyDescent="0.25">
      <c r="A1183" t="str">
        <v>OSUPREAL_GSACPFAIBL</v>
      </c>
    </row>
    <row r="1184" spans="1:1" x14ac:dyDescent="0.25">
      <c r="A1184" t="str">
        <v>OSUPREAL_GSACP</v>
      </c>
    </row>
    <row r="1185" spans="1:1" x14ac:dyDescent="0.25">
      <c r="A1185" t="str">
        <v>OSUPREAL_GSACPJ</v>
      </c>
    </row>
    <row r="1186" spans="1:1" x14ac:dyDescent="0.25">
      <c r="A1186" t="str">
        <v>OSUPREAL_GSACJ</v>
      </c>
    </row>
    <row r="1187" spans="1:1" x14ac:dyDescent="0.25">
      <c r="A1187" t="str">
        <v>OSUPREAL_GSACRV</v>
      </c>
    </row>
    <row r="1188" spans="1:1" x14ac:dyDescent="0.25">
      <c r="A1188" t="str">
        <v>OSUPREAL_GSACRS</v>
      </c>
    </row>
    <row r="1189" spans="1:1" x14ac:dyDescent="0.25">
      <c r="A1189" t="str">
        <v>OSUPREAL_GSACFP</v>
      </c>
    </row>
    <row r="1190" spans="1:1" x14ac:dyDescent="0.25">
      <c r="A1190" t="str">
        <v>OSUPREAL_GSACPPTM</v>
      </c>
    </row>
    <row r="1191" spans="1:1" x14ac:dyDescent="0.25">
      <c r="A1191" t="str">
        <v>OSUPREAL_GSACT</v>
      </c>
    </row>
    <row r="1192" spans="1:1" x14ac:dyDescent="0.25">
      <c r="A1192" t="str">
        <v>OSUPREAL_GSASCA</v>
      </c>
    </row>
    <row r="1193" spans="1:1" x14ac:dyDescent="0.25">
      <c r="A1193" t="str">
        <v>OSUPREAL_GSAPLLI</v>
      </c>
    </row>
    <row r="1194" spans="1:1" x14ac:dyDescent="0.25">
      <c r="A1194" t="str">
        <v>OSUPREAL_GSAPLIN</v>
      </c>
    </row>
    <row r="1195" spans="1:1" x14ac:dyDescent="0.25">
      <c r="A1195" t="str">
        <v>OSUPREAL_GSAPLBA</v>
      </c>
    </row>
    <row r="1196" spans="1:1" x14ac:dyDescent="0.25">
      <c r="A1196" t="str">
        <v>OSUPREAL_GSAPL</v>
      </c>
    </row>
    <row r="1197" spans="1:1" x14ac:dyDescent="0.25">
      <c r="A1197" t="str">
        <v>OSUPREAL_GSAREG</v>
      </c>
    </row>
    <row r="1198" spans="1:1" x14ac:dyDescent="0.25">
      <c r="A1198" t="str">
        <v>OSUPREAL_GSASNAT</v>
      </c>
    </row>
    <row r="1199" spans="1:1" x14ac:dyDescent="0.25">
      <c r="A1199" t="str">
        <v>OSUPREALREGAPAR_GS</v>
      </c>
    </row>
    <row r="1200" spans="1:1" x14ac:dyDescent="0.25">
      <c r="A1200" t="str">
        <v>OSUPREALREGAFIN_GS</v>
      </c>
    </row>
    <row r="1201" spans="1:1" x14ac:dyDescent="0.25">
      <c r="A1201" t="str">
        <v>OSUPREALREGAREG_GS</v>
      </c>
    </row>
    <row r="1202" spans="1:1" x14ac:dyDescent="0.25">
      <c r="A1202" t="str">
        <v>OSUPREALREGAPRE</v>
      </c>
    </row>
    <row r="1203" spans="1:1" x14ac:dyDescent="0.25">
      <c r="A1203" t="str">
        <v>OSUPREALREGACPBO</v>
      </c>
    </row>
    <row r="1204" spans="1:1" x14ac:dyDescent="0.25">
      <c r="A1204" t="str">
        <v>OSUPREALCOUVFAEC</v>
      </c>
    </row>
    <row r="1205" spans="1:1" x14ac:dyDescent="0.25">
      <c r="A1205" t="str">
        <v>OSUPREALCOUVFAEC2</v>
      </c>
    </row>
    <row r="1206" spans="1:1" x14ac:dyDescent="0.25">
      <c r="A1206" t="str">
        <v>OSUPREALCOUVFAEC3</v>
      </c>
    </row>
    <row r="1207" spans="1:1" x14ac:dyDescent="0.25">
      <c r="A1207" t="str">
        <v>OSUPREALCOUVFACA</v>
      </c>
    </row>
    <row r="1208" spans="1:1" x14ac:dyDescent="0.25">
      <c r="A1208" t="str">
        <v>OSUPREALCOUVFACA2</v>
      </c>
    </row>
    <row r="1209" spans="1:1" x14ac:dyDescent="0.25">
      <c r="A1209" t="str">
        <v>OSUPREALCOUVFACPROG</v>
      </c>
    </row>
    <row r="1210" spans="1:1" x14ac:dyDescent="0.25">
      <c r="A1210" t="str">
        <v>OSUPREALCOUVFACPIL</v>
      </c>
    </row>
    <row r="1211" spans="1:1" x14ac:dyDescent="0.25">
      <c r="A1211" t="str">
        <v>OSUPREALCOUVFACPIP</v>
      </c>
    </row>
    <row r="1212" spans="1:1" x14ac:dyDescent="0.25">
      <c r="A1212" t="str">
        <v>OSUPREALCOUVFACPFORT</v>
      </c>
    </row>
    <row r="1213" spans="1:1" x14ac:dyDescent="0.25">
      <c r="A1213" t="str">
        <v>OSUPREALCOUVFACPFAIBL</v>
      </c>
    </row>
    <row r="1214" spans="1:1" x14ac:dyDescent="0.25">
      <c r="A1214" t="str">
        <v>OSUPREALCOUVFACP</v>
      </c>
    </row>
    <row r="1215" spans="1:1" x14ac:dyDescent="0.25">
      <c r="A1215" t="str">
        <v>OSUPREALCOUVFACPJ</v>
      </c>
    </row>
    <row r="1216" spans="1:1" x14ac:dyDescent="0.25">
      <c r="A1216" t="str">
        <v>OSUPREALCOUVFACJ</v>
      </c>
    </row>
    <row r="1217" spans="1:1" x14ac:dyDescent="0.25">
      <c r="A1217" t="str">
        <v>OSUPREALCOUVFACRV</v>
      </c>
    </row>
    <row r="1218" spans="1:1" x14ac:dyDescent="0.25">
      <c r="A1218" t="str">
        <v>OSUPREALCOUVFACRS</v>
      </c>
    </row>
    <row r="1219" spans="1:1" x14ac:dyDescent="0.25">
      <c r="A1219" t="str">
        <v>OSUPREALCOUVFACFP</v>
      </c>
    </row>
    <row r="1220" spans="1:1" x14ac:dyDescent="0.25">
      <c r="A1220" t="str">
        <v>OSUPREALCOUVFACPPTM</v>
      </c>
    </row>
    <row r="1221" spans="1:1" x14ac:dyDescent="0.25">
      <c r="A1221" t="str">
        <v>OSUPREALCOUVFACT</v>
      </c>
    </row>
    <row r="1222" spans="1:1" x14ac:dyDescent="0.25">
      <c r="A1222" t="str">
        <v>OSUPREALCOUVFIAEC</v>
      </c>
    </row>
    <row r="1223" spans="1:1" x14ac:dyDescent="0.25">
      <c r="A1223" t="str">
        <v>OSUPREALCOUVFIAEC2</v>
      </c>
    </row>
    <row r="1224" spans="1:1" x14ac:dyDescent="0.25">
      <c r="A1224" t="str">
        <v>OSUPREALCOUVFIAEC3</v>
      </c>
    </row>
    <row r="1225" spans="1:1" x14ac:dyDescent="0.25">
      <c r="A1225" t="str">
        <v>OSUPREALCOUVFIACA</v>
      </c>
    </row>
    <row r="1226" spans="1:1" x14ac:dyDescent="0.25">
      <c r="A1226" t="str">
        <v>OSUPREALCOUVFIACA2</v>
      </c>
    </row>
    <row r="1227" spans="1:1" x14ac:dyDescent="0.25">
      <c r="A1227" t="str">
        <v>OSUPREALCOUVFIACPROG</v>
      </c>
    </row>
    <row r="1228" spans="1:1" x14ac:dyDescent="0.25">
      <c r="A1228" t="str">
        <v>OSUPREALCOUVFIACPIL</v>
      </c>
    </row>
    <row r="1229" spans="1:1" x14ac:dyDescent="0.25">
      <c r="A1229" t="str">
        <v>OSUPREALCOUVFIACPIP</v>
      </c>
    </row>
    <row r="1230" spans="1:1" x14ac:dyDescent="0.25">
      <c r="A1230" t="str">
        <v>OSUPREALCOUVFIACPFORT</v>
      </c>
    </row>
    <row r="1231" spans="1:1" x14ac:dyDescent="0.25">
      <c r="A1231" t="str">
        <v>OSUPREALCOUVFIACPFAIBL</v>
      </c>
    </row>
    <row r="1232" spans="1:1" x14ac:dyDescent="0.25">
      <c r="A1232" t="str">
        <v>OSUPREALCOUVFIACP</v>
      </c>
    </row>
    <row r="1233" spans="1:1" x14ac:dyDescent="0.25">
      <c r="A1233" t="str">
        <v>OSUPREALCOUVFIACPJ</v>
      </c>
    </row>
    <row r="1234" spans="1:1" x14ac:dyDescent="0.25">
      <c r="A1234" t="str">
        <v>OSUPREALCOUVFIACJ</v>
      </c>
    </row>
    <row r="1235" spans="1:1" x14ac:dyDescent="0.25">
      <c r="A1235" t="str">
        <v>OSUPREALCOUVFIACRV</v>
      </c>
    </row>
    <row r="1236" spans="1:1" x14ac:dyDescent="0.25">
      <c r="A1236" t="str">
        <v>OSUPREALCOUVFIACRS</v>
      </c>
    </row>
    <row r="1237" spans="1:1" x14ac:dyDescent="0.25">
      <c r="A1237" t="str">
        <v>OSUPREALCOUVFIACFP</v>
      </c>
    </row>
    <row r="1238" spans="1:1" x14ac:dyDescent="0.25">
      <c r="A1238" t="str">
        <v>OSUPREALCOUVFIACPPTM</v>
      </c>
    </row>
    <row r="1239" spans="1:1" x14ac:dyDescent="0.25">
      <c r="A1239" t="str">
        <v>OSUPREALCOUVFIACT</v>
      </c>
    </row>
    <row r="1240" spans="1:1" x14ac:dyDescent="0.25">
      <c r="A1240" t="str">
        <v>OSUPREALCOUVFTAEC</v>
      </c>
    </row>
    <row r="1241" spans="1:1" x14ac:dyDescent="0.25">
      <c r="A1241" t="str">
        <v>OSUPREALCOUVFTAEC2</v>
      </c>
    </row>
    <row r="1242" spans="1:1" x14ac:dyDescent="0.25">
      <c r="A1242" t="str">
        <v>OSUPREALCOUVFTAEC3</v>
      </c>
    </row>
    <row r="1243" spans="1:1" x14ac:dyDescent="0.25">
      <c r="A1243" t="str">
        <v>OSUPREALCOUVFTACA</v>
      </c>
    </row>
    <row r="1244" spans="1:1" x14ac:dyDescent="0.25">
      <c r="A1244" t="str">
        <v>OSUPREALCOUVFTACA2</v>
      </c>
    </row>
    <row r="1245" spans="1:1" x14ac:dyDescent="0.25">
      <c r="A1245" t="str">
        <v>OSUPREALCOUVFTACPROG</v>
      </c>
    </row>
    <row r="1246" spans="1:1" x14ac:dyDescent="0.25">
      <c r="A1246" t="str">
        <v>OSUPREALCOUVFTACPIL</v>
      </c>
    </row>
    <row r="1247" spans="1:1" x14ac:dyDescent="0.25">
      <c r="A1247" t="str">
        <v>OSUPREALCOUVFTACPIP</v>
      </c>
    </row>
    <row r="1248" spans="1:1" x14ac:dyDescent="0.25">
      <c r="A1248" t="str">
        <v>OSUPREALCOUVFTACPFORT</v>
      </c>
    </row>
    <row r="1249" spans="1:1" x14ac:dyDescent="0.25">
      <c r="A1249" t="str">
        <v>OSUPREALCOUVFTACPFAIBL</v>
      </c>
    </row>
    <row r="1250" spans="1:1" x14ac:dyDescent="0.25">
      <c r="A1250" t="str">
        <v>OSUPREALCOUVFTACP</v>
      </c>
    </row>
    <row r="1251" spans="1:1" x14ac:dyDescent="0.25">
      <c r="A1251" t="str">
        <v>OSUPREALCOUVFTACPJ</v>
      </c>
    </row>
    <row r="1252" spans="1:1" x14ac:dyDescent="0.25">
      <c r="A1252" t="str">
        <v>OSUPREALCOUVFTACJ</v>
      </c>
    </row>
    <row r="1253" spans="1:1" x14ac:dyDescent="0.25">
      <c r="A1253" t="str">
        <v>OSUPREALCOUVFTACRV</v>
      </c>
    </row>
    <row r="1254" spans="1:1" x14ac:dyDescent="0.25">
      <c r="A1254" t="str">
        <v>OSUPREALCOUVFTACRS</v>
      </c>
    </row>
    <row r="1255" spans="1:1" x14ac:dyDescent="0.25">
      <c r="A1255" t="str">
        <v>OSUPREALCOUVFTACFP</v>
      </c>
    </row>
    <row r="1256" spans="1:1" x14ac:dyDescent="0.25">
      <c r="A1256" t="str">
        <v>OSUPREALCOUVFTACPPTM</v>
      </c>
    </row>
    <row r="1257" spans="1:1" x14ac:dyDescent="0.25">
      <c r="A1257" t="str">
        <v>OSUPREALCOUVFTACT</v>
      </c>
    </row>
    <row r="1258" spans="1:1" x14ac:dyDescent="0.25">
      <c r="A1258" t="str">
        <v>OSUPREALCOUVMFIAEC</v>
      </c>
    </row>
    <row r="1259" spans="1:1" x14ac:dyDescent="0.25">
      <c r="A1259" t="str">
        <v>OSUPREALCOUVMFIAEC2</v>
      </c>
    </row>
    <row r="1260" spans="1:1" x14ac:dyDescent="0.25">
      <c r="A1260" t="str">
        <v>OSUPREALCOUVMFIAEC3</v>
      </c>
    </row>
    <row r="1261" spans="1:1" x14ac:dyDescent="0.25">
      <c r="A1261" t="str">
        <v>OSUPREALCOUVMFIACA</v>
      </c>
    </row>
    <row r="1262" spans="1:1" x14ac:dyDescent="0.25">
      <c r="A1262" t="str">
        <v>OSUPREALCOUVMFIACA2</v>
      </c>
    </row>
    <row r="1263" spans="1:1" x14ac:dyDescent="0.25">
      <c r="A1263" t="str">
        <v>OSUPREALCOUVMFIACPROG</v>
      </c>
    </row>
    <row r="1264" spans="1:1" x14ac:dyDescent="0.25">
      <c r="A1264" t="str">
        <v>OSUPREALCOUVMFIACPIL</v>
      </c>
    </row>
    <row r="1265" spans="1:1" x14ac:dyDescent="0.25">
      <c r="A1265" t="str">
        <v>OSUPREALCOUVMFIACPIP</v>
      </c>
    </row>
    <row r="1266" spans="1:1" x14ac:dyDescent="0.25">
      <c r="A1266" t="str">
        <v>OSUPREALCOUVMFIACPFORT</v>
      </c>
    </row>
    <row r="1267" spans="1:1" x14ac:dyDescent="0.25">
      <c r="A1267" t="str">
        <v>OSUPREALCOUVMFIACPFAIBL</v>
      </c>
    </row>
    <row r="1268" spans="1:1" x14ac:dyDescent="0.25">
      <c r="A1268" t="str">
        <v>OSUPREALCOUVMFIACP</v>
      </c>
    </row>
    <row r="1269" spans="1:1" x14ac:dyDescent="0.25">
      <c r="A1269" t="str">
        <v>OSUPREALCOUVMFIACPJ</v>
      </c>
    </row>
    <row r="1270" spans="1:1" x14ac:dyDescent="0.25">
      <c r="A1270" t="str">
        <v>OSUPREALCOUVMFIACJ</v>
      </c>
    </row>
    <row r="1271" spans="1:1" x14ac:dyDescent="0.25">
      <c r="A1271" t="str">
        <v>OSUPREALCOUVMFIACRV</v>
      </c>
    </row>
    <row r="1272" spans="1:1" x14ac:dyDescent="0.25">
      <c r="A1272" t="str">
        <v>OSUPREALCOUVMFIACRS</v>
      </c>
    </row>
    <row r="1273" spans="1:1" x14ac:dyDescent="0.25">
      <c r="A1273" t="str">
        <v>OSUPREALCOUVMFIACFP</v>
      </c>
    </row>
    <row r="1274" spans="1:1" x14ac:dyDescent="0.25">
      <c r="A1274" t="str">
        <v>OSUPREALCOUVMFIACPPTM</v>
      </c>
    </row>
    <row r="1275" spans="1:1" x14ac:dyDescent="0.25">
      <c r="A1275" t="str">
        <v>OSUPREALCOUVMFIACT</v>
      </c>
    </row>
    <row r="1276" spans="1:1" x14ac:dyDescent="0.25">
      <c r="A1276" t="str">
        <v>OSUPREALCOUVMFTAEC</v>
      </c>
    </row>
    <row r="1277" spans="1:1" x14ac:dyDescent="0.25">
      <c r="A1277" t="str">
        <v>OSUPREALCOUVMFTAEC2</v>
      </c>
    </row>
    <row r="1278" spans="1:1" x14ac:dyDescent="0.25">
      <c r="A1278" t="str">
        <v>OSUPREALCOUVMFTAEC3</v>
      </c>
    </row>
    <row r="1279" spans="1:1" x14ac:dyDescent="0.25">
      <c r="A1279" t="str">
        <v>OSUPREALCOUVMFTACA</v>
      </c>
    </row>
    <row r="1280" spans="1:1" x14ac:dyDescent="0.25">
      <c r="A1280" t="str">
        <v>OSUPREALCOUVMFTACA2</v>
      </c>
    </row>
    <row r="1281" spans="1:1" x14ac:dyDescent="0.25">
      <c r="A1281" t="str">
        <v>OSUPREALCOUVMFTACPROG</v>
      </c>
    </row>
    <row r="1282" spans="1:1" x14ac:dyDescent="0.25">
      <c r="A1282" t="str">
        <v>OSUPREALCOUVMFTACPIL</v>
      </c>
    </row>
    <row r="1283" spans="1:1" x14ac:dyDescent="0.25">
      <c r="A1283" t="str">
        <v>OSUPREALCOUVMFTACPIP</v>
      </c>
    </row>
    <row r="1284" spans="1:1" x14ac:dyDescent="0.25">
      <c r="A1284" t="str">
        <v>OSUPREALCOUVMFTACPFORT</v>
      </c>
    </row>
    <row r="1285" spans="1:1" x14ac:dyDescent="0.25">
      <c r="A1285" t="str">
        <v>OSUPREALCOUVMFTACPFAIBL</v>
      </c>
    </row>
    <row r="1286" spans="1:1" x14ac:dyDescent="0.25">
      <c r="A1286" t="str">
        <v>OSUPREALCOUVMFTACP</v>
      </c>
    </row>
    <row r="1287" spans="1:1" x14ac:dyDescent="0.25">
      <c r="A1287" t="str">
        <v>OSUPREALCOUVMFTACPJ</v>
      </c>
    </row>
    <row r="1288" spans="1:1" x14ac:dyDescent="0.25">
      <c r="A1288" t="str">
        <v>OSUPREALCOUVMFTACJ</v>
      </c>
    </row>
    <row r="1289" spans="1:1" x14ac:dyDescent="0.25">
      <c r="A1289" t="str">
        <v>OSUPREALCOUVMFTACRV</v>
      </c>
    </row>
    <row r="1290" spans="1:1" x14ac:dyDescent="0.25">
      <c r="A1290" t="str">
        <v>OSUPREALCOUVMFTACRS</v>
      </c>
    </row>
    <row r="1291" spans="1:1" x14ac:dyDescent="0.25">
      <c r="A1291" t="str">
        <v>OSUPREALCOUVMFTACFP</v>
      </c>
    </row>
    <row r="1292" spans="1:1" x14ac:dyDescent="0.25">
      <c r="A1292" t="str">
        <v>OSUPREALCOUVMFTACPPTM</v>
      </c>
    </row>
    <row r="1293" spans="1:1" x14ac:dyDescent="0.25">
      <c r="A1293" t="str">
        <v>OSUPREALCOUVMFTACT</v>
      </c>
    </row>
    <row r="1294" spans="1:1" x14ac:dyDescent="0.25">
      <c r="A1294" t="str">
        <v>OSUPREALCOUVMRAEC</v>
      </c>
    </row>
    <row r="1295" spans="1:1" x14ac:dyDescent="0.25">
      <c r="A1295" t="str">
        <v>OSUPREALCOUVMRAEC2</v>
      </c>
    </row>
    <row r="1296" spans="1:1" x14ac:dyDescent="0.25">
      <c r="A1296" t="str">
        <v>OSUPREALCOUVMRAEC3</v>
      </c>
    </row>
    <row r="1297" spans="1:1" x14ac:dyDescent="0.25">
      <c r="A1297" t="str">
        <v>OSUPREALCOUVMRACA</v>
      </c>
    </row>
    <row r="1298" spans="1:1" x14ac:dyDescent="0.25">
      <c r="A1298" t="str">
        <v>OSUPREALCOUVMRACA2</v>
      </c>
    </row>
    <row r="1299" spans="1:1" x14ac:dyDescent="0.25">
      <c r="A1299" t="str">
        <v>OSUPREALCOUVMRACPROG</v>
      </c>
    </row>
    <row r="1300" spans="1:1" x14ac:dyDescent="0.25">
      <c r="A1300" t="str">
        <v>OSUPREALCOUVMRACPIL</v>
      </c>
    </row>
    <row r="1301" spans="1:1" x14ac:dyDescent="0.25">
      <c r="A1301" t="str">
        <v>OSUPREALCOUVMRACPIP</v>
      </c>
    </row>
    <row r="1302" spans="1:1" x14ac:dyDescent="0.25">
      <c r="A1302" t="str">
        <v>OSUPREALCOUVMRACPFORT</v>
      </c>
    </row>
    <row r="1303" spans="1:1" x14ac:dyDescent="0.25">
      <c r="A1303" t="str">
        <v>OSUPREALCOUVMRACPFAIBL</v>
      </c>
    </row>
    <row r="1304" spans="1:1" x14ac:dyDescent="0.25">
      <c r="A1304" t="str">
        <v>OSUPREALCOUVMRACP</v>
      </c>
    </row>
    <row r="1305" spans="1:1" x14ac:dyDescent="0.25">
      <c r="A1305" t="str">
        <v>OSUPREALCOUVMRACPJ</v>
      </c>
    </row>
    <row r="1306" spans="1:1" x14ac:dyDescent="0.25">
      <c r="A1306" t="str">
        <v>OSUPREALCOUVMRACJ</v>
      </c>
    </row>
    <row r="1307" spans="1:1" x14ac:dyDescent="0.25">
      <c r="A1307" t="str">
        <v>OSUPREALCOUVMRACRV</v>
      </c>
    </row>
    <row r="1308" spans="1:1" x14ac:dyDescent="0.25">
      <c r="A1308" t="str">
        <v>OSUPREALCOUVMRACRS</v>
      </c>
    </row>
    <row r="1309" spans="1:1" x14ac:dyDescent="0.25">
      <c r="A1309" t="str">
        <v>OSUPREALCOUVMRACFP</v>
      </c>
    </row>
    <row r="1310" spans="1:1" x14ac:dyDescent="0.25">
      <c r="A1310" t="str">
        <v>OSUPREALCOUVMRACPPTM</v>
      </c>
    </row>
    <row r="1311" spans="1:1" x14ac:dyDescent="0.25">
      <c r="A1311" t="str">
        <v>OSUPREALCOUVMRACT</v>
      </c>
    </row>
    <row r="1312" spans="1:1" x14ac:dyDescent="0.25">
      <c r="A1312" t="str">
        <v>OSUPREALCOUVRAEC</v>
      </c>
    </row>
    <row r="1313" spans="1:1" x14ac:dyDescent="0.25">
      <c r="A1313" t="str">
        <v>OSUPREALCOUVRAEC2</v>
      </c>
    </row>
    <row r="1314" spans="1:1" x14ac:dyDescent="0.25">
      <c r="A1314" t="str">
        <v>OSUPREALCOUVRAEC3</v>
      </c>
    </row>
    <row r="1315" spans="1:1" x14ac:dyDescent="0.25">
      <c r="A1315" t="str">
        <v>OSUPREALCOUVRACA</v>
      </c>
    </row>
    <row r="1316" spans="1:1" x14ac:dyDescent="0.25">
      <c r="A1316" t="str">
        <v>OSUPREALCOUVRACA2</v>
      </c>
    </row>
    <row r="1317" spans="1:1" x14ac:dyDescent="0.25">
      <c r="A1317" t="str">
        <v>OSUPREALCOUVRACPROG</v>
      </c>
    </row>
    <row r="1318" spans="1:1" x14ac:dyDescent="0.25">
      <c r="A1318" t="str">
        <v>OSUPREALCOUVRACPIL</v>
      </c>
    </row>
    <row r="1319" spans="1:1" x14ac:dyDescent="0.25">
      <c r="A1319" t="str">
        <v>OSUPREALCOUVRACPIP</v>
      </c>
    </row>
    <row r="1320" spans="1:1" x14ac:dyDescent="0.25">
      <c r="A1320" t="str">
        <v>OSUPREALCOUVRACPFORT</v>
      </c>
    </row>
    <row r="1321" spans="1:1" x14ac:dyDescent="0.25">
      <c r="A1321" t="str">
        <v>OSUPREALCOUVRACPFAIBL</v>
      </c>
    </row>
    <row r="1322" spans="1:1" x14ac:dyDescent="0.25">
      <c r="A1322" t="str">
        <v>OSUPREALCOUVRACP</v>
      </c>
    </row>
    <row r="1323" spans="1:1" x14ac:dyDescent="0.25">
      <c r="A1323" t="str">
        <v>OSUPREALCOUVRACPJ</v>
      </c>
    </row>
    <row r="1324" spans="1:1" x14ac:dyDescent="0.25">
      <c r="A1324" t="str">
        <v>OSUPREALCOUVRACJ</v>
      </c>
    </row>
    <row r="1325" spans="1:1" x14ac:dyDescent="0.25">
      <c r="A1325" t="str">
        <v>OSUPREALCOUVRACRV</v>
      </c>
    </row>
    <row r="1326" spans="1:1" x14ac:dyDescent="0.25">
      <c r="A1326" t="str">
        <v>OSUPREALCOUVRACRS</v>
      </c>
    </row>
    <row r="1327" spans="1:1" x14ac:dyDescent="0.25">
      <c r="A1327" t="str">
        <v>OSUPREALCOUVRACFP</v>
      </c>
    </row>
    <row r="1328" spans="1:1" x14ac:dyDescent="0.25">
      <c r="A1328" t="str">
        <v>OSUPREALCOUVRACPPTM</v>
      </c>
    </row>
    <row r="1329" spans="1:1" x14ac:dyDescent="0.25">
      <c r="A1329" t="str">
        <v>OSUPREALCOUVRACT</v>
      </c>
    </row>
    <row r="1330" spans="1:1" x14ac:dyDescent="0.25">
      <c r="A1330" t="str">
        <v>OSUPREALREGACACJ</v>
      </c>
    </row>
    <row r="1331" spans="1:1" x14ac:dyDescent="0.25">
      <c r="A1331" t="str">
        <v>OSUPREALREGAEC</v>
      </c>
    </row>
    <row r="1332" spans="1:1" x14ac:dyDescent="0.25">
      <c r="A1332" t="str">
        <v>OSUPREALREGAPARST20</v>
      </c>
    </row>
    <row r="1333" spans="1:1" x14ac:dyDescent="0.25">
      <c r="A1333" t="str">
        <v>OSUPREALREGAPARST22</v>
      </c>
    </row>
    <row r="1334" spans="1:1" x14ac:dyDescent="0.25">
      <c r="A1334" t="str">
        <v>OSUPREALREGAPARST23</v>
      </c>
    </row>
    <row r="1335" spans="1:1" x14ac:dyDescent="0.25">
      <c r="A1335" t="str">
        <v>OSUPREALREGAPARST24</v>
      </c>
    </row>
    <row r="1336" spans="1:1" x14ac:dyDescent="0.25">
      <c r="A1336" t="str">
        <v>OSUPREALREGAPARST25</v>
      </c>
    </row>
    <row r="1337" spans="1:1" x14ac:dyDescent="0.25">
      <c r="A1337" t="str">
        <v>OSUPREALREGAPARST26</v>
      </c>
    </row>
    <row r="1338" spans="1:1" x14ac:dyDescent="0.25">
      <c r="A1338" t="str">
        <v>OSUPREALREGAPARST2799</v>
      </c>
    </row>
    <row r="1339" spans="1:1" x14ac:dyDescent="0.25">
      <c r="A1339" t="str">
        <v>OSUPREALCOUVF</v>
      </c>
    </row>
    <row r="1340" spans="1:1" x14ac:dyDescent="0.25">
      <c r="A1340" t="str">
        <v>OSUPREALCOUVFI</v>
      </c>
    </row>
    <row r="1341" spans="1:1" x14ac:dyDescent="0.25">
      <c r="A1341" t="str">
        <v>OSUPREALCOUVFT</v>
      </c>
    </row>
    <row r="1342" spans="1:1" x14ac:dyDescent="0.25">
      <c r="A1342" t="str">
        <v>OSUPREALCOUVMFI</v>
      </c>
    </row>
    <row r="1343" spans="1:1" x14ac:dyDescent="0.25">
      <c r="A1343" t="str">
        <v>OSUPREALCOUVMFT</v>
      </c>
    </row>
    <row r="1344" spans="1:1" x14ac:dyDescent="0.25">
      <c r="A1344" t="str">
        <v>OSUPREALCOUVMR</v>
      </c>
    </row>
    <row r="1345" spans="1:1" x14ac:dyDescent="0.25">
      <c r="A1345" t="str">
        <v>OSTTOTREC</v>
      </c>
    </row>
    <row r="1346" spans="1:1" x14ac:dyDescent="0.25">
      <c r="A1346" t="str">
        <v>OSUPREALREGAFINCOSAA</v>
      </c>
    </row>
    <row r="1347" spans="1:1" x14ac:dyDescent="0.25">
      <c r="A1347" t="str">
        <v>OSUPCOS</v>
      </c>
    </row>
    <row r="1348" spans="1:1" x14ac:dyDescent="0.25">
      <c r="A1348" t="str">
        <v>OSUPREGECOCOS</v>
      </c>
    </row>
    <row r="1349" spans="1:1" x14ac:dyDescent="0.25">
      <c r="A1349" t="str">
        <v>OSUPP7MREGECOCOS</v>
      </c>
    </row>
    <row r="1350" spans="1:1" x14ac:dyDescent="0.25">
      <c r="A1350" t="str">
        <v>OSUPP12MREGECOCOS</v>
      </c>
    </row>
    <row r="1351" spans="1:1" x14ac:dyDescent="0.25">
      <c r="A1351" t="str">
        <v>OSUPREALREGAFINCOS</v>
      </c>
    </row>
    <row r="1352" spans="1:1" x14ac:dyDescent="0.25">
      <c r="A1352" t="str">
        <v>OSUPPRODREGECOEV</v>
      </c>
    </row>
    <row r="1353" spans="1:1" x14ac:dyDescent="0.25">
      <c r="A1353" t="str">
        <v>OSUPREALREGAFINENV</v>
      </c>
    </row>
    <row r="1354" spans="1:1" x14ac:dyDescent="0.25">
      <c r="A1354" t="str">
        <v>OSUPTIERSREVENV</v>
      </c>
    </row>
    <row r="1355" spans="1:1" x14ac:dyDescent="0.25">
      <c r="A1355" t="str">
        <v>OSUPCOUVFIREGECO</v>
      </c>
    </row>
    <row r="1356" spans="1:1" x14ac:dyDescent="0.25">
      <c r="A1356" t="str">
        <v>OSUPCOUVFTREGECO</v>
      </c>
    </row>
    <row r="1357" spans="1:1" x14ac:dyDescent="0.25">
      <c r="A1357" t="str">
        <v>OSUPCOUVMFIREGECO</v>
      </c>
    </row>
    <row r="1358" spans="1:1" x14ac:dyDescent="0.25">
      <c r="A1358" t="str">
        <v>OSUPCOUVMFTREGECO</v>
      </c>
    </row>
    <row r="1359" spans="1:1" x14ac:dyDescent="0.25">
      <c r="A1359" t="str">
        <v>OSUPCOUVMRREGECO</v>
      </c>
    </row>
    <row r="1360" spans="1:1" x14ac:dyDescent="0.25">
      <c r="A1360" t="str">
        <v>OSUPCOUVRREGECO</v>
      </c>
    </row>
    <row r="1361" spans="1:1" x14ac:dyDescent="0.25">
      <c r="A1361" t="str">
        <v>OSUPCOUVSCREGECO</v>
      </c>
    </row>
    <row r="1362" spans="1:1" x14ac:dyDescent="0.25">
      <c r="A1362" t="str">
        <v>OSUPINC_ST016</v>
      </c>
    </row>
    <row r="1363" spans="1:1" x14ac:dyDescent="0.25">
      <c r="A1363" t="str">
        <v>OSUPINC_ST1619</v>
      </c>
    </row>
    <row r="1364" spans="1:1" x14ac:dyDescent="0.25">
      <c r="A1364" t="str">
        <v>OSUPINC_ST1922</v>
      </c>
    </row>
    <row r="1365" spans="1:1" x14ac:dyDescent="0.25">
      <c r="A1365" t="str">
        <v>OSUPINC_ST2225</v>
      </c>
    </row>
    <row r="1366" spans="1:1" x14ac:dyDescent="0.25">
      <c r="A1366" t="str">
        <v>OSUPINC_ST2528</v>
      </c>
    </row>
    <row r="1367" spans="1:1" x14ac:dyDescent="0.25">
      <c r="A1367" t="str">
        <v>OSUPINC_ST29+</v>
      </c>
    </row>
    <row r="1368" spans="1:1" x14ac:dyDescent="0.25">
      <c r="A1368" t="str">
        <v>OSUPREGECOCLASSEAGE1</v>
      </c>
    </row>
    <row r="1369" spans="1:1" x14ac:dyDescent="0.25">
      <c r="A1369" t="str">
        <v>OSUPREGECOCLASSEAGE2</v>
      </c>
    </row>
    <row r="1370" spans="1:1" x14ac:dyDescent="0.25">
      <c r="A1370" t="str">
        <v>OSUPREGECOCLASSEAGE3</v>
      </c>
    </row>
    <row r="1371" spans="1:1" x14ac:dyDescent="0.25">
      <c r="A1371" t="str">
        <v>OSUPREGECOCLASSEAGE4</v>
      </c>
    </row>
    <row r="1372" spans="1:1" x14ac:dyDescent="0.25">
      <c r="A1372" t="str">
        <v>OSUPREGECOCLASSEAGE5</v>
      </c>
    </row>
    <row r="1373" spans="1:1" x14ac:dyDescent="0.25">
      <c r="A1373" t="str">
        <v>OSUPREGECOCLASSEAGE6</v>
      </c>
    </row>
    <row r="1374" spans="1:1" x14ac:dyDescent="0.25">
      <c r="A1374" t="str">
        <v>OSUPREGECOCLASSEAGE7</v>
      </c>
    </row>
    <row r="1375" spans="1:1" x14ac:dyDescent="0.25">
      <c r="A1375" t="str">
        <v>OSUPREGECOCLASSEAGE8</v>
      </c>
    </row>
    <row r="1376" spans="1:1" x14ac:dyDescent="0.25">
      <c r="A1376" t="str">
        <v>OSUPREGECOCLASSEAGE9</v>
      </c>
    </row>
    <row r="1377" spans="1:1" x14ac:dyDescent="0.25">
      <c r="A1377" t="str">
        <v>OSUPREGECOCLASSEAGE10</v>
      </c>
    </row>
    <row r="1378" spans="1:1" x14ac:dyDescent="0.25">
      <c r="A1378" t="str">
        <v>OSUPREGECOCLASSEAGE11</v>
      </c>
    </row>
    <row r="1379" spans="1:1" x14ac:dyDescent="0.25">
      <c r="A1379" t="str">
        <v>OSUPREGECOCLASSEAGE12</v>
      </c>
    </row>
    <row r="1380" spans="1:1" x14ac:dyDescent="0.25">
      <c r="A1380" t="str">
        <v>OSUPREGECOCLASSEAGE13</v>
      </c>
    </row>
    <row r="1381" spans="1:1" x14ac:dyDescent="0.25">
      <c r="A1381" t="str">
        <v>OSUPREGECOCLASSEAGE14</v>
      </c>
    </row>
    <row r="1382" spans="1:1" x14ac:dyDescent="0.25">
      <c r="A1382" t="str">
        <v>OSUPREGECOCLASSEAGE15</v>
      </c>
    </row>
    <row r="1383" spans="1:1" x14ac:dyDescent="0.25">
      <c r="A1383" t="str">
        <v>OSUPREGECOCLASSEAGE16</v>
      </c>
    </row>
    <row r="1384" spans="1:1" x14ac:dyDescent="0.25">
      <c r="A1384" t="str">
        <v>OSUPREGECOCLASSEAGE17</v>
      </c>
    </row>
    <row r="1385" spans="1:1" x14ac:dyDescent="0.25">
      <c r="A1385" t="str">
        <v>OSUPREGECOCLASSEAGE18</v>
      </c>
    </row>
    <row r="1386" spans="1:1" x14ac:dyDescent="0.25">
      <c r="A1386" t="str">
        <v>OSUPREGECOCLASSEAGE19</v>
      </c>
    </row>
    <row r="1387" spans="1:1" x14ac:dyDescent="0.25">
      <c r="A1387" t="str">
        <v>OSUPREGECOCLASSEAGE20</v>
      </c>
    </row>
    <row r="1388" spans="1:1" x14ac:dyDescent="0.25">
      <c r="A1388" t="str">
        <v>OSUPREGECOCLASSEAGE21</v>
      </c>
    </row>
    <row r="1389" spans="1:1" x14ac:dyDescent="0.25">
      <c r="A1389" t="str">
        <v>OSUPREGECOCLASSEAGE22</v>
      </c>
    </row>
    <row r="1390" spans="1:1" x14ac:dyDescent="0.25">
      <c r="A1390" t="str">
        <v>OSUPREGECOCLASSEAGE23</v>
      </c>
    </row>
    <row r="1391" spans="1:1" x14ac:dyDescent="0.25">
      <c r="A1391" t="str">
        <v>OSUPREGECOCLASSEAGE24</v>
      </c>
    </row>
    <row r="1392" spans="1:1" x14ac:dyDescent="0.25">
      <c r="A1392" t="str">
        <v>OSUPREGECOCLASSEAGE25</v>
      </c>
    </row>
    <row r="1393" spans="1:1" x14ac:dyDescent="0.25">
      <c r="A1393" t="str">
        <v>OSUPREGECOCLASSEAGE26</v>
      </c>
    </row>
    <row r="1394" spans="1:1" x14ac:dyDescent="0.25">
      <c r="A1394" t="str">
        <v>OSUPREGECOCLASSEAGE27</v>
      </c>
    </row>
    <row r="1395" spans="1:1" x14ac:dyDescent="0.25">
      <c r="A1395" t="str">
        <v>OSUPREGECOCLASSEAGE28</v>
      </c>
    </row>
    <row r="1396" spans="1:1" x14ac:dyDescent="0.25">
      <c r="A1396" t="str">
        <v>OSUPREGECOCLASSEAGE29</v>
      </c>
    </row>
    <row r="1397" spans="1:1" x14ac:dyDescent="0.25">
      <c r="A1397" t="str">
        <v>OSUPREGECOCLASSEAGE30+</v>
      </c>
    </row>
    <row r="1398" spans="1:1" x14ac:dyDescent="0.25">
      <c r="A1398" t="str">
        <v>OSUPEXINCLASSEAGE1</v>
      </c>
    </row>
    <row r="1399" spans="1:1" x14ac:dyDescent="0.25">
      <c r="A1399" t="str">
        <v>OSUPEXINCLASSEAGE2</v>
      </c>
    </row>
    <row r="1400" spans="1:1" x14ac:dyDescent="0.25">
      <c r="A1400" t="str">
        <v>OSUPEXINCLASSEAGE3</v>
      </c>
    </row>
    <row r="1401" spans="1:1" x14ac:dyDescent="0.25">
      <c r="A1401" t="str">
        <v>OSUPEXINCLASSEAGE4</v>
      </c>
    </row>
    <row r="1402" spans="1:1" x14ac:dyDescent="0.25">
      <c r="A1402" t="str">
        <v>OSUPEXINCLASSEAGE5</v>
      </c>
    </row>
    <row r="1403" spans="1:1" x14ac:dyDescent="0.25">
      <c r="A1403" t="str">
        <v>OSUPEXINCLASSEAGE6</v>
      </c>
    </row>
    <row r="1404" spans="1:1" x14ac:dyDescent="0.25">
      <c r="A1404" t="str">
        <v>OSUPEXINCLASSEAGE7</v>
      </c>
    </row>
    <row r="1405" spans="1:1" x14ac:dyDescent="0.25">
      <c r="A1405" t="str">
        <v>OSUPEXINCLASSEAGE8</v>
      </c>
    </row>
    <row r="1406" spans="1:1" x14ac:dyDescent="0.25">
      <c r="A1406" t="str">
        <v>OSUPEXINCLASSEAGE9</v>
      </c>
    </row>
    <row r="1407" spans="1:1" x14ac:dyDescent="0.25">
      <c r="A1407" t="str">
        <v>OSUPEXINCLASSEAGE10</v>
      </c>
    </row>
    <row r="1408" spans="1:1" x14ac:dyDescent="0.25">
      <c r="A1408" t="str">
        <v>OSUPEXINCLASSEAGE11</v>
      </c>
    </row>
    <row r="1409" spans="1:1" x14ac:dyDescent="0.25">
      <c r="A1409" t="str">
        <v>OSUPEXINCLASSEAGE12</v>
      </c>
    </row>
    <row r="1410" spans="1:1" x14ac:dyDescent="0.25">
      <c r="A1410" t="str">
        <v>OSUPEXINCLASSEAGE13</v>
      </c>
    </row>
    <row r="1411" spans="1:1" x14ac:dyDescent="0.25">
      <c r="A1411" t="str">
        <v>OSUPEXINCLASSEAGE14</v>
      </c>
    </row>
    <row r="1412" spans="1:1" x14ac:dyDescent="0.25">
      <c r="A1412" t="str">
        <v>OSUPEXINCLASSEAGE15</v>
      </c>
    </row>
    <row r="1413" spans="1:1" x14ac:dyDescent="0.25">
      <c r="A1413" t="str">
        <v>OSUPEXINCLASSEAGE16</v>
      </c>
    </row>
    <row r="1414" spans="1:1" x14ac:dyDescent="0.25">
      <c r="A1414" t="str">
        <v>OSUPEXINCLASSEAGE17</v>
      </c>
    </row>
    <row r="1415" spans="1:1" x14ac:dyDescent="0.25">
      <c r="A1415" t="str">
        <v>OSUPEXINCLASSEAGE18</v>
      </c>
    </row>
    <row r="1416" spans="1:1" x14ac:dyDescent="0.25">
      <c r="A1416" t="str">
        <v>OSUPEXINCLASSEAGE19</v>
      </c>
    </row>
    <row r="1417" spans="1:1" x14ac:dyDescent="0.25">
      <c r="A1417" t="str">
        <v>OSUPEXINCLASSEAGE20</v>
      </c>
    </row>
    <row r="1418" spans="1:1" x14ac:dyDescent="0.25">
      <c r="A1418" t="str">
        <v>OSUPEXINCLASSEAGE21</v>
      </c>
    </row>
    <row r="1419" spans="1:1" x14ac:dyDescent="0.25">
      <c r="A1419" t="str">
        <v>OSUPEXINCLASSEAGE22</v>
      </c>
    </row>
    <row r="1420" spans="1:1" x14ac:dyDescent="0.25">
      <c r="A1420" t="str">
        <v>OSUPEXINCLASSEAGE23</v>
      </c>
    </row>
    <row r="1421" spans="1:1" x14ac:dyDescent="0.25">
      <c r="A1421" t="str">
        <v>OSUPEXINCLASSEAGE24</v>
      </c>
    </row>
    <row r="1422" spans="1:1" x14ac:dyDescent="0.25">
      <c r="A1422" t="str">
        <v>OSUPEXINCLASSEAGE25</v>
      </c>
    </row>
    <row r="1423" spans="1:1" x14ac:dyDescent="0.25">
      <c r="A1423" t="str">
        <v>OSUPEXINCLASSEAGE26</v>
      </c>
    </row>
    <row r="1424" spans="1:1" x14ac:dyDescent="0.25">
      <c r="A1424" t="str">
        <v>OSUPEXINCLASSEAGE27</v>
      </c>
    </row>
    <row r="1425" spans="1:1" x14ac:dyDescent="0.25">
      <c r="A1425" t="str">
        <v>OSUPEXINCLASSEAGE28</v>
      </c>
    </row>
    <row r="1426" spans="1:1" x14ac:dyDescent="0.25">
      <c r="A1426" t="str">
        <v>OSUPEXINCLASSEAGE29</v>
      </c>
    </row>
    <row r="1427" spans="1:1" x14ac:dyDescent="0.25">
      <c r="A1427" t="str">
        <v>OSUPEXINCLASSEAGE30+</v>
      </c>
    </row>
    <row r="1428" spans="1:1" x14ac:dyDescent="0.25">
      <c r="A1428" t="str">
        <v>OSUPINCCLASSEAGE1</v>
      </c>
    </row>
    <row r="1429" spans="1:1" x14ac:dyDescent="0.25">
      <c r="A1429" t="str">
        <v>OSUPINCCLASSEAGE2</v>
      </c>
    </row>
    <row r="1430" spans="1:1" x14ac:dyDescent="0.25">
      <c r="A1430" t="str">
        <v>OSUPINCCLASSEAGE3</v>
      </c>
    </row>
    <row r="1431" spans="1:1" x14ac:dyDescent="0.25">
      <c r="A1431" t="str">
        <v>OSUPINCCLASSEAGE4</v>
      </c>
    </row>
    <row r="1432" spans="1:1" x14ac:dyDescent="0.25">
      <c r="A1432" t="str">
        <v>OSUPINCCLASSEAGE5</v>
      </c>
    </row>
    <row r="1433" spans="1:1" x14ac:dyDescent="0.25">
      <c r="A1433" t="str">
        <v>OSUPINCCLASSEAGE6</v>
      </c>
    </row>
    <row r="1434" spans="1:1" x14ac:dyDescent="0.25">
      <c r="A1434" t="str">
        <v>OSUPINCCLASSEAGE7</v>
      </c>
    </row>
    <row r="1435" spans="1:1" x14ac:dyDescent="0.25">
      <c r="A1435" t="str">
        <v>OSUPINCCLASSEAGE8</v>
      </c>
    </row>
    <row r="1436" spans="1:1" x14ac:dyDescent="0.25">
      <c r="A1436" t="str">
        <v>OSUPINCCLASSEAGE9</v>
      </c>
    </row>
    <row r="1437" spans="1:1" x14ac:dyDescent="0.25">
      <c r="A1437" t="str">
        <v>OSUPINCCLASSEAGE10</v>
      </c>
    </row>
    <row r="1438" spans="1:1" x14ac:dyDescent="0.25">
      <c r="A1438" t="str">
        <v>OSUPINCCLASSEAGE11</v>
      </c>
    </row>
    <row r="1439" spans="1:1" x14ac:dyDescent="0.25">
      <c r="A1439" t="str">
        <v>OSUPINCCLASSEAGE12</v>
      </c>
    </row>
    <row r="1440" spans="1:1" x14ac:dyDescent="0.25">
      <c r="A1440" t="str">
        <v>OSUPINCCLASSEAGE13</v>
      </c>
    </row>
    <row r="1441" spans="1:1" x14ac:dyDescent="0.25">
      <c r="A1441" t="str">
        <v>OSUPINCCLASSEAGE14</v>
      </c>
    </row>
    <row r="1442" spans="1:1" x14ac:dyDescent="0.25">
      <c r="A1442" t="str">
        <v>OSUPINCCLASSEAGE15</v>
      </c>
    </row>
    <row r="1443" spans="1:1" x14ac:dyDescent="0.25">
      <c r="A1443" t="str">
        <v>OSUPINCCLASSEAGE16</v>
      </c>
    </row>
    <row r="1444" spans="1:1" x14ac:dyDescent="0.25">
      <c r="A1444" t="str">
        <v>OSUPINCCLASSEAGE17</v>
      </c>
    </row>
    <row r="1445" spans="1:1" x14ac:dyDescent="0.25">
      <c r="A1445" t="str">
        <v>OSUPINCCLASSEAGE18</v>
      </c>
    </row>
    <row r="1446" spans="1:1" x14ac:dyDescent="0.25">
      <c r="A1446" t="str">
        <v>OSUPINCCLASSEAGE19</v>
      </c>
    </row>
    <row r="1447" spans="1:1" x14ac:dyDescent="0.25">
      <c r="A1447" t="str">
        <v>OSUPINCCLASSEAGE20</v>
      </c>
    </row>
    <row r="1448" spans="1:1" x14ac:dyDescent="0.25">
      <c r="A1448" t="str">
        <v>OSUPINCCLASSEAGE21</v>
      </c>
    </row>
    <row r="1449" spans="1:1" x14ac:dyDescent="0.25">
      <c r="A1449" t="str">
        <v>OSUPINCCLASSEAGE22</v>
      </c>
    </row>
    <row r="1450" spans="1:1" x14ac:dyDescent="0.25">
      <c r="A1450" t="str">
        <v>OSUPINCCLASSEAGE23</v>
      </c>
    </row>
    <row r="1451" spans="1:1" x14ac:dyDescent="0.25">
      <c r="A1451" t="str">
        <v>OSUPINCCLASSEAGE24</v>
      </c>
    </row>
    <row r="1452" spans="1:1" x14ac:dyDescent="0.25">
      <c r="A1452" t="str">
        <v>OSUPINCCLASSEAGE25</v>
      </c>
    </row>
    <row r="1453" spans="1:1" x14ac:dyDescent="0.25">
      <c r="A1453" t="str">
        <v>OSUPINCCLASSEAGE26</v>
      </c>
    </row>
    <row r="1454" spans="1:1" x14ac:dyDescent="0.25">
      <c r="A1454" t="str">
        <v>OSUPINCCLASSEAGE27</v>
      </c>
    </row>
    <row r="1455" spans="1:1" x14ac:dyDescent="0.25">
      <c r="A1455" t="str">
        <v>OSUPINCCLASSEAGE28</v>
      </c>
    </row>
    <row r="1456" spans="1:1" x14ac:dyDescent="0.25">
      <c r="A1456" t="str">
        <v>OSUPINCCLASSEAGE29</v>
      </c>
    </row>
    <row r="1457" spans="1:1" x14ac:dyDescent="0.25">
      <c r="A1457" t="str">
        <v>OSUPINCCLASSEAGE30+</v>
      </c>
    </row>
    <row r="1458" spans="1:1" x14ac:dyDescent="0.25">
      <c r="A1458" t="str">
        <v>OSUPINC_IDR</v>
      </c>
    </row>
    <row r="1459" spans="1:1" x14ac:dyDescent="0.25">
      <c r="A1459" t="str">
        <v>OSUPINC_FC_AAC</v>
      </c>
    </row>
    <row r="1460" spans="1:1" x14ac:dyDescent="0.25">
      <c r="A1460" t="str">
        <v>OAAC_FC</v>
      </c>
    </row>
    <row r="1461" spans="1:1" x14ac:dyDescent="0.25">
      <c r="A1461" t="str">
        <v>OAGETOTRECAEC</v>
      </c>
    </row>
    <row r="1462" spans="1:1" x14ac:dyDescent="0.25">
      <c r="A1462" t="str">
        <v>OAGETOTRECAEC2</v>
      </c>
    </row>
    <row r="1463" spans="1:1" x14ac:dyDescent="0.25">
      <c r="A1463" t="str">
        <v>OAGETOTRECAEC3</v>
      </c>
    </row>
    <row r="1464" spans="1:1" x14ac:dyDescent="0.25">
      <c r="A1464" t="str">
        <v>OAGETOTRECACA</v>
      </c>
    </row>
    <row r="1465" spans="1:1" x14ac:dyDescent="0.25">
      <c r="A1465" t="str">
        <v>OAGETOTRECACA2</v>
      </c>
    </row>
    <row r="1466" spans="1:1" x14ac:dyDescent="0.25">
      <c r="A1466" t="str">
        <v>OAGETOTRECACPROG</v>
      </c>
    </row>
    <row r="1467" spans="1:1" x14ac:dyDescent="0.25">
      <c r="A1467" t="str">
        <v>OAGETOTRECACPIL</v>
      </c>
    </row>
    <row r="1468" spans="1:1" x14ac:dyDescent="0.25">
      <c r="A1468" t="str">
        <v>OAGETOTRECACPIP</v>
      </c>
    </row>
    <row r="1469" spans="1:1" x14ac:dyDescent="0.25">
      <c r="A1469" t="str">
        <v>OAGETOTRECACPFORT</v>
      </c>
    </row>
    <row r="1470" spans="1:1" x14ac:dyDescent="0.25">
      <c r="A1470" t="str">
        <v>OAGETOTRECACPFAIBL</v>
      </c>
    </row>
    <row r="1471" spans="1:1" x14ac:dyDescent="0.25">
      <c r="A1471" t="str">
        <v>OAGETOTRECACP</v>
      </c>
    </row>
    <row r="1472" spans="1:1" x14ac:dyDescent="0.25">
      <c r="A1472" t="str">
        <v>OAGETOTRECACPJ</v>
      </c>
    </row>
    <row r="1473" spans="1:1" x14ac:dyDescent="0.25">
      <c r="A1473" t="str">
        <v>OAGETOTRECACJ</v>
      </c>
    </row>
    <row r="1474" spans="1:1" x14ac:dyDescent="0.25">
      <c r="A1474" t="str">
        <v>OAGETOTRECACRV</v>
      </c>
    </row>
    <row r="1475" spans="1:1" x14ac:dyDescent="0.25">
      <c r="A1475" t="str">
        <v>OAGETOTRECACRS</v>
      </c>
    </row>
    <row r="1476" spans="1:1" x14ac:dyDescent="0.25">
      <c r="A1476" t="str">
        <v>OAGETOTRECACFP</v>
      </c>
    </row>
    <row r="1477" spans="1:1" x14ac:dyDescent="0.25">
      <c r="A1477" t="str">
        <v>OAGETOTRECACPPTM</v>
      </c>
    </row>
    <row r="1478" spans="1:1" x14ac:dyDescent="0.25">
      <c r="A1478" t="str">
        <v>OAGETOTRECACT</v>
      </c>
    </row>
    <row r="1479" spans="1:1" x14ac:dyDescent="0.25">
      <c r="A1479" t="str">
        <v>OAGETOTREC</v>
      </c>
    </row>
    <row r="1480" spans="1:1" x14ac:dyDescent="0.25">
      <c r="A1480" t="str">
        <v>OSUPAGEREALREGAFIN</v>
      </c>
    </row>
    <row r="1481" spans="1:1" x14ac:dyDescent="0.25">
      <c r="A1481" t="str">
        <v>OSUPAGEADMREGAFIN</v>
      </c>
    </row>
    <row r="1482" spans="1:1" x14ac:dyDescent="0.25">
      <c r="A1482" t="str">
        <v>OVOLGSEPMADMREGAFINDM085</v>
      </c>
    </row>
    <row r="1483" spans="1:1" x14ac:dyDescent="0.25">
      <c r="A1483" t="str">
        <v>OVOLGSEPMADMREGAFINDM85120</v>
      </c>
    </row>
    <row r="1484" spans="1:1" x14ac:dyDescent="0.25">
      <c r="A1484" t="str">
        <v>OVOLGSEPMADMREGAFINDM120150</v>
      </c>
    </row>
    <row r="1485" spans="1:1" x14ac:dyDescent="0.25">
      <c r="A1485" t="str">
        <v>OVOLGSEPMADMREGAFINDM150200</v>
      </c>
    </row>
    <row r="1486" spans="1:1" x14ac:dyDescent="0.25">
      <c r="A1486" t="str">
        <v>OVOLGSEPMADMREGAFINDM200P</v>
      </c>
    </row>
    <row r="1487" spans="1:1" x14ac:dyDescent="0.25">
      <c r="A1487" t="str">
        <v>OVOLGSEPMRECREGAFINDM085ACRV</v>
      </c>
    </row>
    <row r="1488" spans="1:1" x14ac:dyDescent="0.25">
      <c r="A1488" t="str">
        <v>OVOLGSEPMRECREGAFINDM085ACRS</v>
      </c>
    </row>
    <row r="1489" spans="1:1" x14ac:dyDescent="0.25">
      <c r="A1489" t="str">
        <v>OVOLGSEPMRECREGAFINDM085ACFP</v>
      </c>
    </row>
    <row r="1490" spans="1:1" x14ac:dyDescent="0.25">
      <c r="A1490" t="str">
        <v>OVOLGSEPMRECREGAFINDM085ACPPTM</v>
      </c>
    </row>
    <row r="1491" spans="1:1" x14ac:dyDescent="0.25">
      <c r="A1491" t="str">
        <v>OVOLGSEPMRECREGAFINDM085ACT</v>
      </c>
    </row>
    <row r="1492" spans="1:1" x14ac:dyDescent="0.25">
      <c r="A1492" t="str">
        <v>OVOLGSEPMRECREGAFINDM85120ACRV</v>
      </c>
    </row>
    <row r="1493" spans="1:1" x14ac:dyDescent="0.25">
      <c r="A1493" t="str">
        <v>OVOLGSEPMRECREGAFINDM85120ACRS</v>
      </c>
    </row>
    <row r="1494" spans="1:1" x14ac:dyDescent="0.25">
      <c r="A1494" t="str">
        <v>OVOLGSEPMRECREGAFINDM85120ACFP</v>
      </c>
    </row>
    <row r="1495" spans="1:1" x14ac:dyDescent="0.25">
      <c r="A1495" t="str">
        <v>OVOLGSEPMRECREGAFINDM85120ACPPTM</v>
      </c>
    </row>
    <row r="1496" spans="1:1" x14ac:dyDescent="0.25">
      <c r="A1496" t="str">
        <v>OVOLGSEPMRECREGAFINDM85120ACT</v>
      </c>
    </row>
    <row r="1497" spans="1:1" x14ac:dyDescent="0.25">
      <c r="A1497" t="str">
        <v>OVOLGSEPMRECREGAFINDM120150ACRV</v>
      </c>
    </row>
    <row r="1498" spans="1:1" x14ac:dyDescent="0.25">
      <c r="A1498" t="str">
        <v>OVOLGSEPMRECREGAFINDM120150ACRS</v>
      </c>
    </row>
    <row r="1499" spans="1:1" x14ac:dyDescent="0.25">
      <c r="A1499" t="str">
        <v>OVOLGSEPMRECREGAFINDM120150ACFP</v>
      </c>
    </row>
    <row r="1500" spans="1:1" x14ac:dyDescent="0.25">
      <c r="A1500" t="str">
        <v>OVOLGSEPMRECREGAFINDM120150ACPPTM</v>
      </c>
    </row>
    <row r="1501" spans="1:1" x14ac:dyDescent="0.25">
      <c r="A1501" t="str">
        <v>OVOLGSEPMRECREGAFINDM120150ACT</v>
      </c>
    </row>
    <row r="1502" spans="1:1" x14ac:dyDescent="0.25">
      <c r="A1502" t="str">
        <v>OVOLGSEPMRECREGAFINDM150200ACRV</v>
      </c>
    </row>
    <row r="1503" spans="1:1" x14ac:dyDescent="0.25">
      <c r="A1503" t="str">
        <v>OVOLGSEPMRECREGAFINDM150200ACRS</v>
      </c>
    </row>
    <row r="1504" spans="1:1" x14ac:dyDescent="0.25">
      <c r="A1504" t="str">
        <v>OVOLGSEPMRECREGAFINDM150200ACFP</v>
      </c>
    </row>
    <row r="1505" spans="1:1" x14ac:dyDescent="0.25">
      <c r="A1505" t="str">
        <v>OVOLGSEPMRECREGAFINDM150200ACPPTM</v>
      </c>
    </row>
    <row r="1506" spans="1:1" x14ac:dyDescent="0.25">
      <c r="A1506" t="str">
        <v>OVOLGSEPMRECREGAFINDM150200ACT</v>
      </c>
    </row>
    <row r="1507" spans="1:1" x14ac:dyDescent="0.25">
      <c r="A1507" t="str">
        <v>OVOLGSEPMRECREGAFINDM200PACRV</v>
      </c>
    </row>
    <row r="1508" spans="1:1" x14ac:dyDescent="0.25">
      <c r="A1508" t="str">
        <v>OVOLGSEPMRECREGAFINDM200PACRS</v>
      </c>
    </row>
    <row r="1509" spans="1:1" x14ac:dyDescent="0.25">
      <c r="A1509" t="str">
        <v>OVOLGSEPMRECREGAFINDM200PACFP</v>
      </c>
    </row>
    <row r="1510" spans="1:1" x14ac:dyDescent="0.25">
      <c r="A1510" t="str">
        <v>OVOLGSEPMRECREGAFINDM200PACPPTM</v>
      </c>
    </row>
    <row r="1511" spans="1:1" x14ac:dyDescent="0.25">
      <c r="A1511" t="str">
        <v>OVOLGSEPMRECREGAFINDM200PACT</v>
      </c>
    </row>
    <row r="1512" spans="1:1" x14ac:dyDescent="0.25">
      <c r="A1512" t="str">
        <v>OVOLGSEPMRECM085AEC</v>
      </c>
    </row>
    <row r="1513" spans="1:1" x14ac:dyDescent="0.25">
      <c r="A1513" t="str">
        <v>OVOLGSEPMREC85120AEC</v>
      </c>
    </row>
    <row r="1514" spans="1:1" x14ac:dyDescent="0.25">
      <c r="A1514" t="str">
        <v>OVOLGSEPMREC120150AEC</v>
      </c>
    </row>
    <row r="1515" spans="1:1" x14ac:dyDescent="0.25">
      <c r="A1515" t="str">
        <v>OVOLGSEPMREC150200AEC</v>
      </c>
    </row>
    <row r="1516" spans="1:1" x14ac:dyDescent="0.25">
      <c r="A1516" t="str">
        <v>OVOLGSEPMREC200AEC</v>
      </c>
    </row>
    <row r="1517" spans="1:1" x14ac:dyDescent="0.25">
      <c r="A1517" t="str">
        <v>OVOLGSEPMRECM085ACPIP</v>
      </c>
    </row>
    <row r="1518" spans="1:1" x14ac:dyDescent="0.25">
      <c r="A1518" t="str">
        <v>OVOLGSEPMREC85120ACPIP</v>
      </c>
    </row>
    <row r="1519" spans="1:1" x14ac:dyDescent="0.25">
      <c r="A1519" t="str">
        <v>OVOLGSEPMREC120150ACPIP</v>
      </c>
    </row>
    <row r="1520" spans="1:1" x14ac:dyDescent="0.25">
      <c r="A1520" t="str">
        <v>OVOLGSEPMREC150200ACPIP</v>
      </c>
    </row>
    <row r="1521" spans="1:1" x14ac:dyDescent="0.25">
      <c r="A1521" t="str">
        <v>OVOLGSEPMREC200ACPIP</v>
      </c>
    </row>
    <row r="1522" spans="1:1" x14ac:dyDescent="0.25">
      <c r="A1522" t="str">
        <v>OVOLGSEPMRECM085ACPIL</v>
      </c>
    </row>
    <row r="1523" spans="1:1" x14ac:dyDescent="0.25">
      <c r="A1523" t="str">
        <v>OVOLGSEPMREC85120ACPIL</v>
      </c>
    </row>
    <row r="1524" spans="1:1" x14ac:dyDescent="0.25">
      <c r="A1524" t="str">
        <v>OVOLGSEPMREC120150ACPIL</v>
      </c>
    </row>
    <row r="1525" spans="1:1" x14ac:dyDescent="0.25">
      <c r="A1525" t="str">
        <v>OVOLGSEPMREC150200ACPIL</v>
      </c>
    </row>
    <row r="1526" spans="1:1" x14ac:dyDescent="0.25">
      <c r="A1526" t="str">
        <v>OVOLGSEPMREC200ACPIL</v>
      </c>
    </row>
    <row r="1527" spans="1:1" x14ac:dyDescent="0.25">
      <c r="A1527" t="str">
        <v>OVOLGSEPMRECREGAPARM085</v>
      </c>
    </row>
    <row r="1528" spans="1:1" x14ac:dyDescent="0.25">
      <c r="A1528" t="str">
        <v>OVOLGSEPMRECREGAPAR85120</v>
      </c>
    </row>
    <row r="1529" spans="1:1" x14ac:dyDescent="0.25">
      <c r="A1529" t="str">
        <v>OVOLGSEPMRECREGAPAR120150</v>
      </c>
    </row>
    <row r="1530" spans="1:1" x14ac:dyDescent="0.25">
      <c r="A1530" t="str">
        <v>OVOLGSEPMRECREGAPAR150200</v>
      </c>
    </row>
    <row r="1531" spans="1:1" x14ac:dyDescent="0.25">
      <c r="A1531" t="str">
        <v>OVOLGSEPMRECREGAPAR200</v>
      </c>
    </row>
    <row r="1532" spans="1:1" x14ac:dyDescent="0.25">
      <c r="A1532" t="str">
        <v>OVOLGSEPMRECREGAFINDM085</v>
      </c>
    </row>
    <row r="1533" spans="1:1" x14ac:dyDescent="0.25">
      <c r="A1533" t="str">
        <v>OVOLGSEPMRECREGAFINDM85120</v>
      </c>
    </row>
    <row r="1534" spans="1:1" x14ac:dyDescent="0.25">
      <c r="A1534" t="str">
        <v>OVOLGSEPMRECREGAFINDM120150</v>
      </c>
    </row>
    <row r="1535" spans="1:1" x14ac:dyDescent="0.25">
      <c r="A1535" t="str">
        <v>OVOLGSEPMRECREGAFINDM150200</v>
      </c>
    </row>
    <row r="1536" spans="1:1" x14ac:dyDescent="0.25">
      <c r="A1536" t="str">
        <v>OVOLGSEPMRECREGAFINDM200P</v>
      </c>
    </row>
    <row r="1537" spans="1:1" x14ac:dyDescent="0.25">
      <c r="A1537" t="str">
        <v>OVOLGSEPMTOTM085</v>
      </c>
    </row>
    <row r="1538" spans="1:1" x14ac:dyDescent="0.25">
      <c r="A1538" t="str">
        <v>OVOLGSEPMTOT85120</v>
      </c>
    </row>
    <row r="1539" spans="1:1" x14ac:dyDescent="0.25">
      <c r="A1539" t="str">
        <v>OVOLGSEPMTOT120150</v>
      </c>
    </row>
    <row r="1540" spans="1:1" x14ac:dyDescent="0.25">
      <c r="A1540" t="str">
        <v>OVOLGSEPMTOT150200</v>
      </c>
    </row>
    <row r="1541" spans="1:1" x14ac:dyDescent="0.25">
      <c r="A1541" t="str">
        <v>OVOLGSEPMTOT200</v>
      </c>
    </row>
    <row r="1542" spans="1:1" x14ac:dyDescent="0.25">
      <c r="A1542" t="str">
        <v>OSUPREGECOAGE2</v>
      </c>
    </row>
    <row r="1543" spans="1:1" x14ac:dyDescent="0.25">
      <c r="A1543" t="str">
        <v>OSUPREGECOAGE3</v>
      </c>
    </row>
    <row r="1544" spans="1:1" x14ac:dyDescent="0.25">
      <c r="A1544" t="str">
        <v>OSUPREGECOAGE4</v>
      </c>
    </row>
    <row r="1545" spans="1:1" x14ac:dyDescent="0.25">
      <c r="A1545" t="str">
        <v>OSUPREGECOAGE5</v>
      </c>
    </row>
    <row r="1546" spans="1:1" x14ac:dyDescent="0.25">
      <c r="A1546" t="str">
        <v>OSUPREGECOAGE6</v>
      </c>
    </row>
    <row r="1547" spans="1:1" x14ac:dyDescent="0.25">
      <c r="A1547" t="str">
        <v>OSUPREGECOAGE7</v>
      </c>
    </row>
    <row r="1548" spans="1:1" x14ac:dyDescent="0.25">
      <c r="A1548" t="str">
        <v>OSUPREGECOAGE8</v>
      </c>
    </row>
    <row r="1549" spans="1:1" x14ac:dyDescent="0.25">
      <c r="A1549" t="str">
        <v>OSUPREGECOAGE9</v>
      </c>
    </row>
    <row r="1550" spans="1:1" x14ac:dyDescent="0.25">
      <c r="A1550" t="str">
        <v>OHAUTREGECOAGE2</v>
      </c>
    </row>
    <row r="1551" spans="1:1" x14ac:dyDescent="0.25">
      <c r="A1551" t="str">
        <v>OHAUTREGECOAGE3</v>
      </c>
    </row>
    <row r="1552" spans="1:1" x14ac:dyDescent="0.25">
      <c r="A1552" t="str">
        <v>OHAUTREGECOAGE4</v>
      </c>
    </row>
    <row r="1553" spans="1:1" x14ac:dyDescent="0.25">
      <c r="A1553" t="str">
        <v>OHAUTREGECOAGE5</v>
      </c>
    </row>
    <row r="1554" spans="1:1" x14ac:dyDescent="0.25">
      <c r="A1554" t="str">
        <v>OHAUTREGECOAGE6</v>
      </c>
    </row>
    <row r="1555" spans="1:1" x14ac:dyDescent="0.25">
      <c r="A1555" t="str">
        <v>OHAUTREGECOAGE7</v>
      </c>
    </row>
    <row r="1556" spans="1:1" x14ac:dyDescent="0.25">
      <c r="A1556" t="str">
        <v>OHAUTREGECOAGE8</v>
      </c>
    </row>
    <row r="1557" spans="1:1" x14ac:dyDescent="0.25">
      <c r="A1557" t="str">
        <v>OHAUTREGECOAGE9</v>
      </c>
    </row>
    <row r="1558" spans="1:1" x14ac:dyDescent="0.25">
      <c r="A1558" t="str">
        <v>ONBTBOPADMREGAFIN</v>
      </c>
    </row>
    <row r="1559" spans="1:1" x14ac:dyDescent="0.25">
      <c r="A1559" t="str">
        <v>ONBTGSEPMADMREGAFIN</v>
      </c>
    </row>
    <row r="1560" spans="1:1" x14ac:dyDescent="0.25">
      <c r="A1560" t="str">
        <v>OSUPINCCLASSEAGEFCAGEAGE1</v>
      </c>
    </row>
    <row r="1561" spans="1:1" x14ac:dyDescent="0.25">
      <c r="A1561" t="str">
        <v>OSUPINCCLASSEAGEFCAGEAGE2</v>
      </c>
    </row>
    <row r="1562" spans="1:1" x14ac:dyDescent="0.25">
      <c r="A1562" t="str">
        <v>OSUPINCCLASSEAGEFCAGEAGE3</v>
      </c>
    </row>
    <row r="1563" spans="1:1" x14ac:dyDescent="0.25">
      <c r="A1563" t="str">
        <v>OSUPINCCLASSEAGEFCAGEAGE4</v>
      </c>
    </row>
    <row r="1564" spans="1:1" x14ac:dyDescent="0.25">
      <c r="A1564" t="str">
        <v>OSUPINCCLASSEAGEFCAGEAGE5</v>
      </c>
    </row>
    <row r="1565" spans="1:1" x14ac:dyDescent="0.25">
      <c r="A1565" t="str">
        <v>OSUPINCCLASSEAGEFCAGEAGE6</v>
      </c>
    </row>
    <row r="1566" spans="1:1" x14ac:dyDescent="0.25">
      <c r="A1566" t="str">
        <v>OSUPINCCLASSEAGEFCAGEAGE7</v>
      </c>
    </row>
    <row r="1567" spans="1:1" x14ac:dyDescent="0.25">
      <c r="A1567" t="str">
        <v>OSUPINCCLASSEAGEFCAGEAGE8</v>
      </c>
    </row>
    <row r="1568" spans="1:1" x14ac:dyDescent="0.25">
      <c r="A1568" t="str">
        <v>OSUPINCCLASSEAGEFCAGEAGE9</v>
      </c>
    </row>
    <row r="1569" spans="1:1" x14ac:dyDescent="0.25">
      <c r="A1569" t="str">
        <v>OSUPINCCLASSEAGEFCAGEAGE10</v>
      </c>
    </row>
    <row r="1570" spans="1:1" x14ac:dyDescent="0.25">
      <c r="A1570" t="str">
        <v>OSUPINCCLASSEAGEFCAGEAGE11</v>
      </c>
    </row>
    <row r="1571" spans="1:1" x14ac:dyDescent="0.25">
      <c r="A1571" t="str">
        <v>OSUPINCCLASSEAGEFCAGEAGE12</v>
      </c>
    </row>
    <row r="1572" spans="1:1" x14ac:dyDescent="0.25">
      <c r="A1572" t="str">
        <v>OSUPINCCLASSEAGEFCAGEAGE13</v>
      </c>
    </row>
    <row r="1573" spans="1:1" x14ac:dyDescent="0.25">
      <c r="A1573" t="str">
        <v>OSUPINCCLASSEAGEFCAGEAGE14</v>
      </c>
    </row>
    <row r="1574" spans="1:1" x14ac:dyDescent="0.25">
      <c r="A1574" t="str">
        <v>OSUPINCCLASSEAGEFCAGEAGE15</v>
      </c>
    </row>
    <row r="1575" spans="1:1" x14ac:dyDescent="0.25">
      <c r="A1575" t="str">
        <v>OSUPINCCLASSEAGEFCAGEAGE16</v>
      </c>
    </row>
    <row r="1576" spans="1:1" x14ac:dyDescent="0.25">
      <c r="A1576" t="str">
        <v>OSUPINCCLASSEAGEFCAGEAGE17</v>
      </c>
    </row>
    <row r="1577" spans="1:1" x14ac:dyDescent="0.25">
      <c r="A1577" t="str">
        <v>OSUPINCCLASSEAGEFCAGEAGE18</v>
      </c>
    </row>
    <row r="1578" spans="1:1" x14ac:dyDescent="0.25">
      <c r="A1578" t="str">
        <v>OSUPINCCLASSEAGEFCAGEAGE19</v>
      </c>
    </row>
    <row r="1579" spans="1:1" x14ac:dyDescent="0.25">
      <c r="A1579" t="str">
        <v>OSUPINCCLASSEAGEFCAGEAGE20</v>
      </c>
    </row>
    <row r="1580" spans="1:1" x14ac:dyDescent="0.25">
      <c r="A1580" t="str">
        <v>OSUPINCCLASSEAGEFCAGEAGE21</v>
      </c>
    </row>
    <row r="1581" spans="1:1" x14ac:dyDescent="0.25">
      <c r="A1581" t="str">
        <v>OSUPINCCLASSEAGEFCAGEAGE22</v>
      </c>
    </row>
    <row r="1582" spans="1:1" x14ac:dyDescent="0.25">
      <c r="A1582" t="str">
        <v>OSUPINCCLASSEAGEFCAGEAGE23</v>
      </c>
    </row>
    <row r="1583" spans="1:1" x14ac:dyDescent="0.25">
      <c r="A1583" t="str">
        <v>OSUPINCCLASSEAGEFCAGEAGE24</v>
      </c>
    </row>
    <row r="1584" spans="1:1" x14ac:dyDescent="0.25">
      <c r="A1584" t="str">
        <v>OSUPINCCLASSEAGEFCAGEAGE25</v>
      </c>
    </row>
    <row r="1585" spans="1:1" x14ac:dyDescent="0.25">
      <c r="A1585" t="str">
        <v>OSUPINCCLASSEAGEFCAGEAGE26</v>
      </c>
    </row>
    <row r="1586" spans="1:1" x14ac:dyDescent="0.25">
      <c r="A1586" t="str">
        <v>OSUPINCCLASSEAGEFCAGEAGE27</v>
      </c>
    </row>
    <row r="1587" spans="1:1" x14ac:dyDescent="0.25">
      <c r="A1587" t="str">
        <v>OSUPINCCLASSEAGEFCAGEAGE28</v>
      </c>
    </row>
    <row r="1588" spans="1:1" x14ac:dyDescent="0.25">
      <c r="A1588" t="str">
        <v>OSUPINCCLASSEAGEFCAGEAGE29</v>
      </c>
    </row>
    <row r="1589" spans="1:1" x14ac:dyDescent="0.25">
      <c r="A1589" t="str">
        <v>OSUPINCCLASSEAGEFCAGEAGE30+</v>
      </c>
    </row>
    <row r="1590" spans="1:1" x14ac:dyDescent="0.25">
      <c r="A1590" t="str">
        <v>OSUPREGECO_UTA001</v>
      </c>
    </row>
    <row r="1591" spans="1:1" x14ac:dyDescent="0.25">
      <c r="A1591" t="str">
        <v>OSUPJEUNEREGECO_UTA001</v>
      </c>
    </row>
    <row r="1592" spans="1:1" x14ac:dyDescent="0.25">
      <c r="A1592" t="str">
        <v>OSUPJEUNEALERTEREGECO_UTA001</v>
      </c>
    </row>
    <row r="1593" spans="1:1" x14ac:dyDescent="0.25">
      <c r="A1593" t="str">
        <v>OSUPJEUNEACCEPTREGECO_UTA001</v>
      </c>
    </row>
    <row r="1594" spans="1:1" x14ac:dyDescent="0.25">
      <c r="A1594" t="str">
        <v>OSUPVIEUXTOTREGECO_UTA001</v>
      </c>
    </row>
    <row r="1595" spans="1:1" x14ac:dyDescent="0.25">
      <c r="A1595" t="str">
        <v>OSUPVIEUXTOTREGECO_FCST_UTA001</v>
      </c>
    </row>
    <row r="1596" spans="1:1" x14ac:dyDescent="0.25">
      <c r="A1596" t="str">
        <v>OSUPVIEUXTOTREGECO_FCAGE_UTA001</v>
      </c>
    </row>
    <row r="1597" spans="1:1" x14ac:dyDescent="0.25">
      <c r="A1597" t="str">
        <v>OSUPVIEUXALERTEREGECO_UTA001</v>
      </c>
    </row>
    <row r="1598" spans="1:1" x14ac:dyDescent="0.25">
      <c r="A1598" t="str">
        <v>OSUPVIEUXACCEPTREGECO_UTA001</v>
      </c>
    </row>
    <row r="1599" spans="1:1" x14ac:dyDescent="0.25">
      <c r="A1599" t="str">
        <v>OSUPREGECO_UTA002</v>
      </c>
    </row>
    <row r="1600" spans="1:1" x14ac:dyDescent="0.25">
      <c r="A1600" t="str">
        <v>OSUPJEUNEREGECO_UTA002</v>
      </c>
    </row>
    <row r="1601" spans="1:1" x14ac:dyDescent="0.25">
      <c r="A1601" t="str">
        <v>OSUPJEUNEALERTEREGECO_UTA002</v>
      </c>
    </row>
    <row r="1602" spans="1:1" x14ac:dyDescent="0.25">
      <c r="A1602" t="str">
        <v>OSUPJEUNEACCEPTREGECO_UTA002</v>
      </c>
    </row>
    <row r="1603" spans="1:1" x14ac:dyDescent="0.25">
      <c r="A1603" t="str">
        <v>OSUPVIEUXTOTREGECO_UTA002</v>
      </c>
    </row>
    <row r="1604" spans="1:1" x14ac:dyDescent="0.25">
      <c r="A1604" t="str">
        <v>OSUPVIEUXTOTREGECO_FCST_UTA002</v>
      </c>
    </row>
    <row r="1605" spans="1:1" x14ac:dyDescent="0.25">
      <c r="A1605" t="str">
        <v>OSUPVIEUXTOTREGECO_FCAGE_UTA002</v>
      </c>
    </row>
    <row r="1606" spans="1:1" x14ac:dyDescent="0.25">
      <c r="A1606" t="str">
        <v>OSUPVIEUXALERTEREGECO_UTA002</v>
      </c>
    </row>
    <row r="1607" spans="1:1" x14ac:dyDescent="0.25">
      <c r="A1607" t="str">
        <v>OSUPVIEUXACCEPTREGECO_UTA002</v>
      </c>
    </row>
    <row r="1608" spans="1:1" x14ac:dyDescent="0.25">
      <c r="A1608" t="str">
        <v>OSUPREGECO_UTA003</v>
      </c>
    </row>
    <row r="1609" spans="1:1" x14ac:dyDescent="0.25">
      <c r="A1609" t="str">
        <v>OSUPJEUNEREGECO_UTA003</v>
      </c>
    </row>
    <row r="1610" spans="1:1" x14ac:dyDescent="0.25">
      <c r="A1610" t="str">
        <v>OSUPJEUNEALERTEREGECO_UTA003</v>
      </c>
    </row>
    <row r="1611" spans="1:1" x14ac:dyDescent="0.25">
      <c r="A1611" t="str">
        <v>OSUPJEUNEACCEPTREGECO_UTA003</v>
      </c>
    </row>
    <row r="1612" spans="1:1" x14ac:dyDescent="0.25">
      <c r="A1612" t="str">
        <v>OSUPVIEUXTOTREGECO_UTA003</v>
      </c>
    </row>
    <row r="1613" spans="1:1" x14ac:dyDescent="0.25">
      <c r="A1613" t="str">
        <v>OSUPVIEUXTOTREGECO_FCST_UTA003</v>
      </c>
    </row>
    <row r="1614" spans="1:1" x14ac:dyDescent="0.25">
      <c r="A1614" t="str">
        <v>OSUPVIEUXTOTREGECO_FCAGE_UTA003</v>
      </c>
    </row>
    <row r="1615" spans="1:1" x14ac:dyDescent="0.25">
      <c r="A1615" t="str">
        <v>OSUPVIEUXALERTEREGECO_UTA003</v>
      </c>
    </row>
    <row r="1616" spans="1:1" x14ac:dyDescent="0.25">
      <c r="A1616" t="str">
        <v>OSUPVIEUXACCEPTREGECO_UTA003</v>
      </c>
    </row>
    <row r="1617" spans="1:1" x14ac:dyDescent="0.25">
      <c r="A1617" t="str">
        <v>OSUPJEUNEREGECO</v>
      </c>
    </row>
    <row r="1618" spans="1:1" x14ac:dyDescent="0.25">
      <c r="A1618" t="str">
        <v>OSUPJEUNEALERTEREGECO</v>
      </c>
    </row>
    <row r="1619" spans="1:1" x14ac:dyDescent="0.25">
      <c r="A1619" t="str">
        <v>OSUPJEUNEACCEPTREGECO</v>
      </c>
    </row>
    <row r="1620" spans="1:1" x14ac:dyDescent="0.25">
      <c r="A1620" t="str">
        <v>OSUPVIEUXTOTREGECO</v>
      </c>
    </row>
    <row r="1621" spans="1:1" x14ac:dyDescent="0.25">
      <c r="A1621" t="str">
        <v>OSUPVIEUXTOTREGECO_FCST</v>
      </c>
    </row>
    <row r="1622" spans="1:1" x14ac:dyDescent="0.25">
      <c r="A1622" t="str">
        <v>OSUPVIEUXTOTREGECO_FCAGE</v>
      </c>
    </row>
    <row r="1623" spans="1:1" x14ac:dyDescent="0.25">
      <c r="A1623" t="str">
        <v>OSUPVIEUXALERTEREGECO</v>
      </c>
    </row>
    <row r="1624" spans="1:1" x14ac:dyDescent="0.25">
      <c r="A1624" t="str">
        <v>OSUPVIEUXACCEPTREGECO</v>
      </c>
    </row>
    <row r="1625" spans="1:1" x14ac:dyDescent="0.25">
      <c r="A1625" t="str">
        <v>OSUPTBEVULNERABLE</v>
      </c>
    </row>
    <row r="1626" spans="1:1" x14ac:dyDescent="0.25">
      <c r="A1626" t="str">
        <v>OSUPTBEMOYVULNERABLE</v>
      </c>
    </row>
    <row r="1627" spans="1:1" x14ac:dyDescent="0.25">
      <c r="A1627" t="str">
        <v>OSUPTBEPEUVULNERABLE</v>
      </c>
    </row>
    <row r="1628" spans="1:1" x14ac:dyDescent="0.25">
      <c r="A1628" t="str">
        <v>OSUPADMSTRATESVULNTBE</v>
      </c>
    </row>
    <row r="1629" spans="1:1" x14ac:dyDescent="0.25">
      <c r="A1629" t="str">
        <v>OSUPREALSTRATESVULNTBE</v>
      </c>
    </row>
    <row r="1630" spans="1:1" x14ac:dyDescent="0.25">
      <c r="A1630" t="str">
        <v>OSUPREALREGAPARVULNTBE</v>
      </c>
    </row>
    <row r="1631" spans="1:1" x14ac:dyDescent="0.25">
      <c r="A1631" t="str">
        <v>OSUPREALREGAFINVULNTBE</v>
      </c>
    </row>
    <row r="1632" spans="1:1" x14ac:dyDescent="0.25">
      <c r="A1632" t="str">
        <v>OVOLTOTPIEDINCTBE</v>
      </c>
    </row>
    <row r="1633" spans="1:1" x14ac:dyDescent="0.25">
      <c r="A1633" t="str">
        <v>OVOLTOTRECTBEACRV</v>
      </c>
    </row>
    <row r="1634" spans="1:1" x14ac:dyDescent="0.25">
      <c r="A1634" t="str">
        <v>OVOLTOTRECTBEACRS</v>
      </c>
    </row>
    <row r="1635" spans="1:1" x14ac:dyDescent="0.25">
      <c r="A1635" t="str">
        <v>OVOLTOTRECTBEACFP</v>
      </c>
    </row>
    <row r="1636" spans="1:1" x14ac:dyDescent="0.25">
      <c r="A1636" t="str">
        <v>OVOLTOTRECTBEACPPTM</v>
      </c>
    </row>
    <row r="1637" spans="1:1" x14ac:dyDescent="0.25">
      <c r="A1637" t="str">
        <v>OVOLTOTRECTBEACT</v>
      </c>
    </row>
    <row r="1638" spans="1:1" x14ac:dyDescent="0.25">
      <c r="A1638" t="str">
        <v>OVOLTOTRECTBEAEC</v>
      </c>
    </row>
    <row r="1639" spans="1:1" x14ac:dyDescent="0.25">
      <c r="A1639" t="str">
        <v>OVOLTOTRECTBEAEC2</v>
      </c>
    </row>
    <row r="1640" spans="1:1" x14ac:dyDescent="0.25">
      <c r="A1640" t="str">
        <v>OVOLTOTRECTBEAEC3</v>
      </c>
    </row>
    <row r="1641" spans="1:1" x14ac:dyDescent="0.25">
      <c r="A1641" t="str">
        <v>OVOLTOTRECTBEACA</v>
      </c>
    </row>
    <row r="1642" spans="1:1" x14ac:dyDescent="0.25">
      <c r="A1642" t="str">
        <v>OVOLTOTRECTBEACA2</v>
      </c>
    </row>
    <row r="1643" spans="1:1" x14ac:dyDescent="0.25">
      <c r="A1643" t="str">
        <v>OVOLTOTRECTBEACPROG</v>
      </c>
    </row>
    <row r="1644" spans="1:1" x14ac:dyDescent="0.25">
      <c r="A1644" t="str">
        <v>OVOLTOTRECTBEACPIL</v>
      </c>
    </row>
    <row r="1645" spans="1:1" x14ac:dyDescent="0.25">
      <c r="A1645" t="str">
        <v>OVOLTOTRECTBEACPIP</v>
      </c>
    </row>
    <row r="1646" spans="1:1" x14ac:dyDescent="0.25">
      <c r="A1646" t="str">
        <v>OVOLTOTRECTBEACPFORT</v>
      </c>
    </row>
    <row r="1647" spans="1:1" x14ac:dyDescent="0.25">
      <c r="A1647" t="str">
        <v>OVOLTOTRECTBEACPFAIBL</v>
      </c>
    </row>
    <row r="1648" spans="1:1" x14ac:dyDescent="0.25">
      <c r="A1648" t="str">
        <v>OVOLTOTRECTBEACP</v>
      </c>
    </row>
    <row r="1649" spans="1:1" x14ac:dyDescent="0.25">
      <c r="A1649" t="str">
        <v>OVOLTOTRECTBEACPJ</v>
      </c>
    </row>
    <row r="1650" spans="1:1" x14ac:dyDescent="0.25">
      <c r="A1650" t="str">
        <v>OVOLTOTRECTBEACJ</v>
      </c>
    </row>
    <row r="1651" spans="1:1" x14ac:dyDescent="0.25">
      <c r="A1651" t="str">
        <v>OVOLTOTRECTBE</v>
      </c>
    </row>
    <row r="1652" spans="1:1" x14ac:dyDescent="0.25">
      <c r="A1652" t="str">
        <v>OSUPADMATBEMORT</v>
      </c>
    </row>
    <row r="1653" spans="1:1" x14ac:dyDescent="0.25">
      <c r="A1653" t="str">
        <v>OSUPATBEMORT</v>
      </c>
    </row>
    <row r="1654" spans="1:1" x14ac:dyDescent="0.25">
      <c r="A1654" t="str">
        <v>OSUPREALREGAPAR_TBEMORT</v>
      </c>
    </row>
    <row r="1655" spans="1:1" x14ac:dyDescent="0.25">
      <c r="A1655" t="str">
        <v>OSUPREGAFINBAV</v>
      </c>
    </row>
    <row r="1656" spans="1:1" x14ac:dyDescent="0.25">
      <c r="A1656" t="str">
        <v>OSUPAECBAV</v>
      </c>
    </row>
    <row r="1657" spans="1:1" x14ac:dyDescent="0.25">
      <c r="A1657" t="str">
        <v>OSUPAECREGAPARBAV</v>
      </c>
    </row>
    <row r="1658" spans="1:1" x14ac:dyDescent="0.25">
      <c r="A1658" t="str">
        <v>OSUPTOTAECBAV</v>
      </c>
    </row>
    <row r="1659" spans="1:1" x14ac:dyDescent="0.25">
      <c r="A1659" t="str">
        <v>OSUPPRODREGECOBAV</v>
      </c>
    </row>
    <row r="1660" spans="1:1" x14ac:dyDescent="0.25">
      <c r="A1660" t="str">
        <v>OSUPREALREGAPRECOS</v>
      </c>
    </row>
    <row r="1661" spans="1:1" x14ac:dyDescent="0.25">
      <c r="A1661" t="str">
        <v>OSUPREALACTCOS</v>
      </c>
    </row>
    <row r="1662" spans="1:1" x14ac:dyDescent="0.25">
      <c r="A1662" t="str">
        <v>OSUPINCCOS</v>
      </c>
    </row>
    <row r="1663" spans="1:1" x14ac:dyDescent="0.25">
      <c r="A1663" t="str">
        <v>OSUPCOS01</v>
      </c>
    </row>
    <row r="1664" spans="1:1" x14ac:dyDescent="0.25">
      <c r="A1664" t="str">
        <v>OSUPREALACPILCOS</v>
      </c>
    </row>
    <row r="1665" spans="1:1" x14ac:dyDescent="0.25">
      <c r="A1665" t="str">
        <v>OSUP_PL_AMAT350_IDR1</v>
      </c>
    </row>
    <row r="1666" spans="1:1" x14ac:dyDescent="0.25">
      <c r="A1666" t="str">
        <v>OSUP_EPC_AMAT350_IDR1</v>
      </c>
    </row>
    <row r="1667" spans="1:1" x14ac:dyDescent="0.25">
      <c r="A1667" t="str">
        <v>OTAUXCJ_100</v>
      </c>
    </row>
    <row r="1668" spans="1:1" x14ac:dyDescent="0.25">
      <c r="A1668" t="str">
        <v>OTAUXCPICP_100</v>
      </c>
    </row>
    <row r="1669" spans="1:1" x14ac:dyDescent="0.25">
      <c r="A1669" t="str">
        <v>OTAUXCPIRL_FIN_100</v>
      </c>
    </row>
    <row r="1670" spans="1:1" x14ac:dyDescent="0.25">
      <c r="A1670" t="str">
        <v>OTAUXCPIRL_INI_100</v>
      </c>
    </row>
    <row r="1671" spans="1:1" x14ac:dyDescent="0.25">
      <c r="A1671" t="str">
        <v>OTAUXCPROG_FIN_100</v>
      </c>
    </row>
    <row r="1672" spans="1:1" x14ac:dyDescent="0.25">
      <c r="A1672" t="str">
        <v>OTAUXCPROG_INI_100</v>
      </c>
    </row>
    <row r="1673" spans="1:1" x14ac:dyDescent="0.25">
      <c r="A1673" t="str">
        <v>OTAUXCT_100</v>
      </c>
    </row>
    <row r="1674" spans="1:1" x14ac:dyDescent="0.25">
      <c r="A1674" t="str">
        <v>OTAUXDEG_1_100</v>
      </c>
    </row>
    <row r="1675" spans="1:1" x14ac:dyDescent="0.25">
      <c r="A1675" t="str">
        <v>OTAUXDEG_2_100</v>
      </c>
    </row>
    <row r="1676" spans="1:1" x14ac:dyDescent="0.25">
      <c r="A1676" t="str">
        <v>OTAUXEC_SEPM_100</v>
      </c>
    </row>
    <row r="1677" spans="1:1" x14ac:dyDescent="0.25">
      <c r="A1677" t="str">
        <v>OTAUXELAG_100</v>
      </c>
    </row>
    <row r="1678" spans="1:1" x14ac:dyDescent="0.25">
      <c r="A1678" t="str">
        <v>OTAUXENS_100</v>
      </c>
    </row>
    <row r="1679" spans="1:1" x14ac:dyDescent="0.25">
      <c r="A1679" t="str">
        <v>OTAUXEPC_1_100</v>
      </c>
    </row>
    <row r="1680" spans="1:1" x14ac:dyDescent="0.25">
      <c r="A1680" t="str">
        <v>OTAUXEPC_2_100</v>
      </c>
    </row>
    <row r="1681" spans="1:1" x14ac:dyDescent="0.25">
      <c r="A1681" t="str">
        <v>OTAUXNETT_100</v>
      </c>
    </row>
    <row r="1682" spans="1:1" x14ac:dyDescent="0.25">
      <c r="A1682" t="str">
        <v>OTAUXPL_PPF_100</v>
      </c>
    </row>
    <row r="1683" spans="1:1" x14ac:dyDescent="0.25">
      <c r="A1683" t="str">
        <v>OTAUXPL_SEPM_E_100</v>
      </c>
    </row>
    <row r="1684" spans="1:1" x14ac:dyDescent="0.25">
      <c r="A1684" t="str">
        <v>OTAUXPL_SEPM_I_100</v>
      </c>
    </row>
    <row r="1685" spans="1:1" x14ac:dyDescent="0.25">
      <c r="A1685" t="str">
        <v>OTAUXREG_100</v>
      </c>
    </row>
    <row r="1686" spans="1:1" x14ac:dyDescent="0.25">
      <c r="A1686" t="str">
        <v>OTAUXSCA_LIGN_100</v>
      </c>
    </row>
    <row r="1687" spans="1:1" x14ac:dyDescent="0.25">
      <c r="A1687" t="str">
        <v>OTAUXSCA_LRD_100</v>
      </c>
    </row>
    <row r="1688" spans="1:1" x14ac:dyDescent="0.25">
      <c r="A1688" t="str">
        <v>OTAUXSCA_PART_100</v>
      </c>
    </row>
    <row r="1689" spans="1:1" x14ac:dyDescent="0.25">
      <c r="A1689" t="str">
        <v>OTAUXSCA_REG_100</v>
      </c>
    </row>
    <row r="1690" spans="1:1" x14ac:dyDescent="0.25">
      <c r="A1690" t="str">
        <v>O$BUDGET</v>
      </c>
    </row>
    <row r="1691" spans="1:1" x14ac:dyDescent="0.25">
      <c r="A1691" t="str">
        <v>OSUP_IMPROD</v>
      </c>
    </row>
    <row r="1692" spans="1:1" x14ac:dyDescent="0.25">
      <c r="A1692" t="str">
        <v>OSUP_IMPROD_REV2+</v>
      </c>
    </row>
    <row r="1693" spans="1:1" x14ac:dyDescent="0.25">
      <c r="A1693" t="str">
        <v>OSUPREGECO_0_20ANS_AF2</v>
      </c>
    </row>
    <row r="1694" spans="1:1" x14ac:dyDescent="0.25">
      <c r="A1694" t="str">
        <v>OSUPREALREGAPRE_AF2</v>
      </c>
    </row>
    <row r="1695" spans="1:1" x14ac:dyDescent="0.25">
      <c r="A1695" t="str">
        <v>OSUPREGECOAF2</v>
      </c>
    </row>
    <row r="1696" spans="1:1" x14ac:dyDescent="0.25">
      <c r="A1696" t="str">
        <v>OSUPPRODBAV</v>
      </c>
    </row>
    <row r="1697" spans="1:1" x14ac:dyDescent="0.25">
      <c r="A1697" t="str">
        <v>OSUPP7MREGECOBAV</v>
      </c>
    </row>
    <row r="1698" spans="1:1" x14ac:dyDescent="0.25">
      <c r="A1698" t="str">
        <v>OSUPP7MREGECOAF2</v>
      </c>
    </row>
    <row r="1699" spans="1:1" x14ac:dyDescent="0.25">
      <c r="A1699" t="str">
        <v>OSUPZONECAR</v>
      </c>
    </row>
    <row r="1700" spans="1:1" x14ac:dyDescent="0.25">
      <c r="A1700" t="str">
        <v>OSUPZONECARINC</v>
      </c>
    </row>
    <row r="1701" spans="1:1" x14ac:dyDescent="0.25">
      <c r="A1701" t="str">
        <v>OSUP50+AF2INC</v>
      </c>
    </row>
    <row r="1702" spans="1:1" x14ac:dyDescent="0.25">
      <c r="A1702" t="str">
        <v>OSUP50+AF2NAT</v>
      </c>
    </row>
    <row r="1703" spans="1:1" x14ac:dyDescent="0.25">
      <c r="A1703" t="str">
        <v>OSUP50+AF2REGECONAT</v>
      </c>
    </row>
    <row r="1704" spans="1:1" x14ac:dyDescent="0.25">
      <c r="A1704" t="str">
        <v>OSUP50+AF2REGECO</v>
      </c>
    </row>
    <row r="1705" spans="1:1" x14ac:dyDescent="0.25">
      <c r="A1705" t="str">
        <v>OSUP50+AF2CP</v>
      </c>
    </row>
    <row r="1706" spans="1:1" x14ac:dyDescent="0.25">
      <c r="A1706" t="str">
        <v>OSUP80+AF2REGECONAT</v>
      </c>
    </row>
    <row r="1707" spans="1:1" x14ac:dyDescent="0.25">
      <c r="A1707" t="str">
        <v>OSUP80+AF2REGECO</v>
      </c>
    </row>
    <row r="1708" spans="1:1" x14ac:dyDescent="0.25">
      <c r="A1708" t="str">
        <v>OSUPTOTRECCTAF2</v>
      </c>
    </row>
    <row r="1709" spans="1:1" x14ac:dyDescent="0.25">
      <c r="A1709" t="str">
        <v>OSUPTOTRECCPAF2</v>
      </c>
    </row>
    <row r="1710" spans="1:1" x14ac:dyDescent="0.25">
      <c r="A1710" t="str">
        <v>OSUPTOTRECAF2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CHARGEMENT</vt:lpstr>
      <vt:lpstr>SCENARIOS</vt:lpstr>
      <vt:lpstr>THEME</vt:lpstr>
      <vt:lpstr>YIELDS</vt:lpstr>
      <vt:lpstr>YIELDS_youvert</vt:lpstr>
      <vt:lpstr>THEME_SPATIAUX</vt:lpstr>
      <vt:lpstr>ACTIONS</vt:lpstr>
      <vt:lpstr>OUTPUTS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admlocal</dc:creator>
  <cp:lastModifiedBy>admlocal</cp:lastModifiedBy>
  <dcterms:created xsi:type="dcterms:W3CDTF">2015-06-05T18:19:34Z</dcterms:created>
  <dcterms:modified xsi:type="dcterms:W3CDTF">2022-10-03T14:37:52Z</dcterms:modified>
</cp:coreProperties>
</file>